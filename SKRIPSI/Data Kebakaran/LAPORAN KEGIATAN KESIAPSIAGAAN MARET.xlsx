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yu\Rekap Kegiatan\Rekap Maret\"/>
    </mc:Choice>
  </mc:AlternateContent>
  <xr:revisionPtr revIDLastSave="0" documentId="13_ncr:1_{ED5240E8-8EF5-4F60-AB58-C4BDF42EDB9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Jadwal Petugas Piket" sheetId="2" r:id="rId1"/>
    <sheet name="Laporan Kegiatan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1" l="1"/>
  <c r="H16" i="1" s="1"/>
  <c r="G15" i="1"/>
  <c r="G11" i="1"/>
  <c r="M17" i="1"/>
  <c r="M18" i="1" s="1"/>
</calcChain>
</file>

<file path=xl/sharedStrings.xml><?xml version="1.0" encoding="utf-8"?>
<sst xmlns="http://schemas.openxmlformats.org/spreadsheetml/2006/main" count="313" uniqueCount="148">
  <si>
    <t>No</t>
  </si>
  <si>
    <t>Tanggal Kejadian</t>
  </si>
  <si>
    <t>Jenis Kejadian</t>
  </si>
  <si>
    <t>Jarak Tempuh</t>
  </si>
  <si>
    <t>Waktu Menerima Laporan</t>
  </si>
  <si>
    <t>Waktu Tiba Dilokasi Kejadian</t>
  </si>
  <si>
    <t>Respon Time</t>
  </si>
  <si>
    <t>Keterangan</t>
  </si>
  <si>
    <t>Biodata</t>
  </si>
  <si>
    <t>Gender</t>
  </si>
  <si>
    <t>Regu Bertugas</t>
  </si>
  <si>
    <t>Alamat</t>
  </si>
  <si>
    <t>Regu 3</t>
  </si>
  <si>
    <t>Konsleting Listrik</t>
  </si>
  <si>
    <t>Kebakaran Bangunan</t>
  </si>
  <si>
    <t>Regu 1</t>
  </si>
  <si>
    <t>Regu 2</t>
  </si>
  <si>
    <t>09.00 s/d Selesai</t>
  </si>
  <si>
    <t>Nama Korban / Pelapor</t>
  </si>
  <si>
    <t>Unit</t>
  </si>
  <si>
    <t>Menit</t>
  </si>
  <si>
    <t>Simulasi</t>
  </si>
  <si>
    <t>REGU I</t>
  </si>
  <si>
    <t>REGU II</t>
  </si>
  <si>
    <t>REGU III</t>
  </si>
  <si>
    <t>Ka UPT Damkar</t>
  </si>
  <si>
    <t>Syafrullah S.Sos, M.Si.</t>
  </si>
  <si>
    <t>Danru</t>
  </si>
  <si>
    <t>Budi Adi</t>
  </si>
  <si>
    <t>Ranu Wibowo</t>
  </si>
  <si>
    <t>Agus Budianto</t>
  </si>
  <si>
    <t>Kasubbag TU Damkar</t>
  </si>
  <si>
    <t>Nur Hidayah, SE</t>
  </si>
  <si>
    <t>Anggota</t>
  </si>
  <si>
    <t>Ade Susanto</t>
  </si>
  <si>
    <t>Imam Kastalani</t>
  </si>
  <si>
    <t>Muhammad Fikri Nisfuadi</t>
  </si>
  <si>
    <t>Penata Layanan Operasional</t>
  </si>
  <si>
    <t>M. Dadang Kurniwan, S.H.</t>
  </si>
  <si>
    <t>Muhammad Noor</t>
  </si>
  <si>
    <t>Ahmad Riduan</t>
  </si>
  <si>
    <t>Cipta Bayu Mukti</t>
  </si>
  <si>
    <t>Bambang Arry Arsono</t>
  </si>
  <si>
    <t>Muhamad Noor SE</t>
  </si>
  <si>
    <t>Herianto</t>
  </si>
  <si>
    <t>Muhammad Yoppie Wirawan</t>
  </si>
  <si>
    <t>UPT PEMADAM KEBAKARAN BANJARBARU KOTA BANJARBARU</t>
  </si>
  <si>
    <t>BULAN JANUARI 2026</t>
  </si>
  <si>
    <t>LAPORAN KEGIATAN KESIAPSIAGAAN PETUGAS PIKET DAN PEMADAM KEBAKARAN DALAM DAERAH KABUPATEN/KOTA</t>
  </si>
  <si>
    <t>BUDI ADI</t>
  </si>
  <si>
    <t>ADE SUSANTO</t>
  </si>
  <si>
    <t>MUHAMMAD NOOR</t>
  </si>
  <si>
    <t>MUHAMMAD YOPPIE WIRAWAN</t>
  </si>
  <si>
    <t>RANU WIBOWO</t>
  </si>
  <si>
    <t>IMAM KASTALANI</t>
  </si>
  <si>
    <t>AHMAD RIDUAN</t>
  </si>
  <si>
    <t>MUHAMMAD NOOR, SE</t>
  </si>
  <si>
    <t>AGUS BUDIANTO</t>
  </si>
  <si>
    <t>CIPTA BAYU MUKTI</t>
  </si>
  <si>
    <t>HERIYANTO</t>
  </si>
  <si>
    <t>R2</t>
  </si>
  <si>
    <t>R1</t>
  </si>
  <si>
    <t>R3</t>
  </si>
  <si>
    <t>Tanggal</t>
  </si>
  <si>
    <t>JADWAL PETUGAS PIKET UPT PEMADAM KEBAKARAN KOTA BANJARBARU</t>
  </si>
  <si>
    <t>BAMABANG ARRY ARSONO</t>
  </si>
  <si>
    <t>REGU 2</t>
  </si>
  <si>
    <t>REGU 1</t>
  </si>
  <si>
    <t>REGU 3</t>
  </si>
  <si>
    <t>MUHAMMAD FIKRI NISFUADI</t>
  </si>
  <si>
    <t>Kebakaran R2</t>
  </si>
  <si>
    <t>DA 9153 PL 3500 Liter Thor</t>
  </si>
  <si>
    <t>BULAN Maret 2026</t>
  </si>
  <si>
    <t>Nanang</t>
  </si>
  <si>
    <t>Jl. Pembataan Guntung Paring Rt.36/07, Kel. Guntung Manggis, Kec. Landasan Ulin</t>
  </si>
  <si>
    <t>Kebakaran Limbah Bangunan Didaerah Padat Pemukiman</t>
  </si>
  <si>
    <t xml:space="preserve">Terjadi Kebakaran Tumpukan Limbah Bahan Bangunan Yang Berada Didaerah Padat Pemukiman, Kerugian  Kurang Lebih RP.200.000 Dan Tidak Ada Korban Jiwa.   </t>
  </si>
  <si>
    <t>DA 9087 PL 3500Liter Avatar     DA 9152 PL 4000Liter Hulk</t>
  </si>
  <si>
    <t>L</t>
  </si>
  <si>
    <t>10:37 s/d 12:20</t>
  </si>
  <si>
    <t>Longitude (X)</t>
  </si>
  <si>
    <t>Latitude (-Y)</t>
  </si>
  <si>
    <t>3.473267136141658S</t>
  </si>
  <si>
    <t>114.79804233647883E</t>
  </si>
  <si>
    <t>PT. ARJUNA PRIMA PUTRA</t>
  </si>
  <si>
    <t>Hotel Grand Maya Jl. A. Yani Km.21,7 Kel. Landasan Ulin Utara, Kec. Lianganggang</t>
  </si>
  <si>
    <t>Uji Coba Hydrant</t>
  </si>
  <si>
    <t>Menindak Lanjuti Surat Masuk dari PT. Arjuna Prima Putra Untuk Melakukan Pengecekan Dan Pengujian Hydrant. Kegiatan Berjalan Aman Dan Lancar</t>
  </si>
  <si>
    <t>Ergi Mahardika</t>
  </si>
  <si>
    <t>JL. Garuda Rt.03/04 Kel. Komet Kec. Banjarbaru Utara</t>
  </si>
  <si>
    <t>Umur : 39 Tahun 
Pekerjaan : Swasta
Pendidikan : S1
No Telp : 085820413178</t>
  </si>
  <si>
    <t>Kebakaran Korsleting Listrik</t>
  </si>
  <si>
    <t>19.55 s/d 20.25</t>
  </si>
  <si>
    <t xml:space="preserve">Terjadi Kebakaran Korsleting Listrik Disamping Rumah Makan , Tidak Ada Kerugian Yang Dialami Dan Tidak Ada Korban Jiwa.   </t>
  </si>
  <si>
    <t>1000L</t>
  </si>
  <si>
    <t>Denna</t>
  </si>
  <si>
    <t>Jl. A. yani Km.21 Rt.05/01 Gg. Dandaman Kel. Landasan Ulin Barat Kec. Lianganggang</t>
  </si>
  <si>
    <t>09.21</t>
  </si>
  <si>
    <t>09.27 s/d 11.02</t>
  </si>
  <si>
    <t xml:space="preserve">Terjadi Kebakaran Bangunan Berupa Rumah Warga, Yang Terdampak: 1 Buah Rumah Yang Dihuni 4 Jiwa dan 1 Buah Motor Bebek Roda 2 Jenis Honda Revo Dan Tidak Ada Korban Jiwa.   </t>
  </si>
  <si>
    <t>1000          DA 9087 PL 3500L Avatar</t>
  </si>
  <si>
    <t>Rizki</t>
  </si>
  <si>
    <t>Jl. Mistar Cokrokusumo 
Gang.sanggilingan Rt.06 Rw.02
Kel :sungai Besar
Kec : Banjarbaru Selatan</t>
  </si>
  <si>
    <t>Umur : 30                     Perkerjaan : Swasta
Pendidikan : Sma 
No Hp :0895414034366</t>
  </si>
  <si>
    <t>Kebakaran Rumah Makan</t>
  </si>
  <si>
    <t>23.33</t>
  </si>
  <si>
    <t xml:space="preserve"> 23:35 s/d 01:33</t>
  </si>
  <si>
    <t xml:space="preserve"> terjadi  Kebakaran di Sebuah rumah makan cobek ireng, yang Terdampak Terdampak
1 buah rumah makan cobek ireng(Ukuran bangunan 8×12)</t>
  </si>
  <si>
    <t>SPPG Sungai Ulin</t>
  </si>
  <si>
    <t>Jl. Bypas Sungai Ulin Kel. Sungai Ulin Kec. Banjarbaru Utara</t>
  </si>
  <si>
    <t>Edukasi Penanggulangan Bencana Kebakaran</t>
  </si>
  <si>
    <t>Menindaklanjuti Surat Masuk dari Dapur SPPG Sungai Ulin . Kegiatan berjalan aman dan lancar.</t>
  </si>
  <si>
    <t xml:space="preserve">Atas Perintah Pimpinan </t>
  </si>
  <si>
    <t>Jl. A. Yani Km.32 (Pasar Yon) Kel. Guntung Manggis Kec. Landasan Ulin</t>
  </si>
  <si>
    <t>-</t>
  </si>
  <si>
    <t>Pengamanan Giat Pembongkaran Pasar Yon</t>
  </si>
  <si>
    <t>09.50 s/d 10.58</t>
  </si>
  <si>
    <t>Atas Perintah Pimpinan Untuk Mengikuti Pengamanan Dalam Giat Eksekusi Pembongkaran Pasar Yon, Giat Berjalan Lancar Dan Aman Terkendali</t>
  </si>
  <si>
    <t>DA 9152 PL 4000Liter Hulk           DA 8085 PL Kajama Rescue</t>
  </si>
  <si>
    <t>Alamat : Gang.purnama no.35 Rt.02 rw.06
Kel:Mentaos
Kec : Banjarbaru utara</t>
  </si>
  <si>
    <t>TK. Sanjaya</t>
  </si>
  <si>
    <t>Edukasi Dan Simulasi</t>
  </si>
  <si>
    <t>Menindaklanjuti Surat Masuk Dari Tk Sanjaya perihal *ayo mengenal pemadam kebakaran dan camping tk sanjaya bersama damkar*. Kegiatan berjalan aman dan lancar</t>
  </si>
  <si>
    <t xml:space="preserve">DA 9152 PL 4000Liter Hulk </t>
  </si>
  <si>
    <t xml:space="preserve">Via Grub Wa </t>
  </si>
  <si>
    <t>Jl. Trikora
Kel : Landasan Ulin Timur
Kec : Landasan Ulin</t>
  </si>
  <si>
    <t>Gudang Minyak Jelantah</t>
  </si>
  <si>
    <t>Regu 1         Regu 2     Regu 3</t>
  </si>
  <si>
    <t>Kebakaran Gudang Minyak Jelantah</t>
  </si>
  <si>
    <t>20.30</t>
  </si>
  <si>
    <t>20.40 s/d 21.59</t>
  </si>
  <si>
    <t xml:space="preserve">Terjadi Kebakaran Sebuah Bangunan Gudang Minyak Jelantah. Yang Terdampak 3200an Minyak Jelantah Habis Terbakar,Kerugian kurang lebih puluhan jutaan Dan Tidak Ada Korban Jiwa.   </t>
  </si>
  <si>
    <t>DA 9087 PL 3500Liter Avatar     DA 9152 PL 4000Liter Hulk         1000L</t>
  </si>
  <si>
    <t>Anisah Zakiah</t>
  </si>
  <si>
    <t>Jl.perambaian III
Kel :sungai ulin
Kec : Banjarbaru utara</t>
  </si>
  <si>
    <t>Pekerjaan: guru
Usia:  34
Pndidikan : s1
No Hp :082148131500</t>
  </si>
  <si>
    <t>P</t>
  </si>
  <si>
    <t>Kebakaran Regulator Gas</t>
  </si>
  <si>
    <t>06.00</t>
  </si>
  <si>
    <t>06.09 s/d 06.46</t>
  </si>
  <si>
    <t>Mendapatkan Laporan Adanya  regulator tabung gas yang smpat mengeluarkan api di sebuah rumah, Tidak ada Kerugian Maupun Korban Jiwa.</t>
  </si>
  <si>
    <t>Akhmad Fadli Ariesandi</t>
  </si>
  <si>
    <t>Jl. Tranasmigrasi Rt.029/002 Kel. Cempaka Kec. Cempaka</t>
  </si>
  <si>
    <t>Pekerjaan: PNS
Usia:  30
Pndidikan : s1
No Hp :082149048928</t>
  </si>
  <si>
    <t>18.38</t>
  </si>
  <si>
    <t>18.42 s/d 19.45</t>
  </si>
  <si>
    <t>Mendapatkan Laporan Adanya Kebakaran Skala Kecil, Yang Terdampak 1 Buah Mesin Cuci Terbakar 100%, Ac Terbakar Ringan. Kerugian -+ 4 Jutaan Tidak Ada Korban Jiwa.</t>
  </si>
  <si>
    <t xml:space="preserve"> Kebakaran Ringan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</si>
</sst>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_-;\-[$Rp-421]* #,##0_-;_-[$Rp-421]* &quot;-&quot;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/>
    <xf numFmtId="0" fontId="1" fillId="0" borderId="0" xfId="0" applyFont="1" applyAlignment="1">
      <alignment horizontal="left" vertical="center" wrapText="1"/>
    </xf>
    <xf numFmtId="0" fontId="1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0" fillId="2" borderId="0" xfId="0" applyNumberFormat="1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/>
    <xf numFmtId="20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vertical="center"/>
    </xf>
    <xf numFmtId="0" fontId="0" fillId="3" borderId="0" xfId="0" applyFill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APORAN%20KEGIATAN%20HASIL%20PENYELENGGARAAN%20FE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poran Penyelenggaraan"/>
      <sheetName val="Sheet1"/>
    </sheetNames>
    <sheetDataSet>
      <sheetData sheetId="0" refreshError="1"/>
      <sheetData sheetId="1">
        <row r="41">
          <cell r="G41" t="str">
            <v>Regu 2</v>
          </cell>
          <cell r="H41">
            <v>46100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G30"/>
  <sheetViews>
    <sheetView zoomScale="90" zoomScaleNormal="90" workbookViewId="0">
      <selection activeCell="AK16" sqref="AK16"/>
    </sheetView>
  </sheetViews>
  <sheetFormatPr defaultRowHeight="15" x14ac:dyDescent="0.25"/>
  <cols>
    <col min="2" max="32" width="3.28515625" style="3" customWidth="1"/>
  </cols>
  <sheetData>
    <row r="2" spans="2:33" ht="18.75" x14ac:dyDescent="0.25">
      <c r="B2" s="53" t="s">
        <v>64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</row>
    <row r="3" spans="2:33" ht="18.75" x14ac:dyDescent="0.25">
      <c r="B3" s="52" t="s">
        <v>47</v>
      </c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</row>
    <row r="4" spans="2:33" x14ac:dyDescent="0.25">
      <c r="B4" s="49" t="s">
        <v>63</v>
      </c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1"/>
    </row>
    <row r="5" spans="2:33" s="24" customFormat="1" x14ac:dyDescent="0.25">
      <c r="B5" s="25">
        <v>1</v>
      </c>
      <c r="C5" s="25">
        <v>2</v>
      </c>
      <c r="D5" s="25">
        <v>3</v>
      </c>
      <c r="E5" s="25">
        <v>4</v>
      </c>
      <c r="F5" s="25">
        <v>5</v>
      </c>
      <c r="G5" s="25">
        <v>6</v>
      </c>
      <c r="H5" s="25">
        <v>7</v>
      </c>
      <c r="I5" s="25">
        <v>8</v>
      </c>
      <c r="J5" s="25">
        <v>9</v>
      </c>
      <c r="K5" s="25">
        <v>10</v>
      </c>
      <c r="L5" s="25">
        <v>11</v>
      </c>
      <c r="M5" s="25">
        <v>12</v>
      </c>
      <c r="N5" s="25">
        <v>13</v>
      </c>
      <c r="O5" s="25">
        <v>14</v>
      </c>
      <c r="P5" s="25">
        <v>15</v>
      </c>
      <c r="Q5" s="25">
        <v>16</v>
      </c>
      <c r="R5" s="25">
        <v>17</v>
      </c>
      <c r="S5" s="25">
        <v>18</v>
      </c>
      <c r="T5" s="25">
        <v>19</v>
      </c>
      <c r="U5" s="25">
        <v>20</v>
      </c>
      <c r="V5" s="25">
        <v>21</v>
      </c>
      <c r="W5" s="25">
        <v>22</v>
      </c>
      <c r="X5" s="25">
        <v>23</v>
      </c>
      <c r="Y5" s="25">
        <v>24</v>
      </c>
      <c r="Z5" s="25">
        <v>25</v>
      </c>
      <c r="AA5" s="25">
        <v>26</v>
      </c>
      <c r="AB5" s="25">
        <v>27</v>
      </c>
      <c r="AC5" s="25">
        <v>28</v>
      </c>
      <c r="AD5" s="25">
        <v>29</v>
      </c>
      <c r="AE5" s="25">
        <v>30</v>
      </c>
      <c r="AF5" s="25">
        <v>31</v>
      </c>
      <c r="AG5" s="27"/>
    </row>
    <row r="6" spans="2:33" x14ac:dyDescent="0.25"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</row>
    <row r="7" spans="2:33" x14ac:dyDescent="0.25">
      <c r="B7" s="26"/>
      <c r="C7" s="26"/>
      <c r="D7" s="26"/>
      <c r="E7" s="30" t="s">
        <v>61</v>
      </c>
      <c r="F7" s="26"/>
      <c r="G7" s="26"/>
      <c r="H7" s="30" t="s">
        <v>61</v>
      </c>
      <c r="I7" s="26"/>
      <c r="J7" s="26"/>
      <c r="K7" s="30" t="s">
        <v>61</v>
      </c>
      <c r="L7" s="26"/>
      <c r="M7" s="26"/>
      <c r="N7" s="30" t="s">
        <v>61</v>
      </c>
      <c r="O7" s="26"/>
      <c r="P7" s="26"/>
      <c r="Q7" s="30" t="s">
        <v>61</v>
      </c>
      <c r="R7" s="26"/>
      <c r="S7" s="26"/>
      <c r="T7" s="30" t="s">
        <v>61</v>
      </c>
      <c r="U7" s="26"/>
      <c r="V7" s="26"/>
      <c r="W7" s="30" t="s">
        <v>61</v>
      </c>
      <c r="X7" s="26"/>
      <c r="Y7" s="26"/>
      <c r="Z7" s="30" t="s">
        <v>61</v>
      </c>
      <c r="AA7" s="26"/>
      <c r="AB7" s="26"/>
      <c r="AC7" s="30" t="s">
        <v>61</v>
      </c>
      <c r="AD7" s="26"/>
      <c r="AE7" s="26"/>
      <c r="AF7" s="30" t="s">
        <v>61</v>
      </c>
    </row>
    <row r="8" spans="2:33" x14ac:dyDescent="0.25">
      <c r="B8" s="26"/>
      <c r="C8" s="26"/>
      <c r="D8" s="26"/>
      <c r="E8" s="30" t="s">
        <v>61</v>
      </c>
      <c r="F8" s="26"/>
      <c r="G8" s="26"/>
      <c r="H8" s="30" t="s">
        <v>61</v>
      </c>
      <c r="I8" s="26"/>
      <c r="J8" s="26"/>
      <c r="K8" s="30" t="s">
        <v>61</v>
      </c>
      <c r="L8" s="26"/>
      <c r="M8" s="26"/>
      <c r="N8" s="30" t="s">
        <v>61</v>
      </c>
      <c r="O8" s="26"/>
      <c r="P8" s="26"/>
      <c r="Q8" s="30" t="s">
        <v>61</v>
      </c>
      <c r="R8" s="26"/>
      <c r="S8" s="26"/>
      <c r="T8" s="30" t="s">
        <v>61</v>
      </c>
      <c r="U8" s="26"/>
      <c r="V8" s="26"/>
      <c r="W8" s="30" t="s">
        <v>61</v>
      </c>
      <c r="X8" s="26"/>
      <c r="Y8" s="26"/>
      <c r="Z8" s="30" t="s">
        <v>61</v>
      </c>
      <c r="AA8" s="26"/>
      <c r="AB8" s="26"/>
      <c r="AC8" s="30" t="s">
        <v>61</v>
      </c>
      <c r="AD8" s="26"/>
      <c r="AE8" s="26"/>
      <c r="AF8" s="30" t="s">
        <v>61</v>
      </c>
    </row>
    <row r="9" spans="2:33" x14ac:dyDescent="0.25">
      <c r="B9" s="26"/>
      <c r="C9" s="26"/>
      <c r="D9" s="26"/>
      <c r="E9" s="30" t="s">
        <v>61</v>
      </c>
      <c r="F9" s="26"/>
      <c r="G9" s="26"/>
      <c r="H9" s="30" t="s">
        <v>61</v>
      </c>
      <c r="I9" s="26"/>
      <c r="J9" s="26"/>
      <c r="K9" s="30" t="s">
        <v>61</v>
      </c>
      <c r="L9" s="26"/>
      <c r="M9" s="26"/>
      <c r="N9" s="30" t="s">
        <v>61</v>
      </c>
      <c r="O9" s="26"/>
      <c r="P9" s="26"/>
      <c r="Q9" s="30" t="s">
        <v>61</v>
      </c>
      <c r="R9" s="26"/>
      <c r="S9" s="26"/>
      <c r="T9" s="30" t="s">
        <v>61</v>
      </c>
      <c r="U9" s="26"/>
      <c r="V9" s="26"/>
      <c r="W9" s="30" t="s">
        <v>61</v>
      </c>
      <c r="X9" s="26"/>
      <c r="Y9" s="26"/>
      <c r="Z9" s="30" t="s">
        <v>61</v>
      </c>
      <c r="AA9" s="26"/>
      <c r="AB9" s="26"/>
      <c r="AC9" s="30" t="s">
        <v>61</v>
      </c>
      <c r="AD9" s="26"/>
      <c r="AE9" s="26"/>
      <c r="AF9" s="30" t="s">
        <v>61</v>
      </c>
    </row>
    <row r="10" spans="2:33" x14ac:dyDescent="0.25">
      <c r="B10" s="26"/>
      <c r="C10" s="26"/>
      <c r="D10" s="26"/>
      <c r="E10" s="30" t="s">
        <v>61</v>
      </c>
      <c r="F10" s="26"/>
      <c r="G10" s="26"/>
      <c r="H10" s="30" t="s">
        <v>61</v>
      </c>
      <c r="I10" s="26"/>
      <c r="J10" s="26"/>
      <c r="K10" s="30" t="s">
        <v>61</v>
      </c>
      <c r="L10" s="26"/>
      <c r="M10" s="26"/>
      <c r="N10" s="30" t="s">
        <v>61</v>
      </c>
      <c r="O10" s="26"/>
      <c r="P10" s="26"/>
      <c r="Q10" s="30" t="s">
        <v>61</v>
      </c>
      <c r="R10" s="26"/>
      <c r="S10" s="26"/>
      <c r="T10" s="30" t="s">
        <v>61</v>
      </c>
      <c r="U10" s="26"/>
      <c r="V10" s="26"/>
      <c r="W10" s="30" t="s">
        <v>61</v>
      </c>
      <c r="X10" s="26"/>
      <c r="Y10" s="26"/>
      <c r="Z10" s="30" t="s">
        <v>61</v>
      </c>
      <c r="AA10" s="26"/>
      <c r="AB10" s="26"/>
      <c r="AC10" s="30" t="s">
        <v>61</v>
      </c>
      <c r="AD10" s="26"/>
      <c r="AE10" s="26"/>
      <c r="AF10" s="30" t="s">
        <v>61</v>
      </c>
    </row>
    <row r="11" spans="2:33" x14ac:dyDescent="0.25">
      <c r="B11" s="26"/>
      <c r="C11" s="26"/>
      <c r="D11" s="26"/>
      <c r="E11" s="30" t="s">
        <v>61</v>
      </c>
      <c r="F11" s="26"/>
      <c r="G11" s="26"/>
      <c r="H11" s="30" t="s">
        <v>61</v>
      </c>
      <c r="I11" s="26"/>
      <c r="J11" s="26"/>
      <c r="K11" s="30" t="s">
        <v>61</v>
      </c>
      <c r="L11" s="26"/>
      <c r="M11" s="26"/>
      <c r="N11" s="30" t="s">
        <v>61</v>
      </c>
      <c r="O11" s="26"/>
      <c r="P11" s="26"/>
      <c r="Q11" s="30" t="s">
        <v>61</v>
      </c>
      <c r="R11" s="26"/>
      <c r="S11" s="26"/>
      <c r="T11" s="30" t="s">
        <v>61</v>
      </c>
      <c r="U11" s="26"/>
      <c r="V11" s="26"/>
      <c r="W11" s="30" t="s">
        <v>61</v>
      </c>
      <c r="X11" s="26"/>
      <c r="Y11" s="26"/>
      <c r="Z11" s="30" t="s">
        <v>61</v>
      </c>
      <c r="AA11" s="26"/>
      <c r="AB11" s="26"/>
      <c r="AC11" s="30" t="s">
        <v>61</v>
      </c>
      <c r="AD11" s="26"/>
      <c r="AE11" s="26"/>
      <c r="AF11" s="30" t="s">
        <v>61</v>
      </c>
    </row>
    <row r="12" spans="2:33" x14ac:dyDescent="0.25"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</row>
    <row r="13" spans="2:33" x14ac:dyDescent="0.25">
      <c r="B13" s="26"/>
      <c r="C13" s="28" t="s">
        <v>60</v>
      </c>
      <c r="D13" s="26"/>
      <c r="E13" s="26"/>
      <c r="F13" s="28" t="s">
        <v>60</v>
      </c>
      <c r="G13" s="26"/>
      <c r="H13" s="26"/>
      <c r="I13" s="28" t="s">
        <v>60</v>
      </c>
      <c r="J13" s="26"/>
      <c r="K13" s="26"/>
      <c r="L13" s="28" t="s">
        <v>60</v>
      </c>
      <c r="M13" s="26"/>
      <c r="N13" s="26"/>
      <c r="O13" s="28" t="s">
        <v>60</v>
      </c>
      <c r="P13" s="26"/>
      <c r="Q13" s="26"/>
      <c r="R13" s="28" t="s">
        <v>60</v>
      </c>
      <c r="S13" s="26"/>
      <c r="T13" s="26"/>
      <c r="U13" s="28" t="s">
        <v>60</v>
      </c>
      <c r="V13" s="26"/>
      <c r="W13" s="26"/>
      <c r="X13" s="28" t="s">
        <v>60</v>
      </c>
      <c r="Y13" s="26"/>
      <c r="Z13" s="26"/>
      <c r="AA13" s="28" t="s">
        <v>60</v>
      </c>
      <c r="AB13" s="26"/>
      <c r="AC13" s="26"/>
      <c r="AD13" s="28" t="s">
        <v>60</v>
      </c>
      <c r="AE13" s="26"/>
      <c r="AF13" s="26"/>
    </row>
    <row r="14" spans="2:33" x14ac:dyDescent="0.25">
      <c r="B14" s="26"/>
      <c r="C14" s="28" t="s">
        <v>60</v>
      </c>
      <c r="D14" s="26"/>
      <c r="E14" s="26"/>
      <c r="F14" s="28" t="s">
        <v>60</v>
      </c>
      <c r="G14" s="26"/>
      <c r="H14" s="26"/>
      <c r="I14" s="28" t="s">
        <v>60</v>
      </c>
      <c r="J14" s="26"/>
      <c r="K14" s="26"/>
      <c r="L14" s="28" t="s">
        <v>60</v>
      </c>
      <c r="M14" s="26"/>
      <c r="N14" s="26"/>
      <c r="O14" s="28" t="s">
        <v>60</v>
      </c>
      <c r="P14" s="26"/>
      <c r="Q14" s="26"/>
      <c r="R14" s="28" t="s">
        <v>60</v>
      </c>
      <c r="S14" s="26"/>
      <c r="T14" s="26"/>
      <c r="U14" s="28" t="s">
        <v>60</v>
      </c>
      <c r="V14" s="26"/>
      <c r="W14" s="26"/>
      <c r="X14" s="28" t="s">
        <v>60</v>
      </c>
      <c r="Y14" s="26"/>
      <c r="Z14" s="26"/>
      <c r="AA14" s="28" t="s">
        <v>60</v>
      </c>
      <c r="AB14" s="26"/>
      <c r="AC14" s="26"/>
      <c r="AD14" s="28" t="s">
        <v>60</v>
      </c>
      <c r="AE14" s="26"/>
      <c r="AF14" s="26"/>
    </row>
    <row r="15" spans="2:33" x14ac:dyDescent="0.25">
      <c r="B15" s="26"/>
      <c r="C15" s="28" t="s">
        <v>60</v>
      </c>
      <c r="D15" s="26"/>
      <c r="E15" s="26"/>
      <c r="F15" s="28" t="s">
        <v>60</v>
      </c>
      <c r="G15" s="26"/>
      <c r="H15" s="26"/>
      <c r="I15" s="28" t="s">
        <v>60</v>
      </c>
      <c r="J15" s="26"/>
      <c r="K15" s="26"/>
      <c r="L15" s="28" t="s">
        <v>60</v>
      </c>
      <c r="M15" s="26"/>
      <c r="N15" s="26"/>
      <c r="O15" s="28" t="s">
        <v>60</v>
      </c>
      <c r="P15" s="26"/>
      <c r="Q15" s="26"/>
      <c r="R15" s="28" t="s">
        <v>60</v>
      </c>
      <c r="S15" s="26"/>
      <c r="T15" s="26"/>
      <c r="U15" s="28" t="s">
        <v>60</v>
      </c>
      <c r="V15" s="26"/>
      <c r="W15" s="26"/>
      <c r="X15" s="28" t="s">
        <v>60</v>
      </c>
      <c r="Y15" s="26"/>
      <c r="Z15" s="26"/>
      <c r="AA15" s="28" t="s">
        <v>60</v>
      </c>
      <c r="AB15" s="26"/>
      <c r="AC15" s="26"/>
      <c r="AD15" s="28" t="s">
        <v>60</v>
      </c>
      <c r="AE15" s="26"/>
      <c r="AF15" s="26"/>
    </row>
    <row r="16" spans="2:33" x14ac:dyDescent="0.25">
      <c r="B16" s="26"/>
      <c r="C16" s="28" t="s">
        <v>60</v>
      </c>
      <c r="D16" s="26"/>
      <c r="E16" s="26"/>
      <c r="F16" s="28" t="s">
        <v>60</v>
      </c>
      <c r="G16" s="26"/>
      <c r="H16" s="26"/>
      <c r="I16" s="28" t="s">
        <v>60</v>
      </c>
      <c r="J16" s="26"/>
      <c r="K16" s="26"/>
      <c r="L16" s="28" t="s">
        <v>60</v>
      </c>
      <c r="M16" s="26"/>
      <c r="N16" s="26"/>
      <c r="O16" s="28" t="s">
        <v>60</v>
      </c>
      <c r="P16" s="26"/>
      <c r="Q16" s="26"/>
      <c r="R16" s="28" t="s">
        <v>60</v>
      </c>
      <c r="S16" s="26"/>
      <c r="T16" s="26"/>
      <c r="U16" s="28" t="s">
        <v>60</v>
      </c>
      <c r="V16" s="26"/>
      <c r="W16" s="26"/>
      <c r="X16" s="28" t="s">
        <v>60</v>
      </c>
      <c r="Y16" s="26"/>
      <c r="Z16" s="26"/>
      <c r="AA16" s="28" t="s">
        <v>60</v>
      </c>
      <c r="AB16" s="26"/>
      <c r="AC16" s="26"/>
      <c r="AD16" s="28" t="s">
        <v>60</v>
      </c>
      <c r="AE16" s="26"/>
      <c r="AF16" s="26"/>
    </row>
    <row r="17" spans="2:32" x14ac:dyDescent="0.25"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</row>
    <row r="18" spans="2:32" x14ac:dyDescent="0.25">
      <c r="B18" s="26"/>
      <c r="C18" s="26"/>
      <c r="D18" s="29" t="s">
        <v>62</v>
      </c>
      <c r="E18" s="26"/>
      <c r="F18" s="26"/>
      <c r="G18" s="29" t="s">
        <v>62</v>
      </c>
      <c r="H18" s="26"/>
      <c r="I18" s="26"/>
      <c r="J18" s="29" t="s">
        <v>62</v>
      </c>
      <c r="K18" s="26"/>
      <c r="L18" s="26"/>
      <c r="M18" s="29" t="s">
        <v>62</v>
      </c>
      <c r="N18" s="26"/>
      <c r="O18" s="26"/>
      <c r="P18" s="29" t="s">
        <v>62</v>
      </c>
      <c r="Q18" s="26"/>
      <c r="R18" s="26"/>
      <c r="S18" s="29" t="s">
        <v>62</v>
      </c>
      <c r="T18" s="26"/>
      <c r="U18" s="26"/>
      <c r="V18" s="29" t="s">
        <v>62</v>
      </c>
      <c r="W18" s="26"/>
      <c r="X18" s="26"/>
      <c r="Y18" s="29" t="s">
        <v>62</v>
      </c>
      <c r="Z18" s="26"/>
      <c r="AA18" s="26"/>
      <c r="AB18" s="29" t="s">
        <v>62</v>
      </c>
      <c r="AC18" s="26"/>
      <c r="AD18" s="26"/>
      <c r="AE18" s="29" t="s">
        <v>62</v>
      </c>
      <c r="AF18" s="26"/>
    </row>
    <row r="19" spans="2:32" x14ac:dyDescent="0.25">
      <c r="B19" s="26"/>
      <c r="C19" s="26"/>
      <c r="D19" s="29" t="s">
        <v>62</v>
      </c>
      <c r="E19" s="26"/>
      <c r="F19" s="26"/>
      <c r="G19" s="29" t="s">
        <v>62</v>
      </c>
      <c r="H19" s="26"/>
      <c r="I19" s="26"/>
      <c r="J19" s="29" t="s">
        <v>62</v>
      </c>
      <c r="K19" s="26"/>
      <c r="L19" s="26"/>
      <c r="M19" s="29" t="s">
        <v>62</v>
      </c>
      <c r="N19" s="26"/>
      <c r="O19" s="26"/>
      <c r="P19" s="29" t="s">
        <v>62</v>
      </c>
      <c r="Q19" s="26"/>
      <c r="R19" s="26"/>
      <c r="S19" s="29" t="s">
        <v>62</v>
      </c>
      <c r="T19" s="26"/>
      <c r="U19" s="26"/>
      <c r="V19" s="29" t="s">
        <v>62</v>
      </c>
      <c r="W19" s="26"/>
      <c r="X19" s="26"/>
      <c r="Y19" s="29" t="s">
        <v>62</v>
      </c>
      <c r="Z19" s="26"/>
      <c r="AA19" s="26"/>
      <c r="AB19" s="29" t="s">
        <v>62</v>
      </c>
      <c r="AC19" s="26"/>
      <c r="AD19" s="26"/>
      <c r="AE19" s="29" t="s">
        <v>62</v>
      </c>
      <c r="AF19" s="26"/>
    </row>
    <row r="20" spans="2:32" x14ac:dyDescent="0.25">
      <c r="B20" s="26"/>
      <c r="C20" s="26"/>
      <c r="D20" s="29" t="s">
        <v>62</v>
      </c>
      <c r="E20" s="26"/>
      <c r="F20" s="26"/>
      <c r="G20" s="29" t="s">
        <v>62</v>
      </c>
      <c r="H20" s="26"/>
      <c r="I20" s="26"/>
      <c r="J20" s="29" t="s">
        <v>62</v>
      </c>
      <c r="K20" s="26"/>
      <c r="L20" s="26"/>
      <c r="M20" s="29" t="s">
        <v>62</v>
      </c>
      <c r="N20" s="26"/>
      <c r="O20" s="26"/>
      <c r="P20" s="29" t="s">
        <v>62</v>
      </c>
      <c r="Q20" s="26"/>
      <c r="R20" s="26"/>
      <c r="S20" s="29" t="s">
        <v>62</v>
      </c>
      <c r="T20" s="26"/>
      <c r="U20" s="26"/>
      <c r="V20" s="29" t="s">
        <v>62</v>
      </c>
      <c r="W20" s="26"/>
      <c r="X20" s="26"/>
      <c r="Y20" s="29" t="s">
        <v>62</v>
      </c>
      <c r="Z20" s="26"/>
      <c r="AA20" s="26"/>
      <c r="AB20" s="29" t="s">
        <v>62</v>
      </c>
      <c r="AC20" s="26"/>
      <c r="AD20" s="26"/>
      <c r="AE20" s="29" t="s">
        <v>62</v>
      </c>
      <c r="AF20" s="26"/>
    </row>
    <row r="21" spans="2:32" x14ac:dyDescent="0.25">
      <c r="B21" s="26"/>
      <c r="C21" s="26"/>
      <c r="D21" s="29" t="s">
        <v>62</v>
      </c>
      <c r="E21" s="26"/>
      <c r="F21" s="26"/>
      <c r="G21" s="29" t="s">
        <v>62</v>
      </c>
      <c r="H21" s="26"/>
      <c r="I21" s="26"/>
      <c r="J21" s="29" t="s">
        <v>62</v>
      </c>
      <c r="K21" s="26"/>
      <c r="L21" s="26"/>
      <c r="M21" s="29" t="s">
        <v>62</v>
      </c>
      <c r="N21" s="26"/>
      <c r="O21" s="26"/>
      <c r="P21" s="29" t="s">
        <v>62</v>
      </c>
      <c r="Q21" s="26"/>
      <c r="R21" s="26"/>
      <c r="S21" s="29" t="s">
        <v>62</v>
      </c>
      <c r="T21" s="26"/>
      <c r="U21" s="26"/>
      <c r="V21" s="29" t="s">
        <v>62</v>
      </c>
      <c r="W21" s="26"/>
      <c r="X21" s="26"/>
      <c r="Y21" s="29" t="s">
        <v>62</v>
      </c>
      <c r="Z21" s="26"/>
      <c r="AA21" s="26"/>
      <c r="AB21" s="29" t="s">
        <v>62</v>
      </c>
      <c r="AC21" s="26"/>
      <c r="AD21" s="26"/>
      <c r="AE21" s="29" t="s">
        <v>62</v>
      </c>
      <c r="AF21" s="26"/>
    </row>
    <row r="22" spans="2:32" x14ac:dyDescent="0.25">
      <c r="B22" s="26"/>
      <c r="C22" s="26"/>
      <c r="D22" s="29" t="s">
        <v>62</v>
      </c>
      <c r="E22" s="26"/>
      <c r="F22" s="26"/>
      <c r="G22" s="29" t="s">
        <v>62</v>
      </c>
      <c r="H22" s="26"/>
      <c r="I22" s="26"/>
      <c r="J22" s="29" t="s">
        <v>62</v>
      </c>
      <c r="K22" s="26"/>
      <c r="L22" s="26"/>
      <c r="M22" s="29" t="s">
        <v>62</v>
      </c>
      <c r="N22" s="26"/>
      <c r="O22" s="26"/>
      <c r="P22" s="29" t="s">
        <v>62</v>
      </c>
      <c r="Q22" s="26"/>
      <c r="R22" s="26"/>
      <c r="S22" s="29" t="s">
        <v>62</v>
      </c>
      <c r="T22" s="26"/>
      <c r="U22" s="26"/>
      <c r="V22" s="29" t="s">
        <v>62</v>
      </c>
      <c r="W22" s="26"/>
      <c r="X22" s="26"/>
      <c r="Y22" s="29" t="s">
        <v>62</v>
      </c>
      <c r="Z22" s="26"/>
      <c r="AA22" s="26"/>
      <c r="AB22" s="29" t="s">
        <v>62</v>
      </c>
      <c r="AC22" s="26"/>
      <c r="AD22" s="26"/>
      <c r="AE22" s="29" t="s">
        <v>62</v>
      </c>
      <c r="AF22" s="26"/>
    </row>
    <row r="25" spans="2:32" x14ac:dyDescent="0.25">
      <c r="B25" s="54" t="s">
        <v>67</v>
      </c>
      <c r="C25" s="54"/>
      <c r="D25" s="54"/>
      <c r="E25" s="54"/>
      <c r="F25" s="54"/>
      <c r="L25" s="55" t="s">
        <v>66</v>
      </c>
      <c r="M25" s="55"/>
      <c r="N25" s="55"/>
      <c r="O25" s="55"/>
      <c r="P25" s="55"/>
      <c r="T25" s="56" t="s">
        <v>68</v>
      </c>
      <c r="U25" s="56"/>
      <c r="V25" s="56"/>
      <c r="W25" s="56"/>
      <c r="X25" s="56"/>
    </row>
    <row r="26" spans="2:32" x14ac:dyDescent="0.25">
      <c r="B26" s="3">
        <v>1</v>
      </c>
      <c r="C26" s="4" t="s">
        <v>49</v>
      </c>
      <c r="L26" s="3">
        <v>1</v>
      </c>
      <c r="M26" s="31" t="s">
        <v>53</v>
      </c>
      <c r="T26" s="3">
        <v>1</v>
      </c>
      <c r="U26" s="31" t="s">
        <v>57</v>
      </c>
    </row>
    <row r="27" spans="2:32" x14ac:dyDescent="0.25">
      <c r="B27" s="3">
        <v>2</v>
      </c>
      <c r="C27" s="4" t="s">
        <v>50</v>
      </c>
      <c r="L27" s="3">
        <v>2</v>
      </c>
      <c r="M27" s="31" t="s">
        <v>54</v>
      </c>
      <c r="T27" s="3">
        <v>2</v>
      </c>
      <c r="U27" s="31" t="s">
        <v>69</v>
      </c>
    </row>
    <row r="28" spans="2:32" x14ac:dyDescent="0.25">
      <c r="B28" s="3">
        <v>3</v>
      </c>
      <c r="C28" s="4" t="s">
        <v>51</v>
      </c>
      <c r="L28" s="3">
        <v>3</v>
      </c>
      <c r="M28" s="31" t="s">
        <v>55</v>
      </c>
      <c r="T28" s="3">
        <v>3</v>
      </c>
      <c r="U28" s="31" t="s">
        <v>58</v>
      </c>
    </row>
    <row r="29" spans="2:32" x14ac:dyDescent="0.25">
      <c r="B29" s="3">
        <v>4</v>
      </c>
      <c r="C29" s="4" t="s">
        <v>65</v>
      </c>
      <c r="L29" s="3">
        <v>4</v>
      </c>
      <c r="M29" s="31" t="s">
        <v>56</v>
      </c>
      <c r="T29" s="3">
        <v>4</v>
      </c>
      <c r="U29" s="31" t="s">
        <v>59</v>
      </c>
    </row>
    <row r="30" spans="2:32" x14ac:dyDescent="0.25">
      <c r="B30" s="3">
        <v>5</v>
      </c>
      <c r="C30" s="4" t="s">
        <v>52</v>
      </c>
    </row>
  </sheetData>
  <mergeCells count="6">
    <mergeCell ref="B4:AF4"/>
    <mergeCell ref="B3:AF3"/>
    <mergeCell ref="B2:AF2"/>
    <mergeCell ref="B25:F25"/>
    <mergeCell ref="L25:P25"/>
    <mergeCell ref="T25:X25"/>
  </mergeCells>
  <phoneticPr fontId="4" type="noConversion"/>
  <pageMargins left="0.63" right="0.7" top="0.75" bottom="0.75" header="0.3" footer="0.3"/>
  <pageSetup paperSize="5" scale="90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7"/>
  <sheetViews>
    <sheetView tabSelected="1" topLeftCell="D14" zoomScale="77" zoomScaleNormal="77" workbookViewId="0">
      <selection activeCell="W19" sqref="W19"/>
    </sheetView>
  </sheetViews>
  <sheetFormatPr defaultRowHeight="15" x14ac:dyDescent="0.25"/>
  <cols>
    <col min="1" max="1" width="4.85546875" customWidth="1"/>
    <col min="2" max="2" width="5.42578125" style="1" customWidth="1"/>
    <col min="3" max="3" width="15.7109375" customWidth="1"/>
    <col min="4" max="4" width="17.42578125" customWidth="1"/>
    <col min="5" max="5" width="23.85546875" customWidth="1"/>
    <col min="6" max="6" width="10.42578125" customWidth="1"/>
    <col min="7" max="7" width="10.28515625" customWidth="1"/>
    <col min="8" max="8" width="13" customWidth="1"/>
    <col min="9" max="9" width="15.7109375" customWidth="1"/>
    <col min="10" max="10" width="11.7109375" customWidth="1"/>
    <col min="11" max="11" width="12.42578125" customWidth="1"/>
    <col min="12" max="12" width="18.28515625" customWidth="1"/>
    <col min="13" max="13" width="5" customWidth="1"/>
    <col min="14" max="14" width="8.7109375" customWidth="1"/>
    <col min="15" max="15" width="17.5703125" customWidth="1"/>
    <col min="16" max="16" width="10.7109375" customWidth="1"/>
    <col min="17" max="17" width="23.28515625" customWidth="1"/>
    <col min="18" max="18" width="23.42578125" customWidth="1"/>
  </cols>
  <sheetData>
    <row r="1" spans="1:20" ht="23.25" x14ac:dyDescent="0.35">
      <c r="B1" s="59" t="s">
        <v>48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</row>
    <row r="2" spans="1:20" ht="23.25" x14ac:dyDescent="0.35">
      <c r="B2" s="59" t="s">
        <v>46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</row>
    <row r="3" spans="1:20" ht="23.25" x14ac:dyDescent="0.35">
      <c r="B3" s="59" t="s">
        <v>72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</row>
    <row r="5" spans="1:20" s="2" customFormat="1" ht="45" customHeight="1" x14ac:dyDescent="0.25">
      <c r="B5" s="9" t="s">
        <v>0</v>
      </c>
      <c r="C5" s="9" t="s">
        <v>18</v>
      </c>
      <c r="D5" s="9" t="s">
        <v>11</v>
      </c>
      <c r="E5" s="9" t="s">
        <v>8</v>
      </c>
      <c r="F5" s="9" t="s">
        <v>9</v>
      </c>
      <c r="G5" s="9" t="s">
        <v>10</v>
      </c>
      <c r="H5" s="9" t="s">
        <v>1</v>
      </c>
      <c r="I5" s="9" t="s">
        <v>2</v>
      </c>
      <c r="J5" s="9" t="s">
        <v>3</v>
      </c>
      <c r="K5" s="9" t="s">
        <v>4</v>
      </c>
      <c r="L5" s="9" t="s">
        <v>5</v>
      </c>
      <c r="M5" s="60" t="s">
        <v>6</v>
      </c>
      <c r="N5" s="60"/>
      <c r="O5" s="9" t="s">
        <v>7</v>
      </c>
      <c r="P5" s="9" t="s">
        <v>19</v>
      </c>
      <c r="Q5" s="5" t="s">
        <v>80</v>
      </c>
      <c r="R5" s="5" t="s">
        <v>81</v>
      </c>
    </row>
    <row r="6" spans="1:20" s="2" customFormat="1" ht="200.1" customHeight="1" x14ac:dyDescent="0.25">
      <c r="B6" s="5">
        <v>1</v>
      </c>
      <c r="C6" s="5" t="s">
        <v>73</v>
      </c>
      <c r="D6" s="5" t="s">
        <v>74</v>
      </c>
      <c r="E6" s="5"/>
      <c r="F6" s="6" t="s">
        <v>78</v>
      </c>
      <c r="G6" s="5" t="s">
        <v>12</v>
      </c>
      <c r="H6" s="6">
        <v>46025</v>
      </c>
      <c r="I6" s="5" t="s">
        <v>75</v>
      </c>
      <c r="J6" s="5"/>
      <c r="K6" s="34">
        <v>0.43888888888888888</v>
      </c>
      <c r="L6" s="5" t="s">
        <v>79</v>
      </c>
      <c r="M6" s="10"/>
      <c r="N6" s="11" t="s">
        <v>20</v>
      </c>
      <c r="O6" s="5" t="s">
        <v>76</v>
      </c>
      <c r="P6" s="5" t="s">
        <v>77</v>
      </c>
      <c r="Q6" s="5" t="s">
        <v>82</v>
      </c>
      <c r="R6" s="5" t="s">
        <v>83</v>
      </c>
      <c r="T6" s="2">
        <v>1</v>
      </c>
    </row>
    <row r="7" spans="1:20" s="3" customFormat="1" ht="294" customHeight="1" x14ac:dyDescent="0.25">
      <c r="B7" s="7">
        <v>2</v>
      </c>
      <c r="C7" s="35" t="s">
        <v>84</v>
      </c>
      <c r="D7" s="5" t="s">
        <v>85</v>
      </c>
      <c r="E7" s="35" t="s">
        <v>84</v>
      </c>
      <c r="F7" s="7"/>
      <c r="G7" s="7" t="s">
        <v>16</v>
      </c>
      <c r="H7" s="8">
        <v>46056</v>
      </c>
      <c r="I7" s="5" t="s">
        <v>86</v>
      </c>
      <c r="J7" s="7"/>
      <c r="K7" s="7"/>
      <c r="L7" s="7" t="s">
        <v>17</v>
      </c>
      <c r="M7" s="12"/>
      <c r="N7" s="13"/>
      <c r="O7" s="5" t="s">
        <v>87</v>
      </c>
      <c r="P7" s="5" t="s">
        <v>71</v>
      </c>
      <c r="Q7" s="7"/>
      <c r="R7" s="7"/>
    </row>
    <row r="8" spans="1:20" s="2" customFormat="1" ht="200.1" customHeight="1" x14ac:dyDescent="0.25">
      <c r="B8" s="5">
        <v>3</v>
      </c>
      <c r="C8" s="5" t="s">
        <v>88</v>
      </c>
      <c r="D8" s="5" t="s">
        <v>89</v>
      </c>
      <c r="E8" s="5" t="s">
        <v>90</v>
      </c>
      <c r="F8" s="5"/>
      <c r="G8" s="5" t="s">
        <v>15</v>
      </c>
      <c r="H8" s="6">
        <v>46145</v>
      </c>
      <c r="I8" s="5" t="s">
        <v>91</v>
      </c>
      <c r="J8" s="5"/>
      <c r="K8" s="5"/>
      <c r="L8" s="5" t="s">
        <v>92</v>
      </c>
      <c r="M8" s="10"/>
      <c r="N8" s="11"/>
      <c r="O8" s="5" t="s">
        <v>93</v>
      </c>
      <c r="P8" s="5" t="s">
        <v>94</v>
      </c>
      <c r="Q8" s="5"/>
      <c r="R8" s="5"/>
    </row>
    <row r="9" spans="1:20" s="36" customFormat="1" ht="200.1" customHeight="1" x14ac:dyDescent="0.25">
      <c r="B9" s="41">
        <v>4</v>
      </c>
      <c r="C9" s="38" t="s">
        <v>95</v>
      </c>
      <c r="D9" s="38" t="s">
        <v>96</v>
      </c>
      <c r="E9" s="38"/>
      <c r="F9" s="38"/>
      <c r="G9" s="38" t="s">
        <v>16</v>
      </c>
      <c r="H9" s="40">
        <v>46205</v>
      </c>
      <c r="I9" s="38" t="s">
        <v>14</v>
      </c>
      <c r="J9" s="38"/>
      <c r="K9" s="38" t="s">
        <v>97</v>
      </c>
      <c r="L9" s="38" t="s">
        <v>98</v>
      </c>
      <c r="M9" s="42"/>
      <c r="N9" s="45"/>
      <c r="O9" s="38" t="s">
        <v>99</v>
      </c>
      <c r="P9" s="38" t="s">
        <v>100</v>
      </c>
      <c r="Q9" s="41"/>
      <c r="R9" s="41"/>
      <c r="T9" s="36">
        <v>2</v>
      </c>
    </row>
    <row r="10" spans="1:20" s="37" customFormat="1" ht="200.1" customHeight="1" x14ac:dyDescent="0.25">
      <c r="B10" s="38">
        <v>5</v>
      </c>
      <c r="C10" s="38" t="s">
        <v>101</v>
      </c>
      <c r="D10" s="38" t="s">
        <v>102</v>
      </c>
      <c r="E10" s="38" t="s">
        <v>103</v>
      </c>
      <c r="F10" s="39"/>
      <c r="G10" s="38" t="s">
        <v>16</v>
      </c>
      <c r="H10" s="40">
        <v>46268</v>
      </c>
      <c r="I10" s="38" t="s">
        <v>104</v>
      </c>
      <c r="J10" s="41"/>
      <c r="K10" s="41" t="s">
        <v>105</v>
      </c>
      <c r="L10" s="36" t="s">
        <v>106</v>
      </c>
      <c r="M10" s="42"/>
      <c r="N10" s="43"/>
      <c r="O10" s="44" t="s">
        <v>107</v>
      </c>
      <c r="P10" s="38">
        <v>1000</v>
      </c>
      <c r="Q10" s="39"/>
      <c r="R10" s="39"/>
      <c r="T10" s="37">
        <v>3</v>
      </c>
    </row>
    <row r="11" spans="1:20" s="36" customFormat="1" ht="281.25" customHeight="1" x14ac:dyDescent="0.25">
      <c r="B11" s="41">
        <v>6</v>
      </c>
      <c r="C11" s="38" t="s">
        <v>108</v>
      </c>
      <c r="D11" s="38" t="s">
        <v>109</v>
      </c>
      <c r="E11" s="38"/>
      <c r="F11" s="38"/>
      <c r="G11" s="38" t="str">
        <f>G10</f>
        <v>Regu 2</v>
      </c>
      <c r="H11" s="40">
        <v>46092</v>
      </c>
      <c r="I11" s="38" t="s">
        <v>110</v>
      </c>
      <c r="J11" s="41"/>
      <c r="K11" s="41"/>
      <c r="L11" s="38" t="s">
        <v>17</v>
      </c>
      <c r="M11" s="42"/>
      <c r="N11" s="46"/>
      <c r="O11" s="38" t="s">
        <v>111</v>
      </c>
      <c r="P11" s="38" t="s">
        <v>71</v>
      </c>
      <c r="Q11" s="41"/>
      <c r="R11" s="41"/>
    </row>
    <row r="12" spans="1:20" s="36" customFormat="1" ht="200.1" customHeight="1" x14ac:dyDescent="0.25">
      <c r="B12" s="38">
        <v>7</v>
      </c>
      <c r="C12" s="38" t="s">
        <v>112</v>
      </c>
      <c r="D12" s="38" t="s">
        <v>113</v>
      </c>
      <c r="E12" s="38" t="s">
        <v>114</v>
      </c>
      <c r="F12" s="41"/>
      <c r="G12" s="38" t="s">
        <v>12</v>
      </c>
      <c r="H12" s="40">
        <v>46097</v>
      </c>
      <c r="I12" s="38" t="s">
        <v>115</v>
      </c>
      <c r="J12" s="41"/>
      <c r="K12" s="41"/>
      <c r="L12" s="38" t="s">
        <v>116</v>
      </c>
      <c r="M12" s="42"/>
      <c r="N12" s="46"/>
      <c r="O12" s="38" t="s">
        <v>117</v>
      </c>
      <c r="P12" s="38" t="s">
        <v>118</v>
      </c>
      <c r="Q12" s="41"/>
      <c r="R12" s="41"/>
    </row>
    <row r="13" spans="1:20" s="36" customFormat="1" ht="213.75" customHeight="1" x14ac:dyDescent="0.25">
      <c r="B13" s="41">
        <v>8</v>
      </c>
      <c r="C13" s="38" t="s">
        <v>120</v>
      </c>
      <c r="D13" s="38" t="s">
        <v>119</v>
      </c>
      <c r="E13" s="38" t="s">
        <v>120</v>
      </c>
      <c r="F13" s="41"/>
      <c r="G13" s="38" t="s">
        <v>16</v>
      </c>
      <c r="H13" s="40">
        <v>46098</v>
      </c>
      <c r="I13" s="38" t="s">
        <v>121</v>
      </c>
      <c r="J13" s="41"/>
      <c r="K13" s="41"/>
      <c r="L13" s="38" t="s">
        <v>17</v>
      </c>
      <c r="M13" s="42"/>
      <c r="N13" s="46"/>
      <c r="O13" s="38" t="s">
        <v>122</v>
      </c>
      <c r="P13" s="38" t="s">
        <v>123</v>
      </c>
      <c r="Q13" s="41"/>
      <c r="R13" s="41"/>
    </row>
    <row r="14" spans="1:20" s="36" customFormat="1" ht="200.1" customHeight="1" x14ac:dyDescent="0.25">
      <c r="B14" s="38">
        <v>9</v>
      </c>
      <c r="C14" s="38" t="s">
        <v>124</v>
      </c>
      <c r="D14" s="38" t="s">
        <v>125</v>
      </c>
      <c r="E14" s="38" t="s">
        <v>126</v>
      </c>
      <c r="F14" s="41"/>
      <c r="G14" s="38" t="s">
        <v>127</v>
      </c>
      <c r="H14" s="47">
        <v>46098</v>
      </c>
      <c r="I14" s="38" t="s">
        <v>128</v>
      </c>
      <c r="J14" s="41"/>
      <c r="K14" s="41" t="s">
        <v>129</v>
      </c>
      <c r="L14" s="38" t="s">
        <v>130</v>
      </c>
      <c r="M14" s="42"/>
      <c r="N14" s="46"/>
      <c r="O14" s="38" t="s">
        <v>131</v>
      </c>
      <c r="P14" s="38" t="s">
        <v>132</v>
      </c>
      <c r="Q14" s="41"/>
      <c r="R14" s="41"/>
    </row>
    <row r="15" spans="1:20" s="36" customFormat="1" ht="200.1" customHeight="1" x14ac:dyDescent="0.25">
      <c r="B15" s="41">
        <v>10</v>
      </c>
      <c r="C15" s="36" t="s">
        <v>133</v>
      </c>
      <c r="D15" s="38" t="s">
        <v>134</v>
      </c>
      <c r="E15" s="38" t="s">
        <v>135</v>
      </c>
      <c r="F15" s="38" t="s">
        <v>136</v>
      </c>
      <c r="G15" s="38" t="str">
        <f>[1]Sheet1!G41</f>
        <v>Regu 2</v>
      </c>
      <c r="H15" s="40">
        <f>[1]Sheet1!H41</f>
        <v>46100</v>
      </c>
      <c r="I15" s="38" t="s">
        <v>137</v>
      </c>
      <c r="J15" s="41"/>
      <c r="K15" s="41" t="s">
        <v>138</v>
      </c>
      <c r="L15" s="38" t="s">
        <v>139</v>
      </c>
      <c r="M15" s="42"/>
      <c r="N15" s="46"/>
      <c r="O15" s="38" t="s">
        <v>140</v>
      </c>
      <c r="P15" s="38" t="s">
        <v>94</v>
      </c>
      <c r="Q15" s="41"/>
      <c r="R15" s="41"/>
    </row>
    <row r="16" spans="1:20" s="36" customFormat="1" ht="200.1" customHeight="1" x14ac:dyDescent="0.25">
      <c r="A16" s="48"/>
      <c r="B16" s="38">
        <v>11</v>
      </c>
      <c r="C16" s="38" t="s">
        <v>141</v>
      </c>
      <c r="D16" s="38" t="s">
        <v>142</v>
      </c>
      <c r="E16" s="38" t="s">
        <v>143</v>
      </c>
      <c r="F16" s="41" t="s">
        <v>78</v>
      </c>
      <c r="G16" s="38" t="s">
        <v>12</v>
      </c>
      <c r="H16" s="40">
        <f>H15</f>
        <v>46100</v>
      </c>
      <c r="I16" s="38" t="s">
        <v>147</v>
      </c>
      <c r="J16" s="41"/>
      <c r="K16" s="41" t="s">
        <v>144</v>
      </c>
      <c r="L16" s="38" t="s">
        <v>145</v>
      </c>
      <c r="M16" s="42"/>
      <c r="N16" s="46"/>
      <c r="O16" s="38" t="s">
        <v>146</v>
      </c>
      <c r="P16" s="38" t="s">
        <v>123</v>
      </c>
      <c r="Q16" s="41"/>
      <c r="R16" s="41"/>
      <c r="T16" s="36">
        <v>4</v>
      </c>
    </row>
    <row r="17" spans="3:16" x14ac:dyDescent="0.25">
      <c r="M17" s="32">
        <f>SUM(M6:M16)</f>
        <v>0</v>
      </c>
      <c r="N17" s="33" t="s">
        <v>20</v>
      </c>
    </row>
    <row r="18" spans="3:16" x14ac:dyDescent="0.25">
      <c r="L18" s="15" t="s">
        <v>6</v>
      </c>
      <c r="M18" s="16">
        <f>M17/4</f>
        <v>0</v>
      </c>
      <c r="N18" s="17" t="s">
        <v>20</v>
      </c>
      <c r="O18" t="s">
        <v>13</v>
      </c>
      <c r="P18" s="3">
        <v>1</v>
      </c>
    </row>
    <row r="19" spans="3:16" ht="30" x14ac:dyDescent="0.25">
      <c r="O19" s="14" t="s">
        <v>14</v>
      </c>
      <c r="P19" s="3">
        <v>3</v>
      </c>
    </row>
    <row r="20" spans="3:16" x14ac:dyDescent="0.25">
      <c r="O20" t="s">
        <v>21</v>
      </c>
      <c r="P20" s="3">
        <v>7</v>
      </c>
    </row>
    <row r="21" spans="3:16" x14ac:dyDescent="0.25">
      <c r="O21" t="s">
        <v>70</v>
      </c>
      <c r="P21" s="3">
        <v>1</v>
      </c>
    </row>
    <row r="22" spans="3:16" ht="20.100000000000001" customHeight="1" x14ac:dyDescent="0.25">
      <c r="H22" s="18" t="s">
        <v>22</v>
      </c>
      <c r="K22" s="19" t="s">
        <v>23</v>
      </c>
      <c r="O22" s="19" t="s">
        <v>24</v>
      </c>
    </row>
    <row r="23" spans="3:16" ht="20.100000000000001" customHeight="1" x14ac:dyDescent="0.25">
      <c r="C23" s="57" t="s">
        <v>25</v>
      </c>
      <c r="D23" s="57"/>
      <c r="E23" s="20" t="s">
        <v>26</v>
      </c>
      <c r="F23" s="21"/>
      <c r="G23" s="22" t="s">
        <v>27</v>
      </c>
      <c r="H23" s="14" t="s">
        <v>28</v>
      </c>
      <c r="J23" s="22" t="s">
        <v>27</v>
      </c>
      <c r="K23" t="s">
        <v>29</v>
      </c>
      <c r="N23" s="22" t="s">
        <v>27</v>
      </c>
      <c r="O23" s="14" t="s">
        <v>30</v>
      </c>
    </row>
    <row r="24" spans="3:16" ht="20.100000000000001" customHeight="1" x14ac:dyDescent="0.25">
      <c r="C24" s="57" t="s">
        <v>31</v>
      </c>
      <c r="D24" s="57"/>
      <c r="E24" s="20" t="s">
        <v>32</v>
      </c>
      <c r="G24" s="22" t="s">
        <v>33</v>
      </c>
      <c r="H24" s="23" t="s">
        <v>34</v>
      </c>
      <c r="J24" s="22" t="s">
        <v>33</v>
      </c>
      <c r="K24" t="s">
        <v>35</v>
      </c>
      <c r="N24" s="22" t="s">
        <v>33</v>
      </c>
      <c r="O24" t="s">
        <v>36</v>
      </c>
    </row>
    <row r="25" spans="3:16" ht="20.100000000000001" customHeight="1" x14ac:dyDescent="0.25">
      <c r="C25" s="57" t="s">
        <v>37</v>
      </c>
      <c r="D25" s="57"/>
      <c r="E25" s="58" t="s">
        <v>38</v>
      </c>
      <c r="F25" s="58"/>
      <c r="G25" s="22" t="s">
        <v>33</v>
      </c>
      <c r="H25" s="23" t="s">
        <v>39</v>
      </c>
      <c r="J25" s="22" t="s">
        <v>33</v>
      </c>
      <c r="K25" t="s">
        <v>40</v>
      </c>
      <c r="N25" s="22" t="s">
        <v>33</v>
      </c>
      <c r="O25" t="s">
        <v>41</v>
      </c>
    </row>
    <row r="26" spans="3:16" ht="20.100000000000001" customHeight="1" x14ac:dyDescent="0.25">
      <c r="G26" s="22" t="s">
        <v>33</v>
      </c>
      <c r="H26" s="23" t="s">
        <v>42</v>
      </c>
      <c r="J26" s="22" t="s">
        <v>33</v>
      </c>
      <c r="K26" t="s">
        <v>43</v>
      </c>
      <c r="N26" s="22" t="s">
        <v>33</v>
      </c>
      <c r="O26" t="s">
        <v>44</v>
      </c>
    </row>
    <row r="27" spans="3:16" ht="20.100000000000001" customHeight="1" x14ac:dyDescent="0.25">
      <c r="G27" s="22" t="s">
        <v>33</v>
      </c>
      <c r="H27" s="23" t="s">
        <v>45</v>
      </c>
    </row>
  </sheetData>
  <mergeCells count="8">
    <mergeCell ref="C25:D25"/>
    <mergeCell ref="E25:F25"/>
    <mergeCell ref="B3:P3"/>
    <mergeCell ref="B2:P2"/>
    <mergeCell ref="B1:P1"/>
    <mergeCell ref="M5:N5"/>
    <mergeCell ref="C23:D23"/>
    <mergeCell ref="C24:D24"/>
  </mergeCells>
  <phoneticPr fontId="4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Jadwal Petugas Piket</vt:lpstr>
      <vt:lpstr>Laporan Kegiatan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user</cp:lastModifiedBy>
  <dcterms:created xsi:type="dcterms:W3CDTF">2026-02-11T01:48:39Z</dcterms:created>
  <dcterms:modified xsi:type="dcterms:W3CDTF">2026-04-23T04:41:26Z</dcterms:modified>
</cp:coreProperties>
</file>