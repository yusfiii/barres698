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D:\DAMKAR 2025\IKK\IKK 2023 2024\"/>
    </mc:Choice>
  </mc:AlternateContent>
  <xr:revisionPtr revIDLastSave="0" documentId="13_ncr:1_{39627120-B4D4-42B3-8D6B-4E30AA4C2DFA}" xr6:coauthVersionLast="47" xr6:coauthVersionMax="47" xr10:uidLastSave="{00000000-0000-0000-0000-000000000000}"/>
  <bookViews>
    <workbookView xWindow="-120" yWindow="-120" windowWidth="20730" windowHeight="11040" firstSheet="4" activeTab="8" xr2:uid="{00000000-000D-0000-FFFF-FFFF00000000}"/>
  </bookViews>
  <sheets>
    <sheet name="RELAWAN" sheetId="2" r:id="rId1"/>
    <sheet name="APARATUR" sheetId="3" r:id="rId2"/>
    <sheet name="JUMLAH KAPASITAS" sheetId="12" r:id="rId3"/>
    <sheet name="SAPRAS" sheetId="4" r:id="rId4"/>
    <sheet name="DATA POS " sheetId="6" r:id="rId5"/>
    <sheet name="EVAKUASI" sheetId="7" r:id="rId6"/>
    <sheet name="Sheet1" sheetId="10" r:id="rId7"/>
    <sheet name="RESPONSE TIME" sheetId="9" r:id="rId8"/>
    <sheet name="RESPONSE TIME (2)" sheetId="13" r:id="rId9"/>
    <sheet name="Sheet2" sheetId="11" r:id="rId10"/>
  </sheets>
  <definedNames>
    <definedName name="_xlnm.Print_Area" localSheetId="3">SAPRAS!$A$1:$Q$35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4" i="11" l="1"/>
  <c r="S15" i="11" s="1"/>
  <c r="S16" i="11" s="1"/>
  <c r="S17" i="11" s="1"/>
  <c r="S18" i="11" s="1"/>
  <c r="S19" i="11" s="1"/>
  <c r="W46" i="13"/>
  <c r="Q46" i="13"/>
  <c r="P46" i="13"/>
  <c r="O46" i="13"/>
  <c r="N46" i="13"/>
  <c r="M46" i="13"/>
  <c r="L46" i="13"/>
  <c r="K46" i="13"/>
  <c r="J46" i="13"/>
  <c r="J5" i="11" l="1"/>
  <c r="S36" i="10"/>
  <c r="C36" i="10"/>
  <c r="D36" i="10"/>
  <c r="E36" i="10"/>
  <c r="F36" i="10"/>
  <c r="G36" i="10"/>
  <c r="H36" i="10"/>
  <c r="I36" i="10"/>
  <c r="J36" i="10"/>
  <c r="K36" i="10"/>
  <c r="L36" i="10"/>
  <c r="M36" i="10"/>
  <c r="N36" i="10"/>
  <c r="O36" i="10"/>
  <c r="P36" i="10"/>
  <c r="Q36" i="10"/>
  <c r="R36" i="10"/>
  <c r="B36" i="10"/>
  <c r="C18" i="10"/>
  <c r="D18" i="10"/>
  <c r="E18" i="10"/>
  <c r="F18" i="10"/>
  <c r="G18" i="10"/>
  <c r="H18" i="10"/>
  <c r="I18" i="10"/>
  <c r="J18" i="10"/>
  <c r="K18" i="10"/>
  <c r="L18" i="10"/>
  <c r="M18" i="10"/>
  <c r="N18" i="10"/>
  <c r="B18" i="10"/>
  <c r="T34" i="10"/>
  <c r="O16" i="10"/>
  <c r="O6" i="10"/>
  <c r="O7" i="10"/>
  <c r="O8" i="10"/>
  <c r="O9" i="10"/>
  <c r="O10" i="10"/>
  <c r="O11" i="10"/>
  <c r="O12" i="10"/>
  <c r="O13" i="10"/>
  <c r="O14" i="10"/>
  <c r="O15" i="10"/>
  <c r="O5" i="10"/>
  <c r="T24" i="10"/>
  <c r="T25" i="10"/>
  <c r="T26" i="10"/>
  <c r="T27" i="10"/>
  <c r="T28" i="10"/>
  <c r="T29" i="10"/>
  <c r="T30" i="10"/>
  <c r="T31" i="10"/>
  <c r="T32" i="10"/>
  <c r="T33" i="10"/>
  <c r="T23" i="10"/>
  <c r="H40" i="10"/>
  <c r="E40" i="10"/>
  <c r="T36" i="10" l="1"/>
  <c r="D40" i="10" s="1"/>
  <c r="O18" i="10"/>
  <c r="C40" i="10" s="1"/>
  <c r="W46" i="9"/>
  <c r="I5" i="11" s="1"/>
  <c r="L5" i="11" s="1"/>
  <c r="N5" i="11" s="1"/>
  <c r="K46" i="9"/>
  <c r="B5" i="11" s="1"/>
  <c r="L46" i="9"/>
  <c r="C5" i="11" s="1"/>
  <c r="M46" i="9"/>
  <c r="D5" i="11" s="1"/>
  <c r="N46" i="9"/>
  <c r="E5" i="11" s="1"/>
  <c r="O46" i="9"/>
  <c r="F5" i="11" s="1"/>
  <c r="P46" i="9"/>
  <c r="G5" i="11" s="1"/>
  <c r="Q46" i="9"/>
  <c r="H5" i="11" s="1"/>
  <c r="J46" i="9"/>
  <c r="A5" i="11" s="1"/>
  <c r="B40" i="10" l="1"/>
  <c r="P13" i="11"/>
  <c r="P14" i="11"/>
  <c r="P15" i="11" s="1"/>
  <c r="P16" i="11" s="1"/>
  <c r="P17" i="11" s="1"/>
  <c r="P18" i="11" s="1"/>
  <c r="P19" i="11" s="1"/>
</calcChain>
</file>

<file path=xl/sharedStrings.xml><?xml version="1.0" encoding="utf-8"?>
<sst xmlns="http://schemas.openxmlformats.org/spreadsheetml/2006/main" count="4018" uniqueCount="2502">
  <si>
    <t xml:space="preserve">NIK </t>
  </si>
  <si>
    <t>NAMA</t>
  </si>
  <si>
    <t>NO</t>
  </si>
  <si>
    <t>PEMERINTAH KOTA BANJARBARU</t>
  </si>
  <si>
    <t>SATUAN POLISI PAMONG PRAJA</t>
  </si>
  <si>
    <t>Website : Satpolpp.banjarbarukota.go.id – Email  : admin@satpolpp.banjarbarukota.go.id</t>
  </si>
  <si>
    <t>Alamat : Jl. Pangeran Antasari No. 7 Banjarbaru Kalimantan Selatan</t>
  </si>
  <si>
    <t xml:space="preserve">BINAAN UPT PEMADAM KEBAKARAN DAN PENYELAMATAN </t>
  </si>
  <si>
    <t xml:space="preserve"> KOTA BANJARBARU</t>
  </si>
  <si>
    <t>RELAWAN KEBAKARAN</t>
  </si>
  <si>
    <t>APARATUR PEMADAM KEBAKARAN YANG MEMENUHI STANDAR KUALIFIKASI PEMADAM</t>
  </si>
  <si>
    <t>PERATURAN MENTERI DALAM NEGERI NO. 16 TAHUN 2009 TENTANG STANDAR KUALIFIKASI APARATUR PEMADAM KEBAKARAN</t>
  </si>
  <si>
    <t xml:space="preserve"> TANDA TANGAN SERTIFIKAT</t>
  </si>
  <si>
    <t>SERTIFIKAT KOMPETENSI</t>
  </si>
  <si>
    <t>ADE SUSANTO</t>
  </si>
  <si>
    <t>RANU WIBOWO</t>
  </si>
  <si>
    <t>PEMADAM 1</t>
  </si>
  <si>
    <t>NO REGISTRASI</t>
  </si>
  <si>
    <t>DITJEN BINA ADWIL KEMENDAGRI</t>
  </si>
  <si>
    <t>JENIS SARANA PRASARANA PEMADAMAN, PENYELAMATAN DAN EVAKUASI</t>
  </si>
  <si>
    <t>JUMLAH</t>
  </si>
  <si>
    <t>UPT PEMADAM KEBAKARAN DAN PENYELAMATAN KOTA BANJARBARU</t>
  </si>
  <si>
    <t>KONDISI</t>
  </si>
  <si>
    <t>POS SEKTOR DAMKAR YANG DILENGKAPI SARANA PRASARANA DAMKAR, PRASARANA PENYELAMATAN DI KECAMATAN</t>
  </si>
  <si>
    <t xml:space="preserve">KECAMATAN </t>
  </si>
  <si>
    <t>JUMLAH POS</t>
  </si>
  <si>
    <t>KETERANGAN</t>
  </si>
  <si>
    <t>Banjarbaru Selatan</t>
  </si>
  <si>
    <t>Posko UPT Pemadam Kebakaran</t>
  </si>
  <si>
    <t>Banjarbaru,     Januari 2024</t>
  </si>
  <si>
    <t>Kepala Satuan Polisi Pamong Praja</t>
  </si>
  <si>
    <t>HIDAYATURAHMAN, S.Sos, M.Si.</t>
  </si>
  <si>
    <t>Pembina Utama Muda</t>
  </si>
  <si>
    <t>NIP. 19700815 199003 1 002</t>
  </si>
  <si>
    <t>HARI/TGL</t>
  </si>
  <si>
    <t>JAM</t>
  </si>
  <si>
    <t>INFO VIA</t>
  </si>
  <si>
    <t>KEGIATAN</t>
  </si>
  <si>
    <t>Hewan</t>
  </si>
  <si>
    <t>DLL</t>
  </si>
  <si>
    <t xml:space="preserve">KORBAN </t>
  </si>
  <si>
    <t>PETUGAS/UNIT OPS</t>
  </si>
  <si>
    <t>KET</t>
  </si>
  <si>
    <t>TELP/RADIO</t>
  </si>
  <si>
    <t>MD (org)</t>
  </si>
  <si>
    <t>CEDERA</t>
  </si>
  <si>
    <t>KK</t>
  </si>
  <si>
    <t>JW</t>
  </si>
  <si>
    <t>7 orang/1 unit</t>
  </si>
  <si>
    <t>tawon</t>
  </si>
  <si>
    <t>4 orang/1 unit</t>
  </si>
  <si>
    <t>ular</t>
  </si>
  <si>
    <t>6 orang / 1 unit</t>
  </si>
  <si>
    <t>kucing</t>
  </si>
  <si>
    <t>6 orang/1 unit</t>
  </si>
  <si>
    <t>5 orang/1 unit</t>
  </si>
  <si>
    <t>lebah</t>
  </si>
  <si>
    <t>8 orang/1 unit</t>
  </si>
  <si>
    <t>cincin</t>
  </si>
  <si>
    <t>9 orang/1 unit</t>
  </si>
  <si>
    <t>biawak</t>
  </si>
  <si>
    <t>monyet</t>
  </si>
  <si>
    <t>anjing</t>
  </si>
  <si>
    <t>musang</t>
  </si>
  <si>
    <t>4 orang/ 1 unit</t>
  </si>
  <si>
    <t>3 orang/1 unit</t>
  </si>
  <si>
    <t>4 orang /1 unit</t>
  </si>
  <si>
    <t>6 orang /1 unit</t>
  </si>
  <si>
    <t>hp</t>
  </si>
  <si>
    <t>7 orang /1 unit</t>
  </si>
  <si>
    <t>mobil</t>
  </si>
  <si>
    <t>5 orang  /1 unit</t>
  </si>
  <si>
    <t>8 orang/ 1 unit</t>
  </si>
  <si>
    <t>pohon</t>
  </si>
  <si>
    <t xml:space="preserve">JENIS LAYANAN PENYELAMATAN DAN EVAKUASI PADA KONDISI MEMBAHAYAKAN MANUSIA </t>
  </si>
  <si>
    <t>( OPERASI DARURAT NON KEBAKARAN )</t>
  </si>
  <si>
    <t>RATA-RATA WAKTU TANGGAP (RESPONSE TIME) PENANGANAN KEBAKARAN</t>
  </si>
  <si>
    <t>YG TERBAKAR</t>
  </si>
  <si>
    <t>PENYEBABNYA</t>
  </si>
  <si>
    <t>RESPONSE TIME</t>
  </si>
  <si>
    <t>SATUAN</t>
  </si>
  <si>
    <t>LAPORAN DITERIMA</t>
  </si>
  <si>
    <t>LAHAN</t>
  </si>
  <si>
    <t>BANGUNAN</t>
  </si>
  <si>
    <t>belum diketahui</t>
  </si>
  <si>
    <t>Menit</t>
  </si>
  <si>
    <t xml:space="preserve">via grup emergency </t>
  </si>
  <si>
    <t>13 orang/1 unit</t>
  </si>
  <si>
    <t>14 orang/2 unit</t>
  </si>
  <si>
    <t>12 orang/1 unit</t>
  </si>
  <si>
    <t>10 orang/1 unit</t>
  </si>
  <si>
    <t>konsleting listrik</t>
  </si>
  <si>
    <t>menit</t>
  </si>
  <si>
    <t>12 orang/2 unit</t>
  </si>
  <si>
    <t>11 orang/2 unit</t>
  </si>
  <si>
    <t>13 orang/2 unit</t>
  </si>
  <si>
    <t>11 orang/1 unit</t>
  </si>
  <si>
    <t>12 orang/3 unit</t>
  </si>
  <si>
    <t>7 orang/2 unit</t>
  </si>
  <si>
    <t>15 orang/1 unit</t>
  </si>
  <si>
    <t>9 orang/2 unit</t>
  </si>
  <si>
    <t>MENIT</t>
  </si>
  <si>
    <t xml:space="preserve">JUMLAH WAKTU </t>
  </si>
  <si>
    <t>JUMLAH KEGIATAN</t>
  </si>
  <si>
    <t>RATA-RATA</t>
  </si>
  <si>
    <t>JENIS SAPRAS</t>
  </si>
  <si>
    <t>Baik</t>
  </si>
  <si>
    <t>Mobil Tangki Hino Duetro / Ton 7</t>
  </si>
  <si>
    <t>Mobil Mesin Pompa Isuzu / 50 / Ton 3</t>
  </si>
  <si>
    <t>Mobil Mesin Pompa Isuzu / Naruto / Ton 4</t>
  </si>
  <si>
    <t>Tabung Apar</t>
  </si>
  <si>
    <t>7 buah</t>
  </si>
  <si>
    <t>1 buah</t>
  </si>
  <si>
    <t>1207281310850003</t>
  </si>
  <si>
    <t>SURYA DARMA</t>
  </si>
  <si>
    <t>6203052802820002</t>
  </si>
  <si>
    <t>ABASUDIN</t>
  </si>
  <si>
    <t>6203174508970002</t>
  </si>
  <si>
    <t>SITI HAJAR</t>
  </si>
  <si>
    <t>6206020109960001</t>
  </si>
  <si>
    <t>MUHAMMAD NORTAJLI</t>
  </si>
  <si>
    <t>6301042409900001</t>
  </si>
  <si>
    <t>BADRIANOR</t>
  </si>
  <si>
    <t>6301050206040001</t>
  </si>
  <si>
    <t>HAFIF ANSARI</t>
  </si>
  <si>
    <t>6301050506850005</t>
  </si>
  <si>
    <t>NUR IFANSYAH</t>
  </si>
  <si>
    <t>6301052601030008</t>
  </si>
  <si>
    <t>MUHAMMAD SOLEHIN</t>
  </si>
  <si>
    <t>6301052806050001</t>
  </si>
  <si>
    <t>M.SURYA</t>
  </si>
  <si>
    <t>6301094403000004</t>
  </si>
  <si>
    <t>ANNISA FITRIANY</t>
  </si>
  <si>
    <t>6302061609840003</t>
  </si>
  <si>
    <t>HENDRI WIJAYA PUTRA</t>
  </si>
  <si>
    <t>6303011104960001</t>
  </si>
  <si>
    <t>ZAINUDIN</t>
  </si>
  <si>
    <t>6303022909010006</t>
  </si>
  <si>
    <t>RUSDIANNOOR</t>
  </si>
  <si>
    <t>6303030601950002</t>
  </si>
  <si>
    <t>SUWANTO</t>
  </si>
  <si>
    <t>6303030806840004</t>
  </si>
  <si>
    <t>H.M.MAKKI</t>
  </si>
  <si>
    <t>6303032507930002</t>
  </si>
  <si>
    <t>AHMAD MUZAKIR</t>
  </si>
  <si>
    <t>6303032509850002</t>
  </si>
  <si>
    <t>SAPTO AGUS TRISNIAWAN</t>
  </si>
  <si>
    <t>6303032802040001</t>
  </si>
  <si>
    <t>M.ZIDANE ANSHARI</t>
  </si>
  <si>
    <t>6303032907960003</t>
  </si>
  <si>
    <t>ABDULLAH MAHMUD</t>
  </si>
  <si>
    <t>6303050803910002</t>
  </si>
  <si>
    <t>H.ABDULLAH</t>
  </si>
  <si>
    <t>6303051212960007</t>
  </si>
  <si>
    <t>ABDUL RAHIM</t>
  </si>
  <si>
    <t>6303051305040002</t>
  </si>
  <si>
    <t>ACHMAD MAULANI</t>
  </si>
  <si>
    <t>6303056601890005</t>
  </si>
  <si>
    <t>SITI FATIMAH</t>
  </si>
  <si>
    <t>6303070205010004</t>
  </si>
  <si>
    <t>M. RIFKI</t>
  </si>
  <si>
    <t>6303121207830007</t>
  </si>
  <si>
    <t>FITRIAN NOOR</t>
  </si>
  <si>
    <t>6303130901930002</t>
  </si>
  <si>
    <t>BAYU LAZUARDI</t>
  </si>
  <si>
    <t>6303151201740001</t>
  </si>
  <si>
    <t>MUHAMMAD ARSYAD</t>
  </si>
  <si>
    <t>6304050204970004</t>
  </si>
  <si>
    <t>AKHMAD RAMADHANI</t>
  </si>
  <si>
    <t>6304052409930002</t>
  </si>
  <si>
    <t>SATRIYA INDRA PERMANA</t>
  </si>
  <si>
    <t>6305011807960003</t>
  </si>
  <si>
    <t>M.HENDRIANI IHSAN</t>
  </si>
  <si>
    <t>6306010907990005</t>
  </si>
  <si>
    <t>MUHAMMAD ALFIANNOOR</t>
  </si>
  <si>
    <t>6306041702910001</t>
  </si>
  <si>
    <t>WIRIAWAN</t>
  </si>
  <si>
    <t>6306092010970001</t>
  </si>
  <si>
    <t>MUHAMMAD ARIF RAHMAN</t>
  </si>
  <si>
    <t>6307060602890003</t>
  </si>
  <si>
    <t>M. ARIFIN</t>
  </si>
  <si>
    <t>6307061708000003</t>
  </si>
  <si>
    <t>MUHAMMAD RIVKI AVRIAN</t>
  </si>
  <si>
    <t>6372040203900001</t>
  </si>
  <si>
    <t>HERMAN</t>
  </si>
  <si>
    <t>6372040303820003</t>
  </si>
  <si>
    <t>FAJRIANNUR</t>
  </si>
  <si>
    <t>6372040304790003</t>
  </si>
  <si>
    <t>MUHAMMAD SODIKIN</t>
  </si>
  <si>
    <t>6372040305020001</t>
  </si>
  <si>
    <t>ERLANGGA</t>
  </si>
  <si>
    <t>6372040404010001</t>
  </si>
  <si>
    <t>RIZAL</t>
  </si>
  <si>
    <t>6372040404010002</t>
  </si>
  <si>
    <t>MUHAMMAD RIFALDI</t>
  </si>
  <si>
    <t>6372040410030001</t>
  </si>
  <si>
    <t>AHMAD ANSORI</t>
  </si>
  <si>
    <t>6372040511050001</t>
  </si>
  <si>
    <t>PUTRA SATRIA RAMADHAN</t>
  </si>
  <si>
    <t>6372040604990002</t>
  </si>
  <si>
    <t>AHMAD GAZALI RAHMAN</t>
  </si>
  <si>
    <t>6372040605680003</t>
  </si>
  <si>
    <t>FITRIANSYAH</t>
  </si>
  <si>
    <t>6372040704050001</t>
  </si>
  <si>
    <t>ADITIA</t>
  </si>
  <si>
    <t>6372040710050001</t>
  </si>
  <si>
    <t>AKHMAD RIZQY RAMADHAN</t>
  </si>
  <si>
    <t>6372040710990001</t>
  </si>
  <si>
    <t>TAUFIQ HIDAYAT</t>
  </si>
  <si>
    <t>6372040804800001</t>
  </si>
  <si>
    <t>JUNAIDI</t>
  </si>
  <si>
    <t>6372040804990001</t>
  </si>
  <si>
    <t>ARIYADI</t>
  </si>
  <si>
    <t>6372040808750001</t>
  </si>
  <si>
    <t>AGUS SALIM</t>
  </si>
  <si>
    <t>6372040904700004</t>
  </si>
  <si>
    <t>RAHMAT HIDAYAT</t>
  </si>
  <si>
    <t>6372040911800001</t>
  </si>
  <si>
    <t>RAHMAT JUHAIDI</t>
  </si>
  <si>
    <t>6372041001690003</t>
  </si>
  <si>
    <t>SELAMAT MUJIO</t>
  </si>
  <si>
    <t>6372041009840001</t>
  </si>
  <si>
    <t>ADI GUNAWAN</t>
  </si>
  <si>
    <t>6372041010040002</t>
  </si>
  <si>
    <t>AKHMAD NAZUA</t>
  </si>
  <si>
    <t>6372041103010003</t>
  </si>
  <si>
    <t>MUHAMMAD RIZQI</t>
  </si>
  <si>
    <t>6372041105050001</t>
  </si>
  <si>
    <t>MUHAMMAD AMIN BADALI</t>
  </si>
  <si>
    <t>6372041107800001</t>
  </si>
  <si>
    <t>GUNAWAN</t>
  </si>
  <si>
    <t>6372041202810005</t>
  </si>
  <si>
    <t>AHMAD SYAIFUL BAHRI</t>
  </si>
  <si>
    <t>6372041206030002</t>
  </si>
  <si>
    <t>IMAM</t>
  </si>
  <si>
    <t>6372041208860001</t>
  </si>
  <si>
    <t>ARIFIN</t>
  </si>
  <si>
    <t>6372041211010002</t>
  </si>
  <si>
    <t>AHMAD IRPANSYAH</t>
  </si>
  <si>
    <t>6372064906990005</t>
  </si>
  <si>
    <t>ROLIA EVA SAFITRI</t>
  </si>
  <si>
    <t>6372062907050005</t>
  </si>
  <si>
    <t>AHMAD RAFLY ALFAYD</t>
  </si>
  <si>
    <t>6372041306830003</t>
  </si>
  <si>
    <t>ABDUL AZIZ</t>
  </si>
  <si>
    <t>6372041308040001</t>
  </si>
  <si>
    <t>MUHAMMAD FAUZY</t>
  </si>
  <si>
    <t>6372041405030001</t>
  </si>
  <si>
    <t>SYAKRAN SARI</t>
  </si>
  <si>
    <t>6372041409930002</t>
  </si>
  <si>
    <t>SETIA BUDI</t>
  </si>
  <si>
    <t>6372041410850001</t>
  </si>
  <si>
    <t>ROY SATRIADI</t>
  </si>
  <si>
    <t>6372041505950001</t>
  </si>
  <si>
    <t>ROYYAN ABDURRAHMAN</t>
  </si>
  <si>
    <t>6372041510030003</t>
  </si>
  <si>
    <t>MUHAMMAD NOOR</t>
  </si>
  <si>
    <t>6372041705030002</t>
  </si>
  <si>
    <t>M NAZARI</t>
  </si>
  <si>
    <t>6372041707700002</t>
  </si>
  <si>
    <t>ACHMAD ZAENURI</t>
  </si>
  <si>
    <t>6372041803040002</t>
  </si>
  <si>
    <t>MUHAMMAD ERWAN</t>
  </si>
  <si>
    <t>6372041803790001</t>
  </si>
  <si>
    <t>YUDHA SATRIA</t>
  </si>
  <si>
    <t>6372041808820008</t>
  </si>
  <si>
    <t>KHAIRULLAH</t>
  </si>
  <si>
    <t>6372041905930001</t>
  </si>
  <si>
    <t>M. ZARKASI</t>
  </si>
  <si>
    <t>6372041905980001</t>
  </si>
  <si>
    <t>ANDI KURNIAWAN</t>
  </si>
  <si>
    <t>6372041907640001</t>
  </si>
  <si>
    <t>MUHAMMAD ARSADI</t>
  </si>
  <si>
    <t>6372041910830001</t>
  </si>
  <si>
    <t>SOLIHIN</t>
  </si>
  <si>
    <t>6372042104970001</t>
  </si>
  <si>
    <t>ARIEF FOR RAHMAN</t>
  </si>
  <si>
    <t>6372042107780002</t>
  </si>
  <si>
    <t>MUKHRIM ANDI</t>
  </si>
  <si>
    <t>6372042111010001</t>
  </si>
  <si>
    <t>AHMAD RONI</t>
  </si>
  <si>
    <t>6372042201040002</t>
  </si>
  <si>
    <t>MUHAMMAD RICHO PRIBADI</t>
  </si>
  <si>
    <t>6372042403990002</t>
  </si>
  <si>
    <t>AHMAD BADALI</t>
  </si>
  <si>
    <t>6372042404860001</t>
  </si>
  <si>
    <t>HENDRA</t>
  </si>
  <si>
    <t>6372042505950002</t>
  </si>
  <si>
    <t>MUHAMMAD FAZERI</t>
  </si>
  <si>
    <t>6372042507030003</t>
  </si>
  <si>
    <t>MUHAMMAD RAHMAN PRATAMA</t>
  </si>
  <si>
    <t>6372042604930003</t>
  </si>
  <si>
    <t>KHAIRUL AMIN</t>
  </si>
  <si>
    <t>6372042611950001</t>
  </si>
  <si>
    <t>AHMAD HUSIN</t>
  </si>
  <si>
    <t>6372042612030001</t>
  </si>
  <si>
    <t>JUHDIANSYAH</t>
  </si>
  <si>
    <t>6372042705900003</t>
  </si>
  <si>
    <t>SUPIAN HARDI</t>
  </si>
  <si>
    <t>6372042707910001</t>
  </si>
  <si>
    <t>ADI SUCIPTO</t>
  </si>
  <si>
    <t>6372042709030004</t>
  </si>
  <si>
    <t>MUHAMMAD ZAINI RAHMAN</t>
  </si>
  <si>
    <t>6372042711020002</t>
  </si>
  <si>
    <t>MUHAMMAD NOR</t>
  </si>
  <si>
    <t>6372042912030005</t>
  </si>
  <si>
    <t>MUHAMMAD RIZKY FADHILLAH</t>
  </si>
  <si>
    <t>6372050205660002</t>
  </si>
  <si>
    <t>HUSAINI</t>
  </si>
  <si>
    <t>6372050412890001</t>
  </si>
  <si>
    <t>M. HERU RIPANI</t>
  </si>
  <si>
    <t>6372050608000002</t>
  </si>
  <si>
    <t>MUHAMMAD RIZA WAHYUDIN</t>
  </si>
  <si>
    <t>6372050705010002</t>
  </si>
  <si>
    <t>WAHYU SAFARI</t>
  </si>
  <si>
    <t>6372050808020002</t>
  </si>
  <si>
    <t>MUHAMMAD RIZKY MAULANA</t>
  </si>
  <si>
    <t>6372050904020001</t>
  </si>
  <si>
    <t>MUHAMMAD TAUFIQURRAHMAN</t>
  </si>
  <si>
    <t>6372050904930001</t>
  </si>
  <si>
    <t>M. RIPANI</t>
  </si>
  <si>
    <t>6372051103000001</t>
  </si>
  <si>
    <t>RANDIKA PUTRA HIDAYATULLAH</t>
  </si>
  <si>
    <t>6372051506020002</t>
  </si>
  <si>
    <t>MUHAMMAD SAID EDDY ISKANDAR</t>
  </si>
  <si>
    <t>6372051602800003</t>
  </si>
  <si>
    <t>MAHYUNI, SHI</t>
  </si>
  <si>
    <t>6372051607030001</t>
  </si>
  <si>
    <t>M. WAHYUDI RAHMAN</t>
  </si>
  <si>
    <t>6372051908980001</t>
  </si>
  <si>
    <t>MUHAMMAD YUSUF BIDOL</t>
  </si>
  <si>
    <t>6372052003030002</t>
  </si>
  <si>
    <t>MUHAMMAD RIDHWAN SURIANATA</t>
  </si>
  <si>
    <t>6372052107950001</t>
  </si>
  <si>
    <t>NOOR IKSAN</t>
  </si>
  <si>
    <t>6372052410750003</t>
  </si>
  <si>
    <t>EKO SASMITO</t>
  </si>
  <si>
    <t>6372052603010002</t>
  </si>
  <si>
    <t>MUHAMMAD RIZALI</t>
  </si>
  <si>
    <t>6372053007850001</t>
  </si>
  <si>
    <t>HARDIANSYAH</t>
  </si>
  <si>
    <t>6372060109040001</t>
  </si>
  <si>
    <t>RAHMAD SEPTIAN SAPUTRA</t>
  </si>
  <si>
    <t>6372060110640004</t>
  </si>
  <si>
    <t>SUTARNO</t>
  </si>
  <si>
    <t>6372060205040001</t>
  </si>
  <si>
    <t>M.HAFIZURRAHMAN</t>
  </si>
  <si>
    <t>6372060404890004</t>
  </si>
  <si>
    <t>AFRIAN SYAHBANA</t>
  </si>
  <si>
    <t>6372060406000003</t>
  </si>
  <si>
    <t>MUHAMMAD IKHSAN</t>
  </si>
  <si>
    <t>6372060808050005</t>
  </si>
  <si>
    <t>MIFTAHUL IKHSAN</t>
  </si>
  <si>
    <t>6372061103990004</t>
  </si>
  <si>
    <t>RUDY SANTOSO</t>
  </si>
  <si>
    <t>6372061206950003</t>
  </si>
  <si>
    <t>FAJAR ARIF RAHMAN</t>
  </si>
  <si>
    <t>6372061207720002</t>
  </si>
  <si>
    <t>MUHAMMAD DJUNAIDI,SE</t>
  </si>
  <si>
    <t>6372061212790001</t>
  </si>
  <si>
    <t>RIDUANSYAH</t>
  </si>
  <si>
    <t>6372061505010003</t>
  </si>
  <si>
    <t>MUHAMMAD RIDHO AR RIFQI</t>
  </si>
  <si>
    <t>6372061510900003</t>
  </si>
  <si>
    <t>MUHAMMAD YUNUS</t>
  </si>
  <si>
    <t>6372061704950001</t>
  </si>
  <si>
    <t>MUHAMMAD FAJERIN HIDAYAT</t>
  </si>
  <si>
    <t>6372061707840002</t>
  </si>
  <si>
    <t>SYAIPUL RAHMAN</t>
  </si>
  <si>
    <t>6372061707980002</t>
  </si>
  <si>
    <t>MUHAMMAD FIRMAN NOOR HAKIM</t>
  </si>
  <si>
    <t>6372061712030003</t>
  </si>
  <si>
    <t>MUHAMMAD RIZKI</t>
  </si>
  <si>
    <t>6372061801860002</t>
  </si>
  <si>
    <t>SOFYAN NOOR</t>
  </si>
  <si>
    <t>6372061808630001</t>
  </si>
  <si>
    <t>MUHAMMAD FARHANI</t>
  </si>
  <si>
    <t>6372061811990001</t>
  </si>
  <si>
    <t>MUHAMMAD HASANUDIN</t>
  </si>
  <si>
    <t>6372061904040001</t>
  </si>
  <si>
    <t>MUHAMAD AKBAR PRIYANDITO</t>
  </si>
  <si>
    <t>6372061908850003</t>
  </si>
  <si>
    <t>BUSTANIL ARIFIN</t>
  </si>
  <si>
    <t>6372062004040004</t>
  </si>
  <si>
    <t>MUHAMMD NOOR</t>
  </si>
  <si>
    <t>6372062010040001</t>
  </si>
  <si>
    <t>MUHAMMAD YUSUF RAMADHANI</t>
  </si>
  <si>
    <t>6372062310030001</t>
  </si>
  <si>
    <t>RUSMANTO</t>
  </si>
  <si>
    <t>6372062411990003</t>
  </si>
  <si>
    <t>MUHAMMAD NOR FAUZI</t>
  </si>
  <si>
    <t>6372062502030003</t>
  </si>
  <si>
    <t>MUHAMMAD ABOE DZAR AL-GHIFARY</t>
  </si>
  <si>
    <t>6372062510680002</t>
  </si>
  <si>
    <t>ALIANSYAH</t>
  </si>
  <si>
    <t>6372062604000002</t>
  </si>
  <si>
    <t>BENNY TRI PRITAMA</t>
  </si>
  <si>
    <t>6372062606760001</t>
  </si>
  <si>
    <t>SYABRUDDIN</t>
  </si>
  <si>
    <t>6372062705980001</t>
  </si>
  <si>
    <t>KODRAT UNGGUL PRASETIO</t>
  </si>
  <si>
    <t>6372062706060001</t>
  </si>
  <si>
    <t>MUHAMMAD MAHFUZ</t>
  </si>
  <si>
    <t>6372062802860001</t>
  </si>
  <si>
    <t>RIZA FIRHANADI</t>
  </si>
  <si>
    <t>6372062804990004</t>
  </si>
  <si>
    <t>TRI WAHUYU ATHAYU</t>
  </si>
  <si>
    <t>6372062809950001</t>
  </si>
  <si>
    <t>ISRIWAN</t>
  </si>
  <si>
    <t>6307062909020001</t>
  </si>
  <si>
    <t>MUHAMMAD IHSAN CIPTA PRATAMA</t>
  </si>
  <si>
    <t>6307072602990001</t>
  </si>
  <si>
    <t>REDA EKWANTO</t>
  </si>
  <si>
    <t>6308010911020001</t>
  </si>
  <si>
    <t>PADHIL</t>
  </si>
  <si>
    <t>6308060405950004</t>
  </si>
  <si>
    <t>HALIM HIDAYAT</t>
  </si>
  <si>
    <t>6310094501880006</t>
  </si>
  <si>
    <t>MIFTAH</t>
  </si>
  <si>
    <t>6371010309940012</t>
  </si>
  <si>
    <t>HAFIS ANSYARI</t>
  </si>
  <si>
    <t>6371011811050007</t>
  </si>
  <si>
    <t>ANDI IHTIAR</t>
  </si>
  <si>
    <t>6371012212840003</t>
  </si>
  <si>
    <t>INDRA TRI SULISTIONO</t>
  </si>
  <si>
    <t>6371020601010008</t>
  </si>
  <si>
    <t>FAUZAN NOOR YASYA</t>
  </si>
  <si>
    <t>6371020904000012</t>
  </si>
  <si>
    <t>MOCHAMMAD RIZKI</t>
  </si>
  <si>
    <t>6371021002000009</t>
  </si>
  <si>
    <t>MUHAMMAD BELLY SAPUTRA</t>
  </si>
  <si>
    <t>6371030306050007</t>
  </si>
  <si>
    <t>M. ILHAM RESNAWAN</t>
  </si>
  <si>
    <t>6371031309820004</t>
  </si>
  <si>
    <t>IRFANSYAH</t>
  </si>
  <si>
    <t>6371031310930005</t>
  </si>
  <si>
    <t>M. AHDIAN NOOR</t>
  </si>
  <si>
    <t>6371040105880004</t>
  </si>
  <si>
    <t>SURYA RAMADHAN</t>
  </si>
  <si>
    <t>6371040212850004</t>
  </si>
  <si>
    <t>FUADI</t>
  </si>
  <si>
    <t>SUBHAN NOR</t>
  </si>
  <si>
    <t>6371040609010002</t>
  </si>
  <si>
    <t>MUHAMMAD RAFI</t>
  </si>
  <si>
    <t>6371041908940005</t>
  </si>
  <si>
    <t>GUSTI DERRY SETIA BUDI</t>
  </si>
  <si>
    <t>6371051701030004</t>
  </si>
  <si>
    <t>RAHMAD ASHARI</t>
  </si>
  <si>
    <t>6371053005970003</t>
  </si>
  <si>
    <t>MUHAMMAD FATURRAHMAN</t>
  </si>
  <si>
    <t>6372020104900004</t>
  </si>
  <si>
    <t>ASPIRIYANI</t>
  </si>
  <si>
    <t>6372020107680151</t>
  </si>
  <si>
    <t>ARIEF RAHMAN</t>
  </si>
  <si>
    <t>6372020204030001</t>
  </si>
  <si>
    <t>H. AHMAD FAUZI</t>
  </si>
  <si>
    <t>6372020212770007</t>
  </si>
  <si>
    <t>WISNU PRADES ISTIADI</t>
  </si>
  <si>
    <t>6372020312830001</t>
  </si>
  <si>
    <t>HENDRY</t>
  </si>
  <si>
    <t>6372020405860001</t>
  </si>
  <si>
    <t>M.RAMADHANI</t>
  </si>
  <si>
    <t>6372020407840003</t>
  </si>
  <si>
    <t>RUSBANI</t>
  </si>
  <si>
    <t>6372020412760002</t>
  </si>
  <si>
    <t>MIRZA KRINOVITA</t>
  </si>
  <si>
    <t>6372020512050001</t>
  </si>
  <si>
    <t>FERDI ANSYARI</t>
  </si>
  <si>
    <t>6372020604980003</t>
  </si>
  <si>
    <t>MUHAMMAD ADE KURNIAWAN</t>
  </si>
  <si>
    <t>6372020606010007</t>
  </si>
  <si>
    <t>RISKI</t>
  </si>
  <si>
    <t>6372020607730002</t>
  </si>
  <si>
    <t>MANSYAH</t>
  </si>
  <si>
    <t>6372020611960008</t>
  </si>
  <si>
    <t>MUHAMMAD KHAIRUL AMIRUDIN</t>
  </si>
  <si>
    <t>6372020703900003</t>
  </si>
  <si>
    <t>REZKAN NUR HUMAYIDI</t>
  </si>
  <si>
    <t>6372020808770014</t>
  </si>
  <si>
    <t>SOBIRIN</t>
  </si>
  <si>
    <t>6372020809080001</t>
  </si>
  <si>
    <t>SURIANSYAH</t>
  </si>
  <si>
    <t>6372021005850005</t>
  </si>
  <si>
    <t>HERIYANTO</t>
  </si>
  <si>
    <t>6372021006980003</t>
  </si>
  <si>
    <t>AHMAD YONO</t>
  </si>
  <si>
    <t>6372021007620002</t>
  </si>
  <si>
    <t>SARIP HUSNI</t>
  </si>
  <si>
    <t>6372021104890006</t>
  </si>
  <si>
    <t>TEGUH SARWONO</t>
  </si>
  <si>
    <t>6372021106960004</t>
  </si>
  <si>
    <t>RIZKI AHMAD HABIBI</t>
  </si>
  <si>
    <t>6372021301990004</t>
  </si>
  <si>
    <t>ROBBY ALMADANI</t>
  </si>
  <si>
    <t>6372021302040005</t>
  </si>
  <si>
    <t>SURYA NOOR WITANTRA FEBRIANTO</t>
  </si>
  <si>
    <t>6372021306010003</t>
  </si>
  <si>
    <t>RAHMADI RIFANSYAH</t>
  </si>
  <si>
    <t>6372021404910005</t>
  </si>
  <si>
    <t>MUHAMAD RIJANI NAFARIN</t>
  </si>
  <si>
    <t>6372021406790005</t>
  </si>
  <si>
    <t>ACHMAD MULYANTO</t>
  </si>
  <si>
    <t>6372021505010005</t>
  </si>
  <si>
    <t>MUHAMMAD FAHRUL RAZI</t>
  </si>
  <si>
    <t>6372021509820001</t>
  </si>
  <si>
    <t>M. ABDI MAULANA. A</t>
  </si>
  <si>
    <t>6372021610030003</t>
  </si>
  <si>
    <t>WAHYU HIDAYAT</t>
  </si>
  <si>
    <t>6372021610770007</t>
  </si>
  <si>
    <t>AHMAD RAHMANI</t>
  </si>
  <si>
    <t>6372020407050003</t>
  </si>
  <si>
    <t>MUHAMMAD RIZQI RAFLI SYAPUTERA</t>
  </si>
  <si>
    <t>6372021702810002</t>
  </si>
  <si>
    <t>SLAMET RIYANTO</t>
  </si>
  <si>
    <t>6372021710020006</t>
  </si>
  <si>
    <t>MUHAMMAD HAFIZ</t>
  </si>
  <si>
    <t>6372021804940004</t>
  </si>
  <si>
    <t>RIAN ADI SAPUTRA</t>
  </si>
  <si>
    <t>6372021808840007</t>
  </si>
  <si>
    <t>MERDEKA AGUNG SIGIT SAPUTRA</t>
  </si>
  <si>
    <t>6372021908000004</t>
  </si>
  <si>
    <t>MUHAMMAD WAHYUDI FAZRIN</t>
  </si>
  <si>
    <t>6372022010830004</t>
  </si>
  <si>
    <t>MARSUDI</t>
  </si>
  <si>
    <t>6372022105950005</t>
  </si>
  <si>
    <t>ANDRY RAHMANIANSYAH</t>
  </si>
  <si>
    <t>6372022308950001</t>
  </si>
  <si>
    <t>ACHMAD ZIKRULLAH</t>
  </si>
  <si>
    <t>6372022312040004</t>
  </si>
  <si>
    <t>M. RIZKY SETIAWAN</t>
  </si>
  <si>
    <t>6372022405860003</t>
  </si>
  <si>
    <t>SUGENG WIYONO</t>
  </si>
  <si>
    <t>6372022510000004</t>
  </si>
  <si>
    <t>MUHAMAD HAFI ZAKARIA</t>
  </si>
  <si>
    <t>6372022604040002</t>
  </si>
  <si>
    <t>MUHAMMAD MAULANA ALFARIDZI</t>
  </si>
  <si>
    <t>6372022711020005</t>
  </si>
  <si>
    <t>6372022904040003</t>
  </si>
  <si>
    <t>ACHMAD RIFANI</t>
  </si>
  <si>
    <t>6372022909050002</t>
  </si>
  <si>
    <t>M.RISKY</t>
  </si>
  <si>
    <t>6372023003940005</t>
  </si>
  <si>
    <t>RAHMAT AGUNG WIDODO</t>
  </si>
  <si>
    <t>6372023011030004</t>
  </si>
  <si>
    <t>HENDRAWAN MARTIN</t>
  </si>
  <si>
    <t>6372023108040003</t>
  </si>
  <si>
    <t>ALIF FIRDAUS</t>
  </si>
  <si>
    <t>6372023108960007</t>
  </si>
  <si>
    <t>PRAYUDA ALPAYAR</t>
  </si>
  <si>
    <t>6372030205020003</t>
  </si>
  <si>
    <t>M. FADILAH</t>
  </si>
  <si>
    <t>6372030212930001</t>
  </si>
  <si>
    <t>M.NASIH</t>
  </si>
  <si>
    <t>6372030301870002</t>
  </si>
  <si>
    <t>FATHURRAHMANN</t>
  </si>
  <si>
    <t>6372030303020004</t>
  </si>
  <si>
    <t>AHMAD YUSUF</t>
  </si>
  <si>
    <t>6372030303020007</t>
  </si>
  <si>
    <t>KHAIRIL</t>
  </si>
  <si>
    <t>6372030307700003</t>
  </si>
  <si>
    <t>ACHMAD JULIANI</t>
  </si>
  <si>
    <t>6372030308960001</t>
  </si>
  <si>
    <t>MUHAMMAD IKBAL</t>
  </si>
  <si>
    <t>6372030409920002</t>
  </si>
  <si>
    <t>ANDI ROSYADI</t>
  </si>
  <si>
    <t>6372030503000002</t>
  </si>
  <si>
    <t>AHMAD BAIHAKI</t>
  </si>
  <si>
    <t>6372030508980002</t>
  </si>
  <si>
    <t>MUHAMMAD</t>
  </si>
  <si>
    <t>6372030509980005</t>
  </si>
  <si>
    <t>MUHAMMAD RIFA'I</t>
  </si>
  <si>
    <t>6372030510990004</t>
  </si>
  <si>
    <t>M. IRPANSYAH</t>
  </si>
  <si>
    <t>6372030705010003</t>
  </si>
  <si>
    <t>MUHAMAD FADDLI</t>
  </si>
  <si>
    <t>6372030707890002</t>
  </si>
  <si>
    <t>NOORDIN</t>
  </si>
  <si>
    <t>6372030710980001</t>
  </si>
  <si>
    <t>BASRI</t>
  </si>
  <si>
    <t>6372030802030003</t>
  </si>
  <si>
    <t>IMAM SYARONI</t>
  </si>
  <si>
    <t>6372030803040003</t>
  </si>
  <si>
    <t>ITMAMUL WAFA</t>
  </si>
  <si>
    <t>6372030809000002</t>
  </si>
  <si>
    <t>AH. MUSPAINI</t>
  </si>
  <si>
    <t>6372030908000002</t>
  </si>
  <si>
    <t>HERMANSYAH</t>
  </si>
  <si>
    <t>6372030911950003</t>
  </si>
  <si>
    <t>HIDAYATULLAH</t>
  </si>
  <si>
    <t>6372031108920001</t>
  </si>
  <si>
    <t>MUHAMMAD KHAIRONI</t>
  </si>
  <si>
    <t>6372031212020006</t>
  </si>
  <si>
    <t>M. ITQON</t>
  </si>
  <si>
    <t>6372031212960003</t>
  </si>
  <si>
    <t>MUHAMMAD JAUDHY RAHMAN</t>
  </si>
  <si>
    <t>6372031410050001</t>
  </si>
  <si>
    <t>SYAHRI RAMADHAN</t>
  </si>
  <si>
    <t>6372031501030003</t>
  </si>
  <si>
    <t>ARIF RAHMAN</t>
  </si>
  <si>
    <t>6372031507030001</t>
  </si>
  <si>
    <t>M. BASID</t>
  </si>
  <si>
    <t>6372031509030002</t>
  </si>
  <si>
    <t>M. HIFZI</t>
  </si>
  <si>
    <t>6372031604040002</t>
  </si>
  <si>
    <t>DIMAS APRIANTO</t>
  </si>
  <si>
    <t>6372031608970002</t>
  </si>
  <si>
    <t>M. MA'SUM</t>
  </si>
  <si>
    <t>6372031612970001</t>
  </si>
  <si>
    <t>SEGAF ASSEGAF</t>
  </si>
  <si>
    <t>6372031807760001</t>
  </si>
  <si>
    <t>SOBAH HIDAYAT</t>
  </si>
  <si>
    <t>6372031904020001</t>
  </si>
  <si>
    <t>MUHAMMAD ZAKI</t>
  </si>
  <si>
    <t>6372032001030003</t>
  </si>
  <si>
    <t>MUHAMMAD RISWANDA</t>
  </si>
  <si>
    <t>6372032104000004</t>
  </si>
  <si>
    <t>RIFQIYANNOR</t>
  </si>
  <si>
    <t>6372032106000005</t>
  </si>
  <si>
    <t>AHMAD HABIBI</t>
  </si>
  <si>
    <t>6372032201020003</t>
  </si>
  <si>
    <t>MUHAMMAD ANDRE</t>
  </si>
  <si>
    <t>6372032208930002</t>
  </si>
  <si>
    <t>HADRIANI</t>
  </si>
  <si>
    <t>6372032310000004</t>
  </si>
  <si>
    <t>MUHAMMAD AZIDAN NOR</t>
  </si>
  <si>
    <t>6372032310000009</t>
  </si>
  <si>
    <t>MUHAMMAD MUZAKKIR</t>
  </si>
  <si>
    <t>6372032510880001</t>
  </si>
  <si>
    <t>BUSAIRI</t>
  </si>
  <si>
    <t>6372032404030001</t>
  </si>
  <si>
    <t>MUHAMMAD RISQI</t>
  </si>
  <si>
    <t>6372032904040001</t>
  </si>
  <si>
    <t>APRIZA MAULANA</t>
  </si>
  <si>
    <t>6372033009030001</t>
  </si>
  <si>
    <t>MUHAMMAD ROKHISH ALWI</t>
  </si>
  <si>
    <t>6372033012030002</t>
  </si>
  <si>
    <t>MUHAMMAD KHOYIB</t>
  </si>
  <si>
    <t>6372034211920002</t>
  </si>
  <si>
    <t>NOPI ARIANSYAH</t>
  </si>
  <si>
    <t>6372040101820003</t>
  </si>
  <si>
    <t>NAHDIYANI</t>
  </si>
  <si>
    <t>6372040101880003</t>
  </si>
  <si>
    <t>RITNO ADITYA</t>
  </si>
  <si>
    <t>Banjarbaru,     Januari 2025</t>
  </si>
  <si>
    <t>SYAFRULLAH, S.Sos, M.Si.</t>
  </si>
  <si>
    <t>IMAM KASTALANI</t>
  </si>
  <si>
    <t>BUDI ADI</t>
  </si>
  <si>
    <t>AGUS BUDIANTO</t>
  </si>
  <si>
    <t>MISLADIN</t>
  </si>
  <si>
    <t>P.77/238/TU/DAMKAR/MPBK/2024</t>
  </si>
  <si>
    <t>P.82/238/TU/DAMKAR/MPBK/2024</t>
  </si>
  <si>
    <t>P.22/238/TU/DAMKAR/MPBK/2024</t>
  </si>
  <si>
    <t>P.57/238/TU/DAMKAR/MPBK/2024</t>
  </si>
  <si>
    <t>P.3/578/TU/SDV/MPBK/2022</t>
  </si>
  <si>
    <t>P.25/240/TU/SDV/MPBK/2022</t>
  </si>
  <si>
    <t>Mobil Tangki Hino / Kajama 3500 Liter</t>
  </si>
  <si>
    <t>Mobil Tangki Hino / Kajama 4000 Liter</t>
  </si>
  <si>
    <t>Mobil Tangki Hino / Kajama 8000 Liter</t>
  </si>
  <si>
    <t>Mobil Tangki Toyota / Gajah / Ton 2</t>
  </si>
  <si>
    <t>Mobil Rescue Toyota Hilux / Kajama</t>
  </si>
  <si>
    <t>Antung Febriaty No Hp. 089620360379</t>
  </si>
  <si>
    <t>DATA TAHUN 2024</t>
  </si>
  <si>
    <t>Senin, 1 Januari 2024</t>
  </si>
  <si>
    <t>08.14 s/d 08.40 Wita</t>
  </si>
  <si>
    <t>Selasa, 2 Januari 2024</t>
  </si>
  <si>
    <t>05.22 s/d 06.05 Wita</t>
  </si>
  <si>
    <t>15.28 s/d 16.25 Wita</t>
  </si>
  <si>
    <t>Ibu Sarmila no hp. 087728951991</t>
  </si>
  <si>
    <t>Meminta bantuan evakuasi kucing dari atas pohon yang beralamat Jl. Bina Banua Praja/ Aneka Tambang (halaman /area SMKN 3 Banjarbaru) Kel. Cempaka Kec. Cempaka. Kucing berhasil di evakuasi. Petugas mengerahkan 1 Unit Ops Damkar.</t>
  </si>
  <si>
    <t>Menindaklanjuti laporan bahwa ada ular di dapur yang beralamat Jl. Aneka Tambang Komplek Banua Permai Gg. Permai RT. 34 RW. 07 Kel. Sungai Besar Kec. Banjarbaru Selatan. Ular tidak dapat di evakuasi diperkirakan ular sudah ada tidak ada sebelum petugas datang. Petugas mengerahkan 1 Unit Ops Damkar.</t>
  </si>
  <si>
    <t>Rabu, 3 Januari 2024</t>
  </si>
  <si>
    <t xml:space="preserve"> Yudi no hp. 081251087030</t>
  </si>
  <si>
    <t xml:space="preserve"> 6 orang/1 unit</t>
  </si>
  <si>
    <t>Tawon</t>
  </si>
  <si>
    <t>Menindaklanjuti laporan  perihal meminta bantuan evakuasi Sarang Tawon bersarang di atas atap yang beralamat Jl. Merpati Gang Cendrawasih Rt. 03 RW. 08 No. 35 Kel. Landasan Ulin Timur Kec. Landasan Ulin. Sarang Tawon berhasil di evakuasi. Petugas mengerahkan 1 Unit Ops Damkar.</t>
  </si>
  <si>
    <t>Kamis, 4 Januari 2024</t>
  </si>
  <si>
    <t>20.05 s/d 21.35 Wita</t>
  </si>
  <si>
    <t>Firmansyah no hp. 082153608119</t>
  </si>
  <si>
    <t>Menindaklanjuti laporan warga  perihal meminta bantuan evakuasi Sarang Tawon di atas atap yang man sudah menyengat tukang bangunan yang beralamat Jl. A. Yani Km. 33 samping SPBU 33 Kel. Loktabat Utara Kec. Banjarbaru Utara. Sarang Tawon berhasil di evakuasi dan dibersihkan. Petugas mengerahkan 1 Unit Ops Damkar.</t>
  </si>
  <si>
    <t>Rahmat Mustakim no hp. 081251283258</t>
  </si>
  <si>
    <t>Jum`at, 5 Januari 2024</t>
  </si>
  <si>
    <t>00.08 s/d 01.00 Wita</t>
  </si>
  <si>
    <t>Lisa No Hp. 08115237661</t>
  </si>
  <si>
    <t>Menindaklanjuti warga perihal meminta bantuan evakuasi ular yang ada dirumah beliau yang beralamat Jl. Mentaos Timur RT. 04 RW. 03 Kel. Mentaos Kec. Banjarbaru Utara. Ular berhasil di evakuasi dan dilepasliarkan. Petugas mengerahkan 1 Unit Ops Damkar.</t>
  </si>
  <si>
    <t>Sabtu, 6 Januari 2024</t>
  </si>
  <si>
    <t>14.59 s/d 16.00 Wita</t>
  </si>
  <si>
    <t>Bapak M. Iqbal Sulaity No Hp. 082157275010</t>
  </si>
  <si>
    <t>Menindaklanjuti laporan warga perihal meminta bantuan evakuasi Ular dikamar tidur milik beliau yang beralamat Jl. Tambak Langsat Komplek Griya Ramania VI RT. 29 RW. 06 Kel. Syamsudinoor Kec. Landasan Ulin. Ular berhasil di evakuasi dan dilepasliarkan. Petugas mengerahkan 1 Unit Ops Damkar.</t>
  </si>
  <si>
    <t>Minggu, 7 Januari 2024</t>
  </si>
  <si>
    <t>10.03 s/d 12.15 Wita</t>
  </si>
  <si>
    <t>Menindaklanjuti laporan Lurah Mentaos ke Kepala UPT Damkar Kota Banjarbaru perihal meminta bantuan evakuasi monyet liar yang meresahkan warga dan sudah menyebabkan adanya korban gigitan monyet tersebut yang beralamat Jl. Gotong Royong RT. 04 RW. 06 Kel. Mentaos Kec. Banjarbaru Utara. Monyet liar tersebut belum berhasil ditangkap. Petugas menegerahkan 1 Unit Ops Damkar</t>
  </si>
  <si>
    <t>Lurah Mentaos</t>
  </si>
  <si>
    <t>07.11 s/d 08.00 Wita</t>
  </si>
  <si>
    <t>Cita Permatasari</t>
  </si>
  <si>
    <t>Menindaklanjuti laporan warga perihal meminta bantuan evakuasi monyet liar yang meresahkan beliau. Menurut pelapor bahwa monyet tersebut mengacak acak mobil beliau yang beralamat Jl. Penggalang RT. 03 RW. 06 Kel. Mentaos Kec. Banjarbaru Utara. Monyet liar tidak berhasil di evakuasi karena pada saat petugas datang monyet liar tersebut melarikan diri. Petugas mengerahkan 1 Unit Ops Damkar.</t>
  </si>
  <si>
    <t>Senin, 8 Januari 2024</t>
  </si>
  <si>
    <t>10.57 s/d 13.30 Wita</t>
  </si>
  <si>
    <t>Ridhani No Hp. 082157046249</t>
  </si>
  <si>
    <t>Menindaklanjuti laporan warga meminta bantuan bahwa adanya monyet liar yang meresahkan serta sudah ada yang menjadi korban sebanyak 5 orang terkena cakaran dan gigitan yang beralamat Jl. Gotong Royong, Jl. Penggalang, Jl. Gotong Royong 3 dan sekitarnya Kel. Mentaos Kec. Banjarbaru Utara. Monyet belum berhasil di evakuasi/ ditangkap. Petugas mengerahkan 1 Unit Ops Damkar.</t>
  </si>
  <si>
    <t>Selasa, 9 Januari 2024</t>
  </si>
  <si>
    <t>05.10 s/d 06.23 Wita</t>
  </si>
  <si>
    <t xml:space="preserve"> M. Lazuardi Lukmana No Hp. 082246258349</t>
  </si>
  <si>
    <t>Menindaklanjuti laporan warga  perihal meminta bantuan evakuasi ular yang memasuki rumah beliau yang beralamat Jl. Berkat Mufakat RT. 14 RW. 04 Kel. Landasan Ulin Barat Kec. Liang anggang. Ular berhasil di evakuasi dan dilepasliarkan. Petugas mengerahkan 1 Unit Ops Damkar</t>
  </si>
  <si>
    <t>Rabu, 10 Januari 2024</t>
  </si>
  <si>
    <t>10.48 s/d 11.10 Wita</t>
  </si>
  <si>
    <t>Bapak Doni</t>
  </si>
  <si>
    <t>Menindaklanjuti laporan warga perihal meminta bantuan evakuasi ular yang berada dihalaman rumah beliau yang beralamat Jl. Pondok Satria Jaya No. C/07 RT. 26 RW. 10 Kel. Loktabat Utara Kec. Banjarbaru Utara. Ular berhasil di evakuasi dan dilepasliarkan. Petugas mengarahkan 1 Unit Ops Damkar</t>
  </si>
  <si>
    <t>Kamis, 11 Januari 2024</t>
  </si>
  <si>
    <t>00.10 s/d 01.00 Wita</t>
  </si>
  <si>
    <t>Tiara Cahyani No Hp. 081528649001</t>
  </si>
  <si>
    <t>Menindaklanjuti laporan warga perihal meminta bantuan evakuasi kucing yang tidak bisa turun dari atap rumah yang beralamat Jl. Intan Sari Gg. Warna Sari No. 24 RT. 03 Kel. Sungai Besar Kec. Banjarbaru Selatan. Kucing berhasil di evakuasi. Petugas menegerahkan 1 Unit Ops Damkar.</t>
  </si>
  <si>
    <t>Jum`at, 12 Januari 2024</t>
  </si>
  <si>
    <t>06.20 s/d 07.15 Wita</t>
  </si>
  <si>
    <t>Galih No Hp. 085754217233</t>
  </si>
  <si>
    <t>Menindaklanjuti laporan warga perihal meminta bantuan evakuasi ular yang berada didalam rumah beliau beralamat Komplek Pesona Cempaka RT. 29 RW. 02 Kel. Cempaka Kec. Cempaka. Ular berhasil di evakuasi dan dilepasliarkan. Petugas mengerahkan 1 Unit Ops Damkar.</t>
  </si>
  <si>
    <t>10.27 s/d 11.15 Wita</t>
  </si>
  <si>
    <t>Prayudi No Hp. 081391527744</t>
  </si>
  <si>
    <t>Menindaklanjuti laporan warga meminta bantuan evakuasi monyet liar yang beralamat UPT Balai Benih Hortikultura Jl. A. Yani Km. 30, 5 Kel. Guntung Manggis Kec. Landasan Ulin. Monyet yang dilaporkan masih ada di tempat, petugas berupaya menangkap monyet tersebut namun tidak berhasil  karena melarikan diri ke sebelah pagar dan menghilang dibalik komplek pemukiman warga . Petugas mengerahkan 1 Unit Ops Damkar.</t>
  </si>
  <si>
    <t>Minggu, 14 Januari 2024</t>
  </si>
  <si>
    <t>15.20 s/d 16.20 Wita</t>
  </si>
  <si>
    <t>Ibu Niki Budiarto No Hp. 087816118454</t>
  </si>
  <si>
    <t>Menindaklanjuti warga perihal meminta bantuan evakuasi ular yang ada dipekarangan rumah beliau yang beralamat Jl. Pondok Bambu, Komplek Graha Idaman Permai RT. 19 RW. 08 Kel. Loktabat Utara Kec. Banjarbaru Utara. Ular berhasil di evakuasi dan dilepasliarkan. Petugas mengerahkan 1 Unit Ops Damkar.</t>
  </si>
  <si>
    <t>Selasa, 16 Januari 2024</t>
  </si>
  <si>
    <t>00.25 s/d 01.30 Wita</t>
  </si>
  <si>
    <t>Menindaklanjuti laporan warrga  perihal meminta bantuan evakuasi ular di ruang makan rumah beliau yang beralamat Jl. A. Yani Gg. Gelatik No. 21 RT. 03 RW. 08 Kel. Landasan Ulin Timur Kec. Landasan Ulin. Ular berhasil di evakuasi dan dilepasliarkan. Petugas mengerahkan 1 unit Ops Damkar.</t>
  </si>
  <si>
    <t>Ibu Desy  No Hp. 0887435879065</t>
  </si>
  <si>
    <t>17.21 s/d 18.10 Wita</t>
  </si>
  <si>
    <t>Fauzan No Hp. 081255481771</t>
  </si>
  <si>
    <t>Menindaklanjuti laporan warga perihal meminta bantuan evakuasi yang terkurung di ruko awiyah lantai 2 yang beralamat di Jl. Panglima Batur Timur Kel. Komet Kec. Banjarbaru Utara. Kucing berhasil di evakuasi dengan selamat. Petugas mengerahkan 1 unit Ops Damkar.</t>
  </si>
  <si>
    <t>Rabu, 17 Januari 2024</t>
  </si>
  <si>
    <t>09.06 s/d 09.57 Wita</t>
  </si>
  <si>
    <t>Menindaklanjuti laporan warga perihal meminta bantuan evakuasi ular yang berada di rumah beliau yang beralamat Jl. Guntung Paring Komplek Graha Mandiri Asri RT. 08 No. 25 Kel. Guntung Manggis Kec. Landasan Ulin. Ular berhasil di evakuasi dan dilepasliarkan. Petugas mengerahkan 1 Unit Ops Damkar.</t>
  </si>
  <si>
    <t xml:space="preserve"> Sugi No Hp. 082252389189</t>
  </si>
  <si>
    <t>Kamis, 18 Januari 2024</t>
  </si>
  <si>
    <t>16.50 s/d 17.30 Wita</t>
  </si>
  <si>
    <t>Menindaklanjuti laporan warga perihal meminta bantuan evakuasi biawak yang terjebak disamping rumah milik beliau yang beralamat Jl. Kasturi RT. 01 RW. 02 Kel. Guntung Paikat Kec. Banjarbaru Selatan. Dilokasi petugas melakukan pencarian di samping rumah bapak yauma nugraha tidak ada ditemukan biawak. diperkirakan biawak sudah melarikan diri. Petugas mengerahkan 1 Unit Ops Damkar.</t>
  </si>
  <si>
    <t>Bapak Yauma Nugraha no hp. 082220007779</t>
  </si>
  <si>
    <t>Jum`at, 19 Januari 2024</t>
  </si>
  <si>
    <t>08.10 s/d 09.15 Wita</t>
  </si>
  <si>
    <t>Bapak Suparno No Hp. 08990036099</t>
  </si>
  <si>
    <t>Menindaklanjuti laporan warga perihal meminta bantuan evakuasi ular yang berada dikandang burung milik beliau yang beralamat Komp. Bukit Lestari IV No. 31 RT. 33 RW. 07 Kel. Sungai Besar Kec. Banjarbaru Selatan. Ular berhasil dievakuasi dan dilepasliarkan ada 2 ular. Petugas mengerahkan 1 Unit Ops Damkar.</t>
  </si>
  <si>
    <t>Sabtu, 20 Januari 2024</t>
  </si>
  <si>
    <t>09.14 s/d 10.50 Wita</t>
  </si>
  <si>
    <t>Menindaklanjuti laporan warga perihal meminta bantuan evakuasi ular yang berada di dalam kandang ayam milik beliau yang beralamat Jl. Padang Golf RT. 12 RW. 03 No. 19 Kel. Syamsudinoor Kec. Landasan Ulin. Ular berhasil di evakuasi dan dilepasliarkan. Petugas mengerahkan 1 Unit Ops Damkar.</t>
  </si>
  <si>
    <t>Ibu Sari No Hp. 082350377068</t>
  </si>
  <si>
    <t>Minggu, 21 Januari 2024</t>
  </si>
  <si>
    <t>06.00 s/d 07.00 Wita</t>
  </si>
  <si>
    <t>Arif Ariandi No Hp. 08121515127</t>
  </si>
  <si>
    <t>Menindaklanjuti laporan warga perihal meminta bantuan evakuasi ular yang berada dirumah beliau yang beralamat Jl. Cempaka Sari Jalur 22 RT. 34 RW. 07 Kel. Sungai Besar Kec. Banjarbaru selatan. Ular berhasil di evakuasi dan dilepasliarkan. Petugas mengerahkan 1 Unit Ops Damkar.</t>
  </si>
  <si>
    <t>20.01 s/d 20.30 Wita</t>
  </si>
  <si>
    <t>Menindaklanjuti laporan warga meminta bantuan evakuasi ular yang berada dihalaman rumah yang beralamat Jl. Al-Jafrie RT. 13 RW. 03 Kel. Kemuning Kec. Banjarbaru Selatan. Ular berhasil di evakuasi dan dilepasliarkan. Petugas mengerahkan 1 Unit Ops Damkar.</t>
  </si>
  <si>
    <t>Faisal Rahman No Hp. 081250003888</t>
  </si>
  <si>
    <t>Senin, 22 Januari 2024</t>
  </si>
  <si>
    <t>20.02 s/d 21.15 Wita</t>
  </si>
  <si>
    <t xml:space="preserve">Menindaklanjuti laporan warga perihal meminta bantuan evakuasi sarang tawon di atas atap rumah beliau yang beralamat Jl. Purnawirawan Komp. Lambung Mangkurat Regency Blok H 2 No. 15 Kel. Palam Kec. Cempaka. Sarang tawon berhasil di musnahkan dan dibersihkan. Petugas mengerahkan 1 Unit Ops Damkar. </t>
  </si>
  <si>
    <t>Bapak M. Hadriani No Hp. 081414099117</t>
  </si>
  <si>
    <t>Selasa, 23 Januari 2024</t>
  </si>
  <si>
    <t>01.28 s/d 02.05 Wita</t>
  </si>
  <si>
    <t>Bapak Wahyu Saputra No Hp. 085246074818</t>
  </si>
  <si>
    <t xml:space="preserve">Menindaklanjuti laporan warga  perihal meminta bantuan evakuasi ular yang berjenis cobra yang berada di dapur rumah beliau yang beralamat Jl, Transad Guntung Manggis Blok B RT. 20 RW. 03 Kel. Guntung Manggis Kec. Landasan Ulin. Ular berhasil di evakuasi dan dilepasliarkan. Petugas mengerahkan 1 Unit Ops Damkar. </t>
  </si>
  <si>
    <t>09.17 s/d 10.15 Wita</t>
  </si>
  <si>
    <t>Menindaklanjuti laporan warga perihal meminta bantuan evakuasi ular yang berada di pekarangan rumah beliau yang beralamat Jl. Pondok Kelapa, Komp. Pondok Papan RT. 48 RW. 06 Kel. Loktabat Utara Kec. Banjarbaru Utara. Petugas melakukan pencarian secara teliti namun Ular tidak berhasil di evakuasi. Petugas mengerahkan 1 Unit Ops Damkar.</t>
  </si>
  <si>
    <t xml:space="preserve"> Bapak Riza No Hp. 082321417149</t>
  </si>
  <si>
    <t>Rabu, 24 Januari 2024</t>
  </si>
  <si>
    <t>20.48 s/d 21.32 Wita</t>
  </si>
  <si>
    <t xml:space="preserve"> Ibu Siti Aisyah No Hp. 081251190680</t>
  </si>
  <si>
    <t>Menindaklanjuti laporan warga  perihal meminta bantuan untuk mengevakuasi ular yang berada di teras rumah beliau, yang beralamat Jl. Trikora/ Tenggiri RT. 11 RW. 02 Sungai Sumba Kel. Guntung Manggis Kec. Landasan Ulin. Ular tersebut sudah tidak ada ditempat. Maka petugas pun memberikan edukasi terhadap pelapor guna mengantisipasi ular apabila datang kembali. Petugas mengerahkan 1 Unit Ops Damkar.</t>
  </si>
  <si>
    <t>Kamis, 25 Januari 2024</t>
  </si>
  <si>
    <t>15.17 s/d 15.55 Wita</t>
  </si>
  <si>
    <t>Ahmad Rasyidi Halim No Hp. 085346568256</t>
  </si>
  <si>
    <t>Menindaklanjuti laporan warga perihal meminta bantuan evakuasi anak kucing yang terjebak didalam plafon rumah beliau yang beralamat Komp. Griya Indah 2 Blok C/09 RT. 27 RW. 03 Kel. Kemuning Kec. Banjarbaru Selatan. Petugas berhasil mengevakuasi 2 kucing tersebut dengan selamat. Petugas mengerahkan 1 Unit Ops Damkar.</t>
  </si>
  <si>
    <t>Jum`at, 26 Januari 2024</t>
  </si>
  <si>
    <t>20.49 s/d 22.15 Wita</t>
  </si>
  <si>
    <t>Bapak Yani No Hp. 085753258207</t>
  </si>
  <si>
    <t>Menindaklanjuti laporan warga perihal meminta bantuan evakuasi sarang tawon yang berada di atas pohon dan sudah menyengat salah satu pedagang di area tersebut yang beralamat Jl. Karamunting RT. 02 RW. 03 samping Gereja GKE Kel. Guntung Paikat Kec. Banjarbaru selatan. Petugas berhasil mengevakuasi sarang tawon tersebut dengan aman dan lancar. Petugas mengerahkan 1 Unit Ops Damkar.</t>
  </si>
  <si>
    <t>Sabtu, 27 Januari 2024</t>
  </si>
  <si>
    <t>09.30 s/d 10.40 Wita</t>
  </si>
  <si>
    <t>Menindaklanjuti laporan warga perihal evakuasi sarang lebah madu. Menurut informasi pelapor bahwa lebah tersebut sudah menyengat karyawan yang bekerja di lokasi tersebut yang beralamat Jl. Trikora RT. 55 RW. 07 Kel. Guntung Paikat Kec. Banjarbaru Selatan. Evakuasi sarang lebah madu berhasil berjalan aman dan lancar. Petugas mengerahkan 1 Unit Ops Damkar.</t>
  </si>
  <si>
    <t>Bapak Lionisius No Hp. 081348656972</t>
  </si>
  <si>
    <t>Minggu, 28 Januari 2024</t>
  </si>
  <si>
    <t>16.45 s/d 17.20 Wita</t>
  </si>
  <si>
    <t>Menindaklanjuti laporan warga perihal meminta bantuan evakuasi ular di atas plafon rumah milik beliau. Menurut informasi pelapor bahwa di atas plafon terdengar suara seperti ular. Maka pelapor meminta bantuan petugas untuk mengcek plafon tersebut yang beralamat Jl. Kenanga No. 39 RT. 02 RW. 04 Kel. Komet Kec. Banjarbaru Utara. Ular tidak berhasil di evakuasi dan kemungkinan hanya tikus. Petugas mengerahkan 1 Unit Ops Damkar.</t>
  </si>
  <si>
    <t xml:space="preserve">Ryan No Hp. 082149088449 </t>
  </si>
  <si>
    <t>Senin, 29 Januari 2024</t>
  </si>
  <si>
    <t>10.30 s/d 11.35 Wita</t>
  </si>
  <si>
    <t>Menindaklanjuti laporan warga perihal meminta bantuan evakuasi kucing yang tercebur ke dalam sumur milik rumah beliau yang beralamat Jl. Wira Agung Komp. Gria Manggis II Kel. Landasan Ulin selatan Kec. Liang Anggang. Kucing berhasil di evakuasi. Petugas mengerahkan 1 Unit Ops Damkar.</t>
  </si>
  <si>
    <t>Bapak Rio Tampaty No Hp. 082151959213</t>
  </si>
  <si>
    <t>Selasa, 30 Januari 2024</t>
  </si>
  <si>
    <t>18.28 s/d 19.00 Wita</t>
  </si>
  <si>
    <t>Menindaklanjuti laporan warga perihal meminta bantuan evakuasi ular yang berada dirumah beliau yang beralamat Jl. Trikora Abadi Makmur RT. 05 RW. 04 Kel. Loktabat Selatan Kec. Banjarbaru Selatan.Petugas berhasil mengevakuasi ular tersebut dan dilepasliarkan. Petugas mengerahkan 1 Unit Ops Damkar.</t>
  </si>
  <si>
    <t xml:space="preserve">Ibu Utami No Hp. 085390624256 </t>
  </si>
  <si>
    <t>Rabu, 31 Januari 2024</t>
  </si>
  <si>
    <t>06.50 s/d 07.40 Wita</t>
  </si>
  <si>
    <t>Menindaklanjuti laporan warga perihal meminta bantuan evakuasi ular yang berjenis python di atas plafon kamar mandi rumah beliau yang beralamat Jl. Abadi 1 Komp. Wengga Palam Indah Blok H RT. 40. RW. 04 Kel. Guntung Manggis Kec. Landasan Ulin. Ular berhasil di evakuasi dan dilepasliarkan. Petugas menegerahkan1 Unit Ops Damkar.</t>
  </si>
  <si>
    <t xml:space="preserve">Ibu Andrista No Hp. 083143520166 </t>
  </si>
  <si>
    <t>Menindaklanjuti laporan dari telpon via WA Kepala UPT Damkar Kota Banjarbaru mendapat laporan dari  warga meminta bantuan evakuasi ular yang berada di atap dapur rumah beliau yang beralamat Jl. Bukit Barisan RT. 17 RW. 04 Kel. Sungai Ulin Kec. Banjarbaru Utara. Ular berhasil di evakuasi dan dilepasliarkan. Petugas mengerahkan 1 Unit Ops Damkar</t>
  </si>
  <si>
    <t>Jum`at, 2 Februari 2024</t>
  </si>
  <si>
    <t>13.15 s/d 13.50 Wita</t>
  </si>
  <si>
    <t>Ibu Shelvia Meredita No Hp. 089628162829</t>
  </si>
  <si>
    <t>Menindaklanjuti laporan warga perihal meminta bantuan evakuasi ular yang berada dibalik lemari pakaian. Beralamat Jl. Guntung Rambai Rt. 05 RW. 02 Kel. Loktabat Selatan Kec. Banjarbaru Selatan. Petugas melakukan penyisiran ke seluruh sudut ruangan dan akhirnya ular tersebut ditemukan. Ular berjenis lanang sapi berhasil di evakuasi dan dilepasliarkan. Petugas mengerahkan 1  Unit Ops Damkar.</t>
  </si>
  <si>
    <t>Sabtu, 3 Februari 2024</t>
  </si>
  <si>
    <t>15.19 s/d 15.45 Wita</t>
  </si>
  <si>
    <t>Menindaklanjuti laporan warga perihal meminta bantuan evakuasi ular yang berada dihalaman rumah beliau. Beralamat Jl. Nusantara RT. 07 RW. 05 Kel. Loktabat Selatan Kec. Banjarbaru selatan. Petugas melakukan penyisiran disekitar halaman rumah beliau dan akhirnya ular tersebut berhasil ditemukan dan dilepasliarkan. Petugas mengerahkan 1 Unit Ops Damkar.</t>
  </si>
  <si>
    <t>Risky No Hp. 082159917997</t>
  </si>
  <si>
    <t>Minggu, 04 Februari 2024</t>
  </si>
  <si>
    <t>00.05 s/d 01.00 Wita</t>
  </si>
  <si>
    <t>Menindaklanjuti laporan warga perihal meminta bantuan evakuasi ular yang berada di atas pohon samping rumah beliau beralamat Jl. Pondok Labu Komp. Pondok Labu Regency RT. 019 RW. 008 Kel. Loktabat Utara Kec. Banjarbaru Utara. Petugas langsung menuju lokasi dan dilokasi petugas menemukan ular berjenis Phyton yang berada di atas pohon dan berhasil di evakuasi dan dilepasliarkan. Petugas mengerahkan 1 Unit Ops Damkar.</t>
  </si>
  <si>
    <t>Ibu Ayu NO Hp. 081256577772</t>
  </si>
  <si>
    <t>09.50 s/d 10.56 Wita</t>
  </si>
  <si>
    <t>Menindaklanjuti laporan warga perihal meminta bantuan evakuasi monyet liar yang berada di pekarangan belakang rumah beliau beralamat Jl. Karang Anyar Residence No. 40 RT. 20 RW. 11 Kel. Loktabat Utara Kec. Banjarbaru Utara. Petugas meluncur langsung ke lokasi. Sesampai di lokasi monyet liar tersebut sudah tidak ada. Evakuasi tidak berhasil. Petugas mengerahkan 1 Unit Ops Damkar.</t>
  </si>
  <si>
    <t>Dr. Aamorinto No Hp. 0811517804</t>
  </si>
  <si>
    <t>Senin, 05 Februari 2024</t>
  </si>
  <si>
    <t>08.45 s/d 10.00 Wita</t>
  </si>
  <si>
    <t>Menindaklanjuti laporan warga perihal meminta bantuan evakuasi kucing yang terjebak di atas plafon rumah beliau beralamat Jl. Gotong Royong Komplek Green Paradise RT. 20 Kel. Mentaos Kec. Banjarabaru Utara. Petugas langsung menuju lokasi dan berhasil mengevakuasi 1 induk 3 anak kucing dengan selamat. Petugas mengerahkan 1 Unit Ops Damkar.</t>
  </si>
  <si>
    <t>Bapak Fahrezha No Hp. 082255248884</t>
  </si>
  <si>
    <t>7 orang/ 1 unit</t>
  </si>
  <si>
    <t>Selasa, 06 Februari 2024</t>
  </si>
  <si>
    <t>22.33 s/d 23.25 Wita</t>
  </si>
  <si>
    <t>Menindaklanjuti laporan warga perihal meminta bantuan evakuasi Ular yang berjenis cobra yang berada di dapur rumah beliau beralamat Komp. Griya Pinus Lestari  No. G 5 RT. 19 RW. 08 Kel. Loktabat Utara Kec. Banjarbaru Utara. Petugas langsung menuju lokasi dengan membawa peralatan. Di Lokasi ular berhasil di evakuasi dan dilepasliarkan. Petugas mengerahkan 1 Unit Ops Damkar.</t>
  </si>
  <si>
    <t>Rizky No Hp. 082253626523</t>
  </si>
  <si>
    <t>Rabu, 07 Februari 2024</t>
  </si>
  <si>
    <t>01.35 s/d 02.30 Wita</t>
  </si>
  <si>
    <t>Menindaklanjuti laporan warga perihal meminta bantuan evakuasi ular jenis cobra hitam di dalam kamar tidur beralamat  Jl. Transat Palam RT. 10 RW. 04 Kel. Palam Kec. Cempaka. Petugas langsung meluncur ke lokasi. Petugas berhasil mengevakuasi ular tersebut. Petugas mengerahkan 1 Unit Ops Damkar.</t>
  </si>
  <si>
    <t xml:space="preserve"> Danang Yugo No Hp. 082233832863</t>
  </si>
  <si>
    <t>10.15 s/d 12.10 Wita</t>
  </si>
  <si>
    <t>Menindaklanjuti laporan warga perihal meminta bantuan evakuasi ular yang berada disamping rumah beliau beralamat Jl. Taruna Praja Komp. Aulia Raya RT. 48 RW. 12 No. 25 Kel. Loktabat Utara Kec. Banjarbaru Utara. Ular berhasil di evakuasi dan dilepasliarkan. Petugas mengerahkan 1 Uit Ops Damkar.</t>
  </si>
  <si>
    <t>Sirun No Hp. 082254246024</t>
  </si>
  <si>
    <t>Jum`at 09 Februari 2024</t>
  </si>
  <si>
    <t>19.59 s/d 21.30 Wita</t>
  </si>
  <si>
    <t>Menindaklanjuti laporan warga perihal meminta bantuan evakuasi sarang tawon di atas atap rumah tetangga beliau yang sidah lama tidak berpenghuni yang beralamat Komp. Kelapa sawit No. 134 RT. 01 RW. 01 Kel. Sungai Besar Kec. banjarbaru Selatan. Petugas menuju lokasi dan berhasil mengevakuasi sarang tawon yang berjenis Vespa Affinis. Sarang Tawon di musnahkan dan dibersihkan. Petugas mengerahkan 1 Unit Ops Damkar.</t>
  </si>
  <si>
    <t>Khoirul Toin No Hp. 085251436575</t>
  </si>
  <si>
    <t>Sabtu, 10 Februari 2024</t>
  </si>
  <si>
    <t>16.46 s/d 17.18 Wita</t>
  </si>
  <si>
    <t>Menindaklanjuti laporan warga perihal meminta bantuan evakuasi ular yang berada di dapur rumah beliau beralamat Jl. Karang Anyar I Gg. Merah Putih RT.43 RW. 01 No. 52 C Kel. Loktabat Utara Kec. Banjarbaru Utara. Petugas langsung menuju lokasi. Dilokasi petugas melakukan pencarian dan ular tersebut berhasil di evakuasi. Petugas mengerahkan 1 Unit Ops Damkar.</t>
  </si>
  <si>
    <t>Ibu Tuti No Hp. 0812260330114</t>
  </si>
  <si>
    <t>Minggu 11 Februari 2024</t>
  </si>
  <si>
    <t>11.21 s/d 12.30 Wita</t>
  </si>
  <si>
    <t>Menindaklanjuti laporan warga perihal meminta bantuan evakuasi anak kucing yang terjebak di atas plafon rumah beliau yang beralamat Jl. Periangan RT. 54 RW. 10 Kel. Loktabat Utara Kec. Banjarbaru Utara. Petugas langsung menuju lokasi evakuasi. Sesampai di lokasi petugas melakukan pencarian dan tidak menemukan anak kucing tersebut. Petugas menegerahkan 1 Unit Ops Damkar.</t>
  </si>
  <si>
    <t>Bapak Jefri No Hp. 081250493565</t>
  </si>
  <si>
    <t>Senin, 12 Februari 2024</t>
  </si>
  <si>
    <t>15.19 s/d 16.15 Wita</t>
  </si>
  <si>
    <t xml:space="preserve">Menindaklanjuti laporan warga perihal meminta bantuan evakuasi ular yang berada di pagar rumah beliau karena sudah membuat panik dan takut yang beralamat Jl. Lingkar Timur RT. 26 Kel. Sungai Ulin Kec. Banjarbaru Selatan. Petugas langsung meluncur ke lokasi, sesampai di lokasi petugas melakukan pencarian dan penyisiran di rumah beliau. Ular tidak berhasil ditemukan. Diperkirakan keluar lewat lubang-lubang. Petugas mengerahkan 1 Unit Ops Damkar. </t>
  </si>
  <si>
    <t>Bapak Didi Rosyadi No Hp. 081254730570</t>
  </si>
  <si>
    <t>Selasa, 13 Februari 2024</t>
  </si>
  <si>
    <t>07.50 s/d 08.15 Wita</t>
  </si>
  <si>
    <t>Menindaklanjuti laporan warga yang datang langsung ke Posko UPT Damkar Kota Banjarbaru melaporkan perihal meminta bantuan evakuasi Ular berjenis Phyton didalam kandang ayam milik beliau yang sudah memangsa ternak milik beliau beralamat Pondok Halim Permai Jl. Djull Hijjah No. 67 RT. 05 RW. 05 Kel. Guntung Paikat Kec. Banjarbaru Selatan. Petugas langsung menuju lokasi dan melakukan pencarian. Di lokasi petugas berhasil mengevakuasi ular tersebut dan dilepasliarkan. Petugas mengerahkan 1 Unit Ops Damkar</t>
  </si>
  <si>
    <t>Bapak Eko</t>
  </si>
  <si>
    <t>21.00 s/d 22.10 Wita</t>
  </si>
  <si>
    <t>Menindaklanjuti laporan warga yang datang langsung ke Posko UPT Damkar Kota Banjarbaru perihal meminta bantuan evakuasi sarang tawon yang bersarang di atap rumah beliau beralamat Jl. Trikora Komp. Galuh Marindu 2 RT. 33 RW. 07 Kel. Sungai Besar Kec. banjarbaru Selatan. Petugas berhasil melakukan evakuasi dan pembersihan sarang tawon. Petugas mengerahkan 1 Unit Ops Damkar.</t>
  </si>
  <si>
    <t>Bapak Andi</t>
  </si>
  <si>
    <t>Rabu, 14 Februari 2024</t>
  </si>
  <si>
    <t>07.10 s/d 07.45 Wita</t>
  </si>
  <si>
    <t>Menindaklanjuti laporan warga perihal meminta bantuan evakuasi ular yang berada di atas pintu kamar mandi. Beralamat Jl. Trikora Komp. Pesona Puri Banjar Asri RT. 027 RW. 004 Kel. Guntung Manggis Kec. Landasan Ulin. Petugas berhasil mengevakuasi uluar dan dilepasliarkan. Petugas mengerahkan 1 Unit Ops Damkar.</t>
  </si>
  <si>
    <t>Dwi Aji No Hp. 089677110885</t>
  </si>
  <si>
    <t>09.08 s/d 10.15 Wita</t>
  </si>
  <si>
    <t>Menindaklanjuti laporan warga perihal meminta bantuan evakuasi ular berjenis cobra yang berada disamping rumah beliau beralamat Jl. Pondok Bambu Komp. Graha Idaman Permai RT. 19 RW. 08 Kel. Loktabat Utara Kec. Banjarbaru Utara. Di lokasi petugas menemukan ular tersebut, saat melakukan evakuasi ular tersebut berhasil melarikan diri dari tangkapan petugas. Ular tidak behasil di evakuasi. Petugas mengerahkan 1 Unit Ops Damkar</t>
  </si>
  <si>
    <t>Bapak Bryan Adam No Hp. 085810820840</t>
  </si>
  <si>
    <t>Kamis, 15 Februari 2024</t>
  </si>
  <si>
    <t>17.01 s/d 17.25 Wita</t>
  </si>
  <si>
    <t>Menindaklanjuti laporan warga perihal meminta bantuan evakuasi ular yang berada di belakang kandang anjing milik beliau beralamat Jl. Tengiri Sungai Sumba RT. 39 RW. 02 Kel. Guntung Manggis Kec. Landasan Ulin. Petugas berhasil mengevakuasi ular dan dilepasliarkan. Petugas mengerahkan 1 Unit Ops Damkar.</t>
  </si>
  <si>
    <t>Ibu Piping</t>
  </si>
  <si>
    <t>Jum`at, 16 Februari 2024</t>
  </si>
  <si>
    <t>09.15 s/d 09.40 Wita</t>
  </si>
  <si>
    <t>Menindaklanjuti laporan warga perihal meminta bantuan evakuasi ular yang berada dalam drainase beralamat Jl. Trikora ( Kantor Pengadilan Negeri Kota Banjarbaru ) Kel. Guntung Paikat Kec. Banjarbaru selatan. Petugas berhasil mengevakuasi ular tersebut dan dilepasliarkan. Petugas menegerahkan 1 Unit Ops Damkar.</t>
  </si>
  <si>
    <t>Ibu Rahma  No Hp. 085398746002</t>
  </si>
  <si>
    <t>Sabtu, 17 Februari 2024</t>
  </si>
  <si>
    <t>01.00 s/d 02.00 Wita</t>
  </si>
  <si>
    <t>Menindaklanjuti laporan warga perihal meminta bantuan evakuasi ular yang berada dibelakang rumah beliau beralamat Jl. Guntung Jingah No. 63 RT. 05 RW. 02 Kel. Loktabat Utara Kec. Banjarbaru Utara. Sesampai di lokasi petugas tidak menemukan ular tersebut. Ular tidak berhasil di evakuasi. Petugas mengerahlan 1 Unit Ops Damkar</t>
  </si>
  <si>
    <t>Bapak Riza Rihardi No Hp. 081352116147</t>
  </si>
  <si>
    <t>13.21 s/d 14.20 Wita</t>
  </si>
  <si>
    <t>Menindaklanjuti laporan warga perihal meminta bantuan evakuasi bangkai kucing yang terjebak di bawah gorong-gorong beralamat Jl. Sapta Marga Gg. B Swadaya RT. 13 RW. 01 No. 72 Kel. Guntung Payung Kec. Landasan Ulin. Petugas langsung bergerak menuju lokasi. Di lokasi petugas berhasil mengevakuasi bangkai kucing tersebut dan menguburkan. Petugas mengerahkan 1 Unit Ops Damkar.</t>
  </si>
  <si>
    <t xml:space="preserve"> Ibu Hj. Susanti No Hp. 085251906762</t>
  </si>
  <si>
    <t>Minggu, 18 Februari 2024</t>
  </si>
  <si>
    <t>13.25 s/d 14.00 Wita</t>
  </si>
  <si>
    <t>Menindaklanjuti laporan warga perihal meminta bantuan evakuasi ular yang berada di dalam kamar rumah beliau beralamat Komp. Griya Pesona Bhayangkara No. G 43 RT. 51 RW. 05 Kel. Guntung Manggis Kec. landasan Ulin. Ular berhasil di evakuasi dan dilepasliarkan. Petugas mengerahkan 1 Unit Ops damkar.</t>
  </si>
  <si>
    <t>Ibu Mutia Nur Salsabila No Hp. 085250958429</t>
  </si>
  <si>
    <t>Selasa, 20 Februari 2024</t>
  </si>
  <si>
    <t>20.23 s/d 21.15 Wita</t>
  </si>
  <si>
    <t>Menindaklanjuti laporan warga perihal meminta bantuan evakuasi ular yang berada di dapur rumah beliau beralamat Jl. Mitra Praja RT. 24 RW. 05 Kel. Kemuning Kec. Banjarbaru Selatan. Ular berhasil di evakuasi dan dilepasliarkan. Petugas mengerahkan 1 Unit Ops Damkar.</t>
  </si>
  <si>
    <t xml:space="preserve"> Ibu Irma Ardi No Hp. 083141138014</t>
  </si>
  <si>
    <t>Rabu, 21 Februari 2024</t>
  </si>
  <si>
    <t>09.40 s/d 11.30 Wita</t>
  </si>
  <si>
    <t>Menindaklanjuti laporan warga perihal meminta bantuan evakuasi ular yang berada di gudang rumah beliau beralamat Komp. Bumi Cahaya Bintang RT. 43 RW. 08 Kel. Sungai Beasr Kec. Banjarbaru Selatan. Petugas langsung menuju lokasi dan di lokasi petugas tidak menemukan ular tersebut. Petugas mengerahkan 1 Unit Ops Damkar.</t>
  </si>
  <si>
    <t xml:space="preserve"> Bapak Ary No Hp. 085348062161</t>
  </si>
  <si>
    <t>Kamis, 22 Februari 2024</t>
  </si>
  <si>
    <t>08.00 s/d 09.25 Wita</t>
  </si>
  <si>
    <t>Menindaklanjuti laporan waga perihal meminta bantuan evakuasi sarang lebah yang berada dalam dinding rumah kayu pada Mess PT. Galuh Cempaka beralamat Galuh Cempaka Jl. Purnawirawan, Tambak Jariyah RT. 06 RW. 02 Kel. Palam Kec. Cempaka. Petugas melakukan persiapan peralatan dan langsung menuju lokasi. Evakuasi Sarang lebah berhasil dimusnahkan dan dibersihkan. Petugas mengerahkan 1 Unit Ops Damkar.</t>
  </si>
  <si>
    <t xml:space="preserve">July No Hp. 082178087150 </t>
  </si>
  <si>
    <t>Jum`at, 23 Februari 2024</t>
  </si>
  <si>
    <t>07.45 s/d 08.25 Wita</t>
  </si>
  <si>
    <t>Menindaklanjuti laporan warga perihal meminta bantuan evakuasi ular yang berada di atas kandang ayam rumah beliau yang beralamat JL. Mistar Cokrokusumo No. 36 RT. 39 RW. 11 Kel. Cempaka Kec. Cempaka. Ular berhasil di evakuasi dan dilepasliarkan. Petugas mengerahkan 1 Unit Ops Damkar</t>
  </si>
  <si>
    <t>Tutur Diniarsih No Hp. 081350173481</t>
  </si>
  <si>
    <t>08.50 s/d 09.10 Wita</t>
  </si>
  <si>
    <t>Menindaklanjuti laporan warga perihal meminta bantuan evakuasi ular berjenis Cobra yang berada di samping gudang beralamat Jl. Trikora RT. 24 RW. 05 Kel. Kemuning Kec. Banjarbaru Selatan. Petugas langsung meluncur ke lokasi dan sesampai di lokasi petugas berhasil mengevakuasi ular tersebut dan dilepasliarkan. Petugas mengerahkan 1 Unit Ops Damkar.</t>
  </si>
  <si>
    <t>Bapak Agus Kacamata No Hp. 081219999029</t>
  </si>
  <si>
    <t>Sabtu, 24 Februari 2024</t>
  </si>
  <si>
    <t>20.41 s/d 21.30 Wita</t>
  </si>
  <si>
    <t>Menindaklanjuti laporan warga perihal meminta bantuan evakuasi sarang tawon di atas atap rumah beliau beralamat Jl. Jagawana Ujung Komp. Kehutanan RT. 10 RW. 02 Kel. Sungai Besar Kec. Banjarbaru Selatan. Petugas mendatangi ke lokasi dan melakukan evakuasi. Sarang tawon berhasil dimusnahkan dan dibersihkan. Petugas mengerahkan 1 Unit Ops Damkar</t>
  </si>
  <si>
    <t xml:space="preserve"> Bapak Parman No. Hp. 085393001762</t>
  </si>
  <si>
    <t>Minggu, 25 Februari 2024</t>
  </si>
  <si>
    <t>03.27 s/d 04.00 Wita</t>
  </si>
  <si>
    <t>Menindaklanjuti laporan warga perihal meminta bantuan evakuasi ular jenis phyton di atas dapur rumah beliau beralamat Jl. Komp. Banua Permai Blok D17 RT. 35 RW. 07 Kel. Sungai Besar Kec. Banjarbaru Selatan. Petugas langsung meluncur ke lokasi. Ular berhasil di evakuasi. Petugas mengerahkan 1 Unit Ops Damkar.</t>
  </si>
  <si>
    <t xml:space="preserve">Akbar No. Hp. 081350173481 </t>
  </si>
  <si>
    <t>15.29 s/d 18.00 Wita</t>
  </si>
  <si>
    <t>Menindaklanjuti laporan bahwa adanya pohon yang cukup besar tumbang menghalangi jalan dan mengenai warung kosong yang beralamat Jl. Trikora RT. 33 RW. 05 Kel. Guntung Manggis Kec. Landasan Ulin. Petugas langsung meluncur ke lokasi. Petugas berhasil melakukan evakuasi pohon tumbang dengan aman dan lancar. Petugas mengerahkan 1 Unit Ops Damkar.</t>
  </si>
  <si>
    <t>grup WA Emergency Banjarbaru</t>
  </si>
  <si>
    <t>Senin, 26 Februari 2024</t>
  </si>
  <si>
    <t>17.58 s/d 18.50 Wita</t>
  </si>
  <si>
    <t>Menindaklanjuti laporan warga perihal meminta bantuan evakuasi ular yang berada di dapur rumah milik beliau beralamat Jl. Pura 3 Komp. Wengga Kuda RT. 05 RW. 02 Kel. Guntung Manggis Kec. Landasan Ulin. Petugas melakukan pencarian dan akhirnya menemukan ular tersebut dibelakang mesin cuci. Ular berhasil di evakuasi dan dilepasliarkan.</t>
  </si>
  <si>
    <t>Ibu Andini No Hp. 085654206752</t>
  </si>
  <si>
    <t>Selasa, 27 Februari 2024</t>
  </si>
  <si>
    <t>16.25 s/d 17.40 Wita</t>
  </si>
  <si>
    <t>Menindaklanjuti laporan warga perihal meminta bantuan evakuasi cincin yang tidak bisa lepas dijari tengah dan sudah terjadi pembengkakan beralamat Komp. Eka Faksi RT. 18 RW. 03 Kel. Guntung Manggis Kec. Landasan Ulin. Petugas langsung meluncur ke Lokasi dan melakukan evakuasi pemotongan cincin. Cincin berhasil di lepas dengan aman dan lancar. Petugas mengerahkan 1 Unit Ops Damkar.</t>
  </si>
  <si>
    <t xml:space="preserve">Evita Putri No Hp. 08565009620 </t>
  </si>
  <si>
    <t>Kamis, 29 Februari 2024</t>
  </si>
  <si>
    <t>07.50 s/d 08.50 Wita</t>
  </si>
  <si>
    <t>Menindaklanjuti laporan dari warga perihal meminta antuan evakuasi ular yang berada di dalam ruangan Aula Asrama Haji beralamat Jl. A. Yani Km. 28 Kel. Guntung Manggis Kec. Landasan Ulin. Petugas meluncur ke lokasi. Sesampai di lokasi ular tidak ditemukan. Petugas menegerahkan 1 Unit Ops Damkar.</t>
  </si>
  <si>
    <t>Ibu Diah</t>
  </si>
  <si>
    <t>18.40 s/d 19.20 Wita</t>
  </si>
  <si>
    <t>Menindaklanjuti laporan warga perihal meminta bantuan evakuasi ular yang berada di ruang dapur tepatnya di kompor beralamat Jl. Trikora Galuh marindu 2 Blok F No. 27 RT. 33 RW. 07 Kel. Sungai Besar Kec. Banjarbaru Selatan. Petugas langsung menuju lokasi sesampai di lokasi petugas melakukan penyisiran di dapur. Ular tersebut tidak ditemukan. Petugas mengerahkan 1 Unit Ops Damkar</t>
  </si>
  <si>
    <t>Nia Octaviani No Hp. 081255748861</t>
  </si>
  <si>
    <t>Jum`at, 1 Maret 2024</t>
  </si>
  <si>
    <t>08.37 s/d 09.30 Wita</t>
  </si>
  <si>
    <t>Menindaklanjuti laporan warga perihal meminta bantuan evakuasi pohon tumbang yang menghalangi jalan dan mengenai kabel listrik dan atap rumah warga beralamat Jl. Sawi RT. 01 RW. 05 (samping hutan pinus) Kel. Mentaos Kec. Banjarbaru Utara.  Petugas meluncur ke lokasi kejadian. Petugas behasil  mengevakuasi pohon tersebut dan bisa disampingkan pohon tersebut agar tidak menghalangi jalan. Petugas mengerahkan 1 Unit Ops Damkar.</t>
  </si>
  <si>
    <t xml:space="preserve">Yuseri No Hp. 085332216164 </t>
  </si>
  <si>
    <t>Sabtu, 2 Maret 2024</t>
  </si>
  <si>
    <t>Menindaklanjuti laporan warga perihal meminta bantuan evakuasi ular yang berada disaluran air ( selokan ) depan rumah beralamat Jl. Karet Indah RT. 37 RW. 07 Kel. Loktabat Utara Kec. Banjarbaru Utara. Ular berhasil di evakuasi dan dilepasliarkan. Petugas mengerahkan 1 Unit Ops Damkar.</t>
  </si>
  <si>
    <t>Gusti No Hp. 085710037289</t>
  </si>
  <si>
    <t>15.00 s/d 16.00 Wita</t>
  </si>
  <si>
    <t>Menindaklanjuti laporan warga perihal meminta bantua evakuasi ular yang berada dalam garasi rumah beliau beralamat Jl. Pandu Rt. 12 RW. 03 Kel. Guntung Paikat Kec. Banjarbaru Selatan. Petugas melakukan penyisiran di sekitar rumah tetapi petugas tidak menemukan ular tersebut. Ular tidak berhasil di evakuasi. Petugas mengerahkan 1 Unit Ops Damkar</t>
  </si>
  <si>
    <t xml:space="preserve">Nurul No Hp. 082157029818 </t>
  </si>
  <si>
    <t>Minggu, 3 Maret 2024</t>
  </si>
  <si>
    <t>13.49 s/d 14.40 Wita</t>
  </si>
  <si>
    <t>Menindaklanjuti laporan dari warga perihal meminta bantuan evakuasi ular di dalam kamar mandi (wc) beralamat Komp. Balitan 13 Blok E RT. 46 RW. 12 Kel. Loktabat Utara. Kec. Banjarbaru Utara. Petugas menuju lokasi. Sesampai di lokasi petuga menemukan ular tersebut masih ada ditempatnya. Ular berhasil di evakuasi dan dilepaskiarkan. Petugas mengerahkan 1 Unit Ops Damkar.</t>
  </si>
  <si>
    <t>Bapak Agustinus No Hp. 085349301818</t>
  </si>
  <si>
    <t>Selasa, 5 Maret 2024</t>
  </si>
  <si>
    <t>09.50 s/d 11.00 Wita</t>
  </si>
  <si>
    <t>Menindaklanjuti loporan meminta bantuan evakuasi anjing yang berkeliaran di jalan beralamat Jl. Sukarelawan Gg. Toba RT. 24 RW. 10 Kel. Lokatabat Utara Kec. Banjarbaru Utara.  Petugas langsung meluncur ke lokasi bersama pihak Kelurahan Loktabat Utara, Babinsa, Satlinmas Kelurahan dan Plt. Ketua RT melakukan musyawarah dengan pemilik anjing. UPT Damkar Kota Banjarbaru akan melakukan evakuasi apabila ada hasil dari pihak Kelurahan Loktabat Utara. Petugas mengerahkan 1 Unit Ops Damkar.</t>
  </si>
  <si>
    <t>Aplikasi SP4N Lapor</t>
  </si>
  <si>
    <t>Rabu, 6 Maret 2024</t>
  </si>
  <si>
    <t>00.30 s/d 01.57 Wita</t>
  </si>
  <si>
    <t>Menindaklanjuti laporan bahwa ada banjir di wilayah Sungai Tiung Cempaka beralamat Jl. Mistarcokrokusumo Desa Lukaas RT. 28 RW. 09 Kel. Sungai Tiung Kec. Cempaka. Petugas menuju lokasi banjir dan standby dilokasi apabila dibutuhkan untuk melakukan evakuasi warga. Terdampak banjir 11 rumah. Petugas mengerahkan 1 Unit Ops Damkar.</t>
  </si>
  <si>
    <t>grup WA Emergency</t>
  </si>
  <si>
    <t>banjir</t>
  </si>
  <si>
    <t>11.45 s/d 12.10 Wita</t>
  </si>
  <si>
    <t>Menindaklanjuti laporan warga perihal meminta bantuan evakuasi ular yang berada di langit-langit rumah beralamat Jl. Palam Raya ( Karang rejo ) RT. 05 RW. 01 Kel. Guntung Manggis Kec. Landasan Ulin. Ular berhasil di evakuasi dan dilepasliarkan petugas. Petugas mengerahkan 1 Unit Ops Damkar.</t>
  </si>
  <si>
    <t>Bapak Andrian No Hp. 081369521982</t>
  </si>
  <si>
    <t>Kamis, 7 Maret 2024</t>
  </si>
  <si>
    <t>07.52 s/d 08.35 Wita</t>
  </si>
  <si>
    <t>Menindaklanjuti laporan warga perihal meminta bantuan evakuasi ular yang memangsa ayam peliharaan dikandang beralamat JL. Mistarcokrokusumo RT. 39 RW. 11 No. 36 Kel. Cempaka Kec. Cempaka. Petugas langsung menuju lokasi. Petugas berhasil mengevakuasi ular tersebut dan dilepasliarkan. Petugas mengerahkan 1 Unit Ops Damkar</t>
  </si>
  <si>
    <t>12.36 s/d 13.20 Wita</t>
  </si>
  <si>
    <t xml:space="preserve">Menindaklanjuti laporan warga perihal meminta bantuan evakuasi ular yang berada dihalaman Rumah bapak Rahmat beralamat Komp. Green Tasbih Jl. Tawaf RT. 09 RW. 06 Kel. Loktabat Selatn Kec. Banjarbaru Selatan. Petugas menuju lokasi dan melakukan pencarian, ular tidak berhasil ditemukan maka petugas memberikan edukasi kepada pemilik rumah agar dapat mengantisipasi apabila ular tersebut kembali atau segera menghubungi UPT Damkar Kota Banjarbaru. Petugas mengerahkan 1 Unit Ops Damkar. </t>
  </si>
  <si>
    <t xml:space="preserve">Gusti Dodoy No HP. 083159417832 </t>
  </si>
  <si>
    <t>Jum`at, 8 Maret 2024</t>
  </si>
  <si>
    <t>06.55 s/d 08.10 Wita</t>
  </si>
  <si>
    <t xml:space="preserve">Kepala UPT Damkar Kota Banjarbaru </t>
  </si>
  <si>
    <t>Menindaklanjuti laporan warga perihal meminta bantuan evakuasi pohon yang sudah kering agar bisa dipotong karena dapat membahayakan orang disekitar beralamat Jl. A. Yani Mesjid Istiqomah. Petugas behasil mengevakuasi pohon tersebut dan dibersihkan. Petugas mengerahkan 1 Unit Ops Damkar.</t>
  </si>
  <si>
    <t>20.48 s/d 22.25 Wita</t>
  </si>
  <si>
    <t>Menindaklanjuti laporan warga perihal meminta bantuan evakuasi sarang lebah yang berada di dalam plafon teras Kelas 2A beralamat SDN 3 Guntung Manggis Jl. Sungai Salak RT. 33 RW. 05 Kel. Guntung Manggis Kec. Landasan Ulin. Sarang lebah berhasil di evakuasi dan dimusnahkan. Petugas mengerahkan 1 Unit Ops Damkar.</t>
  </si>
  <si>
    <t>Selvia Ulfah ( Guru SDN 3 ) No Hp. 085386239800</t>
  </si>
  <si>
    <t>Sabtu, 9 Maret 2024</t>
  </si>
  <si>
    <t>08.14 s/d 08.55 Wita</t>
  </si>
  <si>
    <t xml:space="preserve">Menindaklajuti laporan warga  perihal meminta bantuan evakuasi ular yang berada di dapur beralamat Komp. Banjarbaru Asri Jl. Bekantan 2 No. 3 RT. 02 RW. 04 Kel. Guntung Paikat Kec. Banjarbaru selatan. Petugas melakukan pencarian dilokasi dan menemukan ular tersebut berada di gudang. Petugas berhasil mengevakuasi ular tersebut dan dilepasliarkan. Petugas mengerahkan 1 Unit Ops Damkar. </t>
  </si>
  <si>
    <t>Rahayu Suciati No Hp. 082153552075</t>
  </si>
  <si>
    <t>8 orang/2 unit</t>
  </si>
  <si>
    <t>Minggu, 10 Maret 2024</t>
  </si>
  <si>
    <t>10.00 s/d 10.30 Wita</t>
  </si>
  <si>
    <t>Bapak Dimas No Hp. 081366506684</t>
  </si>
  <si>
    <t>Menindaklanjuti laporan warga  perihal meminta bantuan evakuasi kucing yang berada di atas pohon depan rumah beliau beralamat Komp. Ratu Elok Jl. Seluang RT. 08 RW. 02 Kel. Sungai Besar Kec. Banjarbaru Selatan. Petugas berhasil mengevakuasi kucing dengan selamat. Petugas mengerahkan 1 Unit Ops Damkar.</t>
  </si>
  <si>
    <t>Senin, 11 Maret 2024</t>
  </si>
  <si>
    <t>02.20 s/d 03.10 Wita</t>
  </si>
  <si>
    <t>Menindaklanjuti laporan warga perihal meminta bantua evakuasi ular yang berada di dapur rumah milik beliau beralamat Jl. Ambulung RT. 23 RW. 005 Kel. Kemuning Kec. Banjarbaru Selatan. Petugas meluncur langsung ke lokasi dan melakukan penyisiran di area rumah tersebut. Ular tidak berhasil di evakuasi. Petugas mengerahkan 1 Unit Ops Damkar.</t>
  </si>
  <si>
    <t>Ahmad Fa`i</t>
  </si>
  <si>
    <t>09.47 s/d 10.20 Wita</t>
  </si>
  <si>
    <t>Menindaklanjuti laporan warga perihal meminta bantuan evakuasi adanya monyet liar yang berada diatas atap rumah beliau beralamat Jl. Sabilal 1 RT. 03 RW. 04 Kel. Loktabat Selatan Kec. Banjarbaru Selatan. Petugas langsung menuju lokasi dan melakukan pencarian. Monyet tersebut tidak berhasil di evakausi karena sudah melarikan diri. Petugas menegerahkan 1 Unit Ops Damkar.</t>
  </si>
  <si>
    <t>Bachrudin No Hp. 08122824407</t>
  </si>
  <si>
    <t>Selasa, 12 Maret 2024</t>
  </si>
  <si>
    <t>07.49 s/d 08.20 Wita</t>
  </si>
  <si>
    <t>Menindaklanjuti laporan warga perihal meminta bantuan evakuasi kucing liar yang tercebur dalam sumur beralamat Jl. Trikora Komp. Griya Yudha Pratama RT. 07 Rw. 09 Gg. Imam Bonjol Blok B No. 4 Kel. Landasan Ulin Timur Kec. Landasan Ulin. Kucing berhasil di evakuasi dan dilepasliarkan. Petugas mengerahkan 1 Unit Ops Damkar.</t>
  </si>
  <si>
    <t xml:space="preserve">Bapak Eksatana No Hp. 087848280649 </t>
  </si>
  <si>
    <t>10.18 s/d 10.55 Wita</t>
  </si>
  <si>
    <t>Sayuti No Hp. 081348016350</t>
  </si>
  <si>
    <t>Menindaklanjuti laporan warga  perihal meminta bantuan mengevakuasi lebah madu. Menurut laporan pelapor lebah tersebut ingin membuat sarang di plafon teras beralamat Jl. Pandu Rt. 03 RW. 06 Kel. Guntung Paikat Kec. Banjarbaru Selatan. Petugas menuju lokasi dan menyiapkan perlengkapan APD. Petugas berhasiil memusnahkan lebah tersebut. Petugas mengerahkan 1 Unit Ops Damkar.</t>
  </si>
  <si>
    <t>Sepeda Motor Honda Vario 160</t>
  </si>
  <si>
    <t>Menindaklanjuti laporan warga perihal meminta bantuan evakuasi biawak yang berada didalam kamar mandi rumah beliau beralamat Jl. Karamunting RT. 02 RW. 02 Kel. Guntung Paikat Kec. Banjarbaru Selatan. Petugas menuju lokasi dan melakukan pencarian. Petugas berhasil menemukan dan mengevakuasi biawak tersebut. Petugas mengerahkan 1 Unit Ops Damkar.</t>
  </si>
  <si>
    <t>Sukma  No Hp. 08125001003</t>
  </si>
  <si>
    <t>16.40 s/d 17.20 Wita</t>
  </si>
  <si>
    <t>Rabu, 13 Maret 2024</t>
  </si>
  <si>
    <t>Jum`at, 15 Maret 2024</t>
  </si>
  <si>
    <t>04.15 s/d 05.13 Wita</t>
  </si>
  <si>
    <t>Menindaklanjuti laporan warga perihal meminta bantuan evakuasi anjing yang tercebur dalam sumur di samping rumah milik beliau beralamat Jl. Griya Asri Komp. Kartika Eka Paksi Blok D No 007 RT. 16 RW. 02 Kel. Landasan Ulin Barat Kec. Liang Anggang. Petugas berhasil mengevakuasi anjing tersebut. Petugas menegerahkan 1 Unit Ops Damkar.</t>
  </si>
  <si>
    <t>Suharmadi No Hp. 082254979092</t>
  </si>
  <si>
    <t>11.29 s/d 12.20 Wita</t>
  </si>
  <si>
    <t>Menindaklanjuti laporan warga perihal meminta bantua evakuasi cincin di jari yang mengakibatkan pembengkakan beralamat Jl. Peramuan Komp. Citra Bangun Persada 6 Blok E No 2 RT. 03 RW. 01 Kel. Landsan Ulin Timur Kec. Landasan Ulin. Petugas melakukan pemotongan cincin dengan hati-hati menggunaka gerinda potong kecil. Akhirnya petugas berhasil mengevakuasi pemotong cincin tersebut. Petugas menegerahkan 1 Unit Ops Damkar</t>
  </si>
  <si>
    <t>Ibu Amelia Yusuf No Hp. 082350739585</t>
  </si>
  <si>
    <t>Minggu, 17 Maret 2024</t>
  </si>
  <si>
    <t>00.20 s/d 01.50 Wita</t>
  </si>
  <si>
    <t>Menindaklanjuti laporan warga perihal meminta bantuan evakuasi anak kucing yang terjebak di celah dinding beton beralamat Komp. Jeruk Raya RT. 39 RW. 01 Kel. Sungai Besar Kec. Banjarbaru Selatan. Petugas berhasil mengevakuasi anak kucing tersebut dengan selamat. Petugas menegerahkan 1 Unit Ops Damkar.</t>
  </si>
  <si>
    <t>Navilla No Hp. 081350444793</t>
  </si>
  <si>
    <t>19.30 s/d 20.40 Wita</t>
  </si>
  <si>
    <t>Menindaklanjuti laporan warga perihal meminta bantuan evakuasi biawak yang berada didalam sumur rumah beliau beralamat Jl. Pandawa Komp. Bukit Lestari 2 RT. 03 RW. 05 No 02 Kel. Guntung Paikat Kec. Banjarbaru Selatan. Petugas berhasil mengevakuasi biawak tersebut dan dilepasliarkan. Petugas mengerahkan 1 Unit Ops Damkar.</t>
  </si>
  <si>
    <t>Ibu Anisa No Hp. 085345053290</t>
  </si>
  <si>
    <t>Senin, 18 Maret 2024</t>
  </si>
  <si>
    <t>09.40 s/d 10.15 Wita</t>
  </si>
  <si>
    <t>Menindaklanjuti laporan warga perihal meminta bantuan evakuasi ular yang berada di bawah meja Resepsionis Salon dan SPA Babhinian beralamat Jl. A. Yani Km. 31 RT. 05 RW. 02 Kel. Guntung Manggis Kec. Landasan Ulin. Ular berhasil di evakuasi dan dilepasliarkan. Petugas mengerahkan 1 Unit Ops Damkar.</t>
  </si>
  <si>
    <t>Ibu Ida No Hp. 082242056213</t>
  </si>
  <si>
    <t>Selasa, 19 Maret 2024</t>
  </si>
  <si>
    <t>09.24 s/d 09.45 Wita</t>
  </si>
  <si>
    <t>Menindaklanjuti laporan warga perihal meminta bantuan evakuasi ular berjenis cobra hitam dihalaman samping rumah beralamat Komp. Griya Kemuning Indah No. 5 RT. 26 RW. 03 Kel. Kemuning Kec. Banjarbaru Selatan. Ular berhasil di evakuasi dan dilepasliarkan. Petugas mengerahkan 1 Unit Ops Damkar.</t>
  </si>
  <si>
    <t>Bapak Renaldi No Hp. 082255575666</t>
  </si>
  <si>
    <t>Kamis, 21 Maret 2024</t>
  </si>
  <si>
    <t>07.10 s/d 08.05 Wita</t>
  </si>
  <si>
    <t>Bapak Febrian No Hp. 082254413789</t>
  </si>
  <si>
    <t>10.05 s/d 11.50 Wita</t>
  </si>
  <si>
    <t>Menindaklanjuti laporan warga perihal meminta bantuan evakuasi sarang lebah madu di pojok atap bangunan beralamat Gor Rudy Resnawan Jl. Trikora Rt. 24 RW. 05 Kel. Kemuning Kec. Banjarbaru Selatan. Sarang lebah madu berhasil di dibersihkan. Petugas mengerahkan 1 Unit Ops Damkar.</t>
  </si>
  <si>
    <t>Bapak Mughni No Hp. 085232531672</t>
  </si>
  <si>
    <t>Jum`at, 22  Maret 2024</t>
  </si>
  <si>
    <t>Abi No Hp. 085787630992</t>
  </si>
  <si>
    <t>Sabtu, 23 Maret 2024</t>
  </si>
  <si>
    <t>15.07 s/d 16.10 Wita</t>
  </si>
  <si>
    <t>Menindaklanjuti laporan warga perihal tentang evakuasi pohon tumbang yang menghalangi jalan dan mengenai kabel sehingga membuat arus lalu lintas macet alamat. Jl. A. Yani Km. 31 depan SDN 1 Guntung Manggis Kec. Landasan Ulin. Pohon berhasil di evakuasi dan dibersihkan, arus lalu lintas berjalan normal. Petugas menegerahkan 1 Unit Ops Damkar.</t>
  </si>
  <si>
    <t>Bapak Kasaladan No Hp. 087795093781</t>
  </si>
  <si>
    <t>Senin, 25 Maret 2024</t>
  </si>
  <si>
    <t>10.53 s/d 11.45 Wita</t>
  </si>
  <si>
    <t xml:space="preserve">Menindaklanjuti laporan warga perihal meminta bantuan evakuasi ular yang berada di dapur beralamat Jl. Mentaos Timur RT. 04 RW. 03 Kel. Mentaos Kec. Banjarbaru Utara. Petugas langsung menuju lokasi dan melakukan pencarian. Ular tidak berhasil di evakuasi maka petugas memberikan edukasi dalam penanganan ular apabila kembali lagi. Petugas mengerahkan 1 Unit Ops Damkar. </t>
  </si>
  <si>
    <t>Makiah No Hp. 082256039596</t>
  </si>
  <si>
    <t>Selasa, 26 Maret 2024</t>
  </si>
  <si>
    <t>05.07 s/d 05.34 Wita</t>
  </si>
  <si>
    <t>Menindaklanjuti laporan warga perihal meminta bantuan evakuasi ular yang berada di atas atap beralamat Komp. Widya Citra Ratu Elok II RT. 22 RW. 04 Kel. Sungai Besar Kec. Banjarbaru Selatan. Petugas langsung menuju lokasi dan melakukan pencarian. Ular berjenis phyton berhasil di evakuasi dan dilepasliarkan. Petugas mengerahkan 1 Unit Ops Damkar.</t>
  </si>
  <si>
    <t>Rizaldi No Hp. 085349965522</t>
  </si>
  <si>
    <t>21.30 s/d 22.40 Wita</t>
  </si>
  <si>
    <t>Menindaklanjuti laporan warga perihal meminta bantuan evakuasi lebah yang bersarang di salah satu pohon di pekarangan rumah beralamat Jl. Dharma Praja Komp. Cempaka Sari RT. 34 RW. 07 Blok A8 No. 130 Kel. Sungai Besar Kec. Banjarbaru Selatan. Petugas menuju lokasi dan melakukan persiapan. Lebah berhasil di evakuasi dan dimusnahkan. Petugas mengerahkan 1 Unit Ops Damkar.</t>
  </si>
  <si>
    <t>Mahyudi No hp. 085249710209</t>
  </si>
  <si>
    <t>Rabu, 27 Maret 2024</t>
  </si>
  <si>
    <t>06.23 s/d 07.38 Wita</t>
  </si>
  <si>
    <t xml:space="preserve">Menindaklanjuti laporan warga perihal tentang meminta bantuan evakuasi ular berjenis cobra hitam beralamat Jl. Al Zafri RT. 14 RW. 03 Kel. Kemuning Kec. Banjarbaru Selatan. Petugas langsung menuju lokasi dan melakukan pencarian disekitar rumah beliau, ternyata ular tesebut tidak ditemukan. Maka petugas pun memberikan edukasi penangangan awal apabila ular tesebut kembali lagi dan segera menghubungi call center UPT Damkar. Petugas mengerahkan 1 Unit Ops Damkar. </t>
  </si>
  <si>
    <t>Ahmad Rijali No Hp. 083836015333</t>
  </si>
  <si>
    <t>12.00 s/d 12.40 Wita</t>
  </si>
  <si>
    <t>Menindaklanjuti laporan warga perihal meminta bantuan evakuasi monyet liar yang berada di sekitar rumah beliau dan sudah mengacak-acak perabot rumah beralamat Jl. Sungai Sumba RT. 10 RW. 01 Kel. Guntung Manggis Kec. Landasan Ulin. Petugas melakukan persiapan peralatan dan menuju lokasi. Sesampai dilokasi petugas melakukan pencarian beberapa poojok rumah warga dan monyet pun tidak ditemukan. Petugas mengerahkan 1 Unit Ops Damkar.</t>
  </si>
  <si>
    <t>Eka Ferza No Hp. 087844013301</t>
  </si>
  <si>
    <t>Kamis, 28 Maret 2024</t>
  </si>
  <si>
    <t>12.56 s/d 13.50 Wita</t>
  </si>
  <si>
    <t>Menindaklanjuti laporan warga perihal meminta bantuan evakuasi ular yang berada di dapur, beralamat Jl. Asabri 11 C-06 RT. 18 RW. 01 Kel. Sungai Ulin Kec. Banjarbaru Utara. Petugas melakukan persiapan dan meluncur menuju lokasi. Sampai di lokasi petugas pencarian di sekitar dapur dan sudut-sudut ruangan lainnya. Ular tersebut tidak ditemukan maka petugas memberikan edukasi terhadap pemilik rumah dan apabila ular tersebut datang kembali hubungi call center UPT Damkar. Petugas mengerahkan 1 Unit Ops Damkar</t>
  </si>
  <si>
    <t>Ahim No Hp. 089637185776</t>
  </si>
  <si>
    <t>Jum`at, 29 Maret 2024</t>
  </si>
  <si>
    <t>21.10 s/d 23.20 Wita</t>
  </si>
  <si>
    <t>Menindaklanjuti laporan warga perihal meminta bantuan evakuasi sarang tawon yang berada di list plang atap rumah bearalamat Jl. Kurnia RT. 04 RW. 03 Kel. Landasan Ulin Utara Kec. Liang Anggang. Petugas melakukan persiapan dan menuju lokasi rumah pelapor. Petugas berhasil melakukan evakuasi sarang tawon dengan aman dan lancar. Petugas mengerahkan 1 Unit Ops Damkar.</t>
  </si>
  <si>
    <t>Didi Kuswanto No Hp. 081528467423</t>
  </si>
  <si>
    <t>Sabtu, 30 Maret 2024</t>
  </si>
  <si>
    <t>15.30 s/d 16.10 Wita</t>
  </si>
  <si>
    <t xml:space="preserve">Menindaklanjuti laporan warga perihal meminta bantuan evakuasi cincin yang tidak bisa dilepas beralamat Jl. PM. Noor Rt. 20 RW. 06 Kel. Sungai Ulin Kec. Banjarbaru Utara. Evakuasi cincin berhasil dengan cara dipotong cincin tersebut. Evakuasi berjalan aman dan lancar. </t>
  </si>
  <si>
    <t>Ibu Kaswati umur 70 tahun</t>
  </si>
  <si>
    <t>Minggu, 31 Maret 2024</t>
  </si>
  <si>
    <t>cicak</t>
  </si>
  <si>
    <t>Huda No Hp. 08115031696</t>
  </si>
  <si>
    <t>Senin, 1 April 2024</t>
  </si>
  <si>
    <t>10.45 s/d 11.30 Wita</t>
  </si>
  <si>
    <t>Menindaklanjuti laporan warga perihal meminta bantuan evakuasi ular yang berada di dapur rumah beliau yang beralamat Jl. Guntung Paring, Komplek Griya Rosella Asri RT.018 RW. 003 Kel. Guntung Manggis Kec. Landasan Ulin. Ular berhasil di evakuasi dan dilepasliarkan. Petugas mengerahkan 1 Unit Ops Damkar</t>
  </si>
  <si>
    <t>Ibu Yuli No Hp. 081258360810</t>
  </si>
  <si>
    <t>Selasa, 2 April 2024</t>
  </si>
  <si>
    <t>06.30 s/d 09.30 Wita</t>
  </si>
  <si>
    <t>Menindaklanjuti laporan warga perihal meminta bantuan evakuasi monyet liar yang berada diskitaran atap rumah beliau yang beralamat Jl. Sungai Sumba RT. 10 RW. 01 Kel. Guntung Manggis Kec. Landasan Ulin. Monyet liar tidak berhasil di evakuasi. Petugas mengerahkan 1 Unit Ops Damkar.</t>
  </si>
  <si>
    <t xml:space="preserve">Ibu Rara No Hp. 082148163607 </t>
  </si>
  <si>
    <t>14.49 s/d 15.55 Wita</t>
  </si>
  <si>
    <t>Menindaklanjuti laporan warga perihal meminta bantuan pembersihan koloni lebah madu yang menurut pelapor sudah 2 hari hinggap di dahan pohon samping RTH yang beralamat Jl. Bumi Berkat Komp. Griya Abadi Perkasa 1 RT. 02 RW. 01 Kel. Sungai Besar Kec. Banjarbaru Selatan. Evakuasi koloni lebah berhasil di evakuasi. Petugas mengerahkan 1 Unit Ops Damkar</t>
  </si>
  <si>
    <t>Bapak Dedy No Hp. 083143871771</t>
  </si>
  <si>
    <t>00.47 s/d 01.37 Wita</t>
  </si>
  <si>
    <t>Menindaklanjuti laporan warga perihal meminta bantuan evakuasi Ular berjenis Cobra Hitam di dapur rumah beliau yang beralamat Jl. Keramat RT. 021 RW. 007 Kel. Sungai Tiung Kec. Cempaka. Petugas melakukan pencarian di dapur dan disekitar rumah tidak ditemukan ular tersebut. Maka petugas memberikan edukasi penanganan ular. Petugas mengerahkan 1 Unit Ops Damkar</t>
  </si>
  <si>
    <t>Kalamullah No Hp. 0859196433680</t>
  </si>
  <si>
    <t>Kamis, 4 April 2024</t>
  </si>
  <si>
    <t>09.05 s/d 10.30 Wita</t>
  </si>
  <si>
    <t>Menindaklanjuti laporan dari Anggota Polres Kota Banjarbaru perihal meminta bantuan evakuasi anjing yang berkeliaran di Rumah Dinas Polres Kota Banjarbaru yang sangat meresahkan beralamat Jl. Salak (Asrama Polres Banjarbaru) Kel. Guntung Paikat Kec. Banjarbaru Selatan. Petugas menuju lokasi dan dilokasi petugas tidak menemukan anjing tersebut maka petugas melakukan koordinasi dengan pihak Polres Kota Banjarbaru untuk mengamankan anjing tersebut. Petugas mengerahkan 1 Unit Ops Damkar.</t>
  </si>
  <si>
    <t xml:space="preserve">Bapak Siswadi, SH. No Hp. 085249943781 </t>
  </si>
  <si>
    <t>Jum`at, 5 April 2024</t>
  </si>
  <si>
    <t>09.11 s/d 10.20 Wita</t>
  </si>
  <si>
    <t>Menindaklanjuti laporan warga an. perihal meminta bantuan evakuasi Ular yang berada di dapur rumah beliau beralamat Jl. Cendrawasih RT. 02 RW. 05 No. 6 Kel. Komet Kec. Banjarbaru Utara. Petugas melakukan pencarian di dapur dan di seluruh sisi rumah tidak ditemukan ular tersebut. Petugas mengerahkan 1 Unit Ops Damkar.</t>
  </si>
  <si>
    <t xml:space="preserve">Ibu Lilik Sosro No Hp. 081349609888 </t>
  </si>
  <si>
    <t>Sabtu, 6 April 2024</t>
  </si>
  <si>
    <t>19.40 s/d 20.20 Wita</t>
  </si>
  <si>
    <t>Menindaklanjuti laporan warga an. perihal meminta bantuan evakuasi Ular yang berada dalam bak mandi rumah beliau beralamat Komp. Widya Citra Graha II Blok B3 RT. 06 RW. 07 Kel. Guntung Manggis Kec. Landasan Ulin. Petugas berhasing mengevakuasi ular tersebut dan dilepasliarkan. Petugas mengerahkan 1 Unit Ops Damkar.</t>
  </si>
  <si>
    <t xml:space="preserve">Ibu Siska No Hp. 085350309007 </t>
  </si>
  <si>
    <t>Minggu, 7 April 2024</t>
  </si>
  <si>
    <t>04.48 s/d 05.20 Wita</t>
  </si>
  <si>
    <t>Menindaklanjuti laporan warga an.  perihal meminta bantuan evakuasi Ular berjenis Phyton yang berada di belakang lemari TV rumah beliau beralamat Komp. Galuh Marindu 2 Blok F 31 RT. 33 RW. 07 Kel. Sungai Besar kec. Banjarbaru Selatan. Petugas ular berhasil di evakuasi dan dilepasliarkan. Petugas mengerahkan 1 Unit Ops Damkar</t>
  </si>
  <si>
    <t>Rahmad Hidayat No Hp. 082252499330</t>
  </si>
  <si>
    <t>20.30 s/d 21.40 Wita</t>
  </si>
  <si>
    <t>Menindaklanjuti laporan warga perihal meminta bantuan evakuasi sarang lebah yang bersarang di kandang burung kantor beliau beralamat Jl. Dharma Praja Komp. Perkantoran Pemerintah Provinsi Kal-sel Kel. Cempaka Kec. Cempaka. Sarang lebah berhasil dimusnahkan dengan aman dan lancar. Petugas mengerahkan 1 Unit Ops Damkar.</t>
  </si>
  <si>
    <t>Bapak Muslim No Hp. 085843265699</t>
  </si>
  <si>
    <t>Rabu, 10 April 2024</t>
  </si>
  <si>
    <t>00.10 s/d 01.05 Wita</t>
  </si>
  <si>
    <t xml:space="preserve">Ibu Ani Rusmila No Hp. 08195125262 </t>
  </si>
  <si>
    <t>Menindaklanjuti laporan perihal meminta bantuan evakuasi ular berjenis lanang sapi yang berada di halaman/ pekarangan rumah beliau beralamat Komp. Citra Garden City RT. 09 Kel. Sungai Ulin Kec. Banjarbaru Utara. Petugas menuju lokasi dan melakukan pencarian di halaman/ pekarangan. Ular tidak berhasil ditemukan. Petugas mengerahkan 1 Unit Ops Damkar.</t>
  </si>
  <si>
    <t>08.09 s/d 10.45 Wita</t>
  </si>
  <si>
    <t>Menindaklanjuti laporan warga perihal meminta bantuan evakuasi anjing peliharaan yang lepas dan menggigit pemiliknya beralat Jl. Suka Maju Gang Anggrek RT. 04 RW. 01 Kel. Landasan Ulin Utara kec. Liang Anggang. Petugas menuju lokasi dan melakukan upaya unttuk menangkap anjing tersebut namun anjing tersebut tidak dapat di evakuasi. Petugas mengerahkan 1 Unit Ops Damkar.</t>
  </si>
  <si>
    <t xml:space="preserve">Bapak Johan No Hp. 081349569921 </t>
  </si>
  <si>
    <t>8 orang /1 unit</t>
  </si>
  <si>
    <t>Kamis, 11 April 2024</t>
  </si>
  <si>
    <t>05.40 s/d 07.15 Wita</t>
  </si>
  <si>
    <t>Menindaklanjuti laporan warga perihal meminta bantuan evakuasi Ular yang memasuki rumah beliau beralamat Jl. Golf Komp. Wengga IV RT. 11 RW. IV Kel. Landasan Ulin Utara Kec. Liang Anggang. Ular berhasil di evakuasi dan dilepasliarkan. Petugas mengerahkan 1 Unit Ops Damkar.</t>
  </si>
  <si>
    <t xml:space="preserve">Felix Siahaan No Hp. 085753498930 </t>
  </si>
  <si>
    <t>18.58 s/d 20.00 Wita</t>
  </si>
  <si>
    <t>Menindaklanjuti laporan warga perihal meminta bantuan evakuasi cincin dijari Istri beliau yang tidak bisa di lepas dan terjadi pembengkakan beralamat Komp Kampung Safwah No A 29 RT. 03 RW. 02 Kel. Landasan Ulin Tengah Kec. Liang Anggang. Petugas berhasil mengevakuasi cincin tersebut dengan aman dan lancar. Petugas mengerahkan 1 Unit Ops Damkar.</t>
  </si>
  <si>
    <t>Bapak Ahmad Firdaus No Hp. 085348247505</t>
  </si>
  <si>
    <t>Jum`at, 12 April 2024</t>
  </si>
  <si>
    <t>09.28 s/d 10.00 Wita</t>
  </si>
  <si>
    <t>Menindaklanjuti laporan warga perihal meminta bantuan evakuasi ular berjenis phyton yang berada di dalam kandang milik beliau bealamat Jl. Trans Gunung Kupang RT. 36 RW. 10 Kel. Cempaka kec. Cempaka. Petugas menuju lokasi dan ular berhasil di evakuasi serta dilepasliarkan. Petugas mengerahkan 1 Unit Ops Damkar.</t>
  </si>
  <si>
    <t>Bapak rahma No Hp. 082158296787</t>
  </si>
  <si>
    <t>Sabtu 13 April 2024</t>
  </si>
  <si>
    <t>00.30 s/d 01.20 Wita</t>
  </si>
  <si>
    <t>Menindaklanjuti laporan warga perihal meminta bantuan evakuasi Ular berjenis Cobra Hitam yang sempat masuk ke dapur dan keuar ke samping rumah beliau beralamat Jl. Soeratno RT. 06 RW. 02 Kel. Guntung Payung Kec. Landasan Ulin. Petugas melakukan pencarian di sekitar rumah beliau, Ular tersebut tidak ditemukan. Petugas mengerahkan 1 Unit Ops Damkar.</t>
  </si>
  <si>
    <t>Ade Reza No Hp. 087782074345</t>
  </si>
  <si>
    <t>Minggu, 14 April 2024</t>
  </si>
  <si>
    <t>17.52 s/d 18.50 Wita</t>
  </si>
  <si>
    <t>Menindaklanjuti laporan warga perihal meminta bantuan evakuasi sarang lebah yang berada di atas plafon rumah milik beliau beralamat Jl. Rambai Tengah (sumberadi) Kel. Guntung Paikat Kec. Banjarbaru Selatan. Sarang lebah berhasil di evakuasi dan dimusnahkan dengan aman dan lancar. Petugas mengerahkan 1 Unit Ops Damkar.</t>
  </si>
  <si>
    <t>bu Dilla No Hp. 085332924204</t>
  </si>
  <si>
    <t>19.40 s/d 20.41 Wita</t>
  </si>
  <si>
    <t>Menindaklanjuti laporan warga perihal meminta bantuan evakuasi Ular yang berada di rumah beliau beralamat Jl. Mustika Griya Angkasa Gang 5 No. 35 RT. 02 RW. 11 Kel. Landasan Ulin Timur Kec. Landasan Ulin. Petugas melakukan pencarian di sekitar rumah beliau dan ular tidak berhasil ditemukan. Petugas mengerahkan 1 Unit Ops Damkar.</t>
  </si>
  <si>
    <t>Bapak Ferdi No Hp. 085203191010</t>
  </si>
  <si>
    <t>Senin, 15 April 2024</t>
  </si>
  <si>
    <t>09.45 s/d 10.40 Wita</t>
  </si>
  <si>
    <t>Menindaklanjuti laporan warga meminta bantuan evakuasi kucing yang terjebak didalam plafon gudang rumah beliau beralamat Komp. Amaco Jl. Nilam raya RT. 22 RW. 09 Kel. Mentaos Kec. Banjarbaru Utara. Kucing berhasil di evakuasi. Petugas mengerahkan 1 Unit Ops Damkar.</t>
  </si>
  <si>
    <t>Bapak Darmawan No Hp. 087704628698</t>
  </si>
  <si>
    <t>Rabu, 17 April 2024</t>
  </si>
  <si>
    <t>15.49 s/d 17.30 Wita</t>
  </si>
  <si>
    <t>Menindaklanjuti laporan warga perihal meminta bantuan evakuasi sarang lebah jenis endas yang sangat mengganggu dan khawatir menyerang penghuni rumah beralamat Jl. Taruna Praja Raya Komp. Auliya Kaya RT. 48 RW. 12 Blok B No. 9 Kel. Loktabat Utara Kec. Banjarbaru Utara. Sarang lebah dapat di evakuasi dan dibersihkan. Petugas mengerahkan 1 Unit Ops Damkar.</t>
  </si>
  <si>
    <t>Ibu Wiwik No Hp. 081250713634</t>
  </si>
  <si>
    <t>Kamis, 18 April 2024</t>
  </si>
  <si>
    <t>10.56 s/d 11.10 Wita</t>
  </si>
  <si>
    <t>Menindaklanjuti laporan warga perihal meminta bantuan evakuasi ular berjenis phyton yang berada dipekarangan dapur rumah beralamat Jl. Karang anyar 1 (samping Komp. Balitan 1) Kel. Loktabat Utara Kec. Banjarbaru Utara. Ular berhasil di evakuasi dan dilepasliarkan. Petugas mengerahkan 1 Unit Ops Damkar.</t>
  </si>
  <si>
    <t xml:space="preserve">Bapak Sinyo No Hp. 085971181981 </t>
  </si>
  <si>
    <t>Sabtu 20 April 2024</t>
  </si>
  <si>
    <t>06.10 s/d 07.15 Wita</t>
  </si>
  <si>
    <t>Menindaklanjuti laporan warga perihal meminta bantuan evakuasi cincin yang tidak bisa dilepas pada jari neneknya an. Ibu Sumiati yang beralamat Jl. Adungan RT. 25 RW. 04 Blok C 08 Kel. Sungai Besar Kec. Banjarbaru Selatan. Evakuasi cincin berjalan aman dan lancar. Petugas mengerahkan 1 Unit ops Damkar.</t>
  </si>
  <si>
    <t xml:space="preserve">Rizki Annur No Hp. 0857468580 </t>
  </si>
  <si>
    <t>16.55 s/d 18.00 Wita</t>
  </si>
  <si>
    <t>Menindaklanjuti laporan warga perihal meminta bantuan evakuasi Ular yang berada dihalaman samping rumah beralamat Jl. Transmisi Karang Rejo Gg. Teratai Kel. Guntung Manggis Kec. Landasan Ulin. Ular berhasil di evakuasi dan dilapasliarkan. Petugas mengerahkan 1 Unit Ops Damkar.</t>
  </si>
  <si>
    <t>Bapak Lukman Setyawam No Hp. 082251355136</t>
  </si>
  <si>
    <t>Minggu, 21 April 2024</t>
  </si>
  <si>
    <t>00.50 s/d 01.30 Wita</t>
  </si>
  <si>
    <t>Menindaklanjuti laporan warga perihal meminta bantuan evakuasi ular di dinding tembok dapur rumah beralamat Komp. Cempaka Sari RT. 34 RW. 07 Kel. Sungai Besar Kec. Banjarbaru Selatan. Ular berhasil di evakuasi dan dilepasliarkan. Petugas mengerahkan 1 Unit Ops Damkar.</t>
  </si>
  <si>
    <t xml:space="preserve">Bapak Anas No Hp. 085956452424 </t>
  </si>
  <si>
    <t>11.35 s/d 13.10 Wita</t>
  </si>
  <si>
    <t>Nico Ajeno No Hp. 082253068827</t>
  </si>
  <si>
    <t>Menindaklanjuti laporan warga perihal meminta bantuan evakuasi anak  laki-laki berumur 4,5 tahun an. Muhammad Azam yang terjepit tembok di rumah tetangga beralamat Jl. Tambak Langsat Komp. Ramania 8 RT. 29 Rw. 05 Kel. Syamsudin Noor Kec. Landasan Ulin. Anak tersebut behasil di evakuasi dengan cara membongkar tembok. Evakuasi berjalan aman dan lancar. Petugas menegerahkan 1 Unit Ops Damkar.</t>
  </si>
  <si>
    <t>Senin, 22 April 2024</t>
  </si>
  <si>
    <t>03.15 s/d 04.10 Wita</t>
  </si>
  <si>
    <t>Menindaklanjuti laporan warga perihal meminta bantuan evakuasi Ular berjenis Phyton di dapur rumah beliau beralamat Komp. Banua Permai RT. 35 RW. 07 No. A 05 Kel. Sungai Besar Kec. Banjarbaru Selatan. Ular tidak berhasil evakuasi. Petugas memberikan edukasi terhadap penanganan ular. Petugas menegerahkan 1 Unit Ops Damkar.</t>
  </si>
  <si>
    <t>Bapak Hasan No Hp. 081934390465</t>
  </si>
  <si>
    <t>09.51 s/d 10.46 Wita</t>
  </si>
  <si>
    <t>Menindaklanjuti laporan warga perihal meminta bantuan evakuasi ular yang berada dirumah beliau beralamat Jl. Tawaf 9 Komp. Grand Tasbih RT. 06 RW. 04 Kel. Loktabat Selatan Kec. Banjarbaru Selatan. Ular tidak dapat ditemukan. Petugas memberikan edukasi kepada pemilik rumah dalam upaya penanganan ular. petugas mengerahkan 1 Unit Ops Damkar.</t>
  </si>
  <si>
    <t xml:space="preserve">Bapak Rahmat No Hp. 087772111819 </t>
  </si>
  <si>
    <t>Selasa, 23 April 2024</t>
  </si>
  <si>
    <t>09.24 s/d 10.40 Wita</t>
  </si>
  <si>
    <t xml:space="preserve">Menindaklanjuti laporan warga perihal meminta bantuan evakuasi ular berjenis phyton yang berada di kebun milik warga beralamat Jl. Lingkar Utara (Bina Putra Ujung) RT. 11 Rw. 03 Kel. Guntung Payung Kec. Landasan Ulin. Ular berhasil di evakuasi dan dilepasliarkan. Petugas mengerahkan 1 Unit Ops Damkar. </t>
  </si>
  <si>
    <t xml:space="preserve">Bapak Suroso No Hp. 08125839309 </t>
  </si>
  <si>
    <t>Rabu, 24 April 2024</t>
  </si>
  <si>
    <t>08.42 s/d 09.50 Wita</t>
  </si>
  <si>
    <t>Menindaklanjuti laporan warga perihal meminta bantuan evakuasi ular yang berada dipekarangan dapur rumah beliau beralamat Jl. Gotong Royong No. 104 RT. 01 RW. 04 Kel. Lokatabat Selatan Kec. Banjarbaru Selatan. Ular tidak berhasil di evakuasi maka petugas memberikan edukasi terhadap pemilik rumah dalam penanganan ular. Petugas menegerahkan 1 Unit Ops Damkar.</t>
  </si>
  <si>
    <t>Bapak Surani No Hp. 081349573738</t>
  </si>
  <si>
    <t>Kamis, 25 April 2024</t>
  </si>
  <si>
    <t>10.46 s/d 11.30 Wita</t>
  </si>
  <si>
    <t>Menindaklanjuti laporan warga perihal meminta bantuan evakuasi anjing liar yang tercebur dalam sumur beralamat Jl. Sungai Sumba Komp. Hunian Berkah Mulfazam RT. 039 RW. 001 Kel. Guntung Manggis Kec. Landasan Ulin. Anjing berhasil di evakuasi dengan selamat. Petugas mengerahkan 1 Unit Ops Damkar.</t>
  </si>
  <si>
    <t>Ibu Ninda No Hp. 082140569677</t>
  </si>
  <si>
    <t>Jum`at, 26 April 2024</t>
  </si>
  <si>
    <t>07.15 s/d 08.30 Wita</t>
  </si>
  <si>
    <t>Menindaklanjuti laporan warga perihal meminta bantuan evakuasi ular yang berada dirumah beliau beralamat Jl. Jambangan Rt. 02 RW. 11 Kel. Cempaka Kec. Cempaka. Ular berhasil di evakuasi dan dilepasliarkan. Petugas mengerahkan 1 Unit Ops Damkar.</t>
  </si>
  <si>
    <t>Bapak Ahmad Donk No Hp. 082255494242</t>
  </si>
  <si>
    <t>Sabtu, 27 April 2024</t>
  </si>
  <si>
    <t>07.30 s/d 07.55 Wita</t>
  </si>
  <si>
    <t>Menindaklanjuti laporan warga perihal meminta bantuan evakuasi ular yang berada di dapur rumah milik beliau beralamat Jl. Gotong Royong RT. 01 RW. 04 Kel. Loktabat selatan Kec. Banjarbaru Selatan. Petugas memlakukan pencarian di dapur dan disekitar rumah ular tidak berhasil di evakuasi. Petugas mengerahkan 1 Unit Ops Damkar.</t>
  </si>
  <si>
    <t xml:space="preserve">Ibu Suryati </t>
  </si>
  <si>
    <t>11.00 s/d 12.10 Wita</t>
  </si>
  <si>
    <t>Menindaklanjuti laporan warga perihal meminta bantuan evakuasi Drone milik anak beliau yang tersangkut di atas atap dengan ketinggian kurang lebih 8 Meter beralamat Komp. Benawa Raya Jl. Hijir Ismail Blok D/13 RT. 46 RW. 03 Kel. Guntung Manggis Kec. Landasan Ulin. Drone berhasil di evakuasi dan dikembalikan kepada pemiliknya. Petugas mengerahkan 1 Unit Ops Damkar.</t>
  </si>
  <si>
    <t>Bapak Hasan No Hp. 085820309811</t>
  </si>
  <si>
    <t>drone</t>
  </si>
  <si>
    <t>Minggu, 28 April 2024</t>
  </si>
  <si>
    <t>18.08 s/d 21.00 Wita</t>
  </si>
  <si>
    <t>Menindaklanjuti laporan warga perihal meminta bantuan evakuasi Burung peliharaan yang lepas dari kandang beralamat Jl. Pandawa 15 RT. 03 RW. 06 Kel. Guntung Paikat Kec. Banjarbaru Selatan. Burung tidak dapat di evakuasi dikarenakan Burung terbang pada malam hari. Petugas mengerahkan 1 Unit Ops Damkar.</t>
  </si>
  <si>
    <t>Ibu Putri No Hp. 082252668726</t>
  </si>
  <si>
    <t>burung</t>
  </si>
  <si>
    <t>Senin, 29 April 2024</t>
  </si>
  <si>
    <t>05.00 s/d 07.10 Wita</t>
  </si>
  <si>
    <t>Menindaklanjuti laporan  perihal meminta bantuan evakuasi anjing yang berkeliaran di Rumah Dinas Polres Banjarbaru beralamat Jl. Salak (Asrama Polres Banjarbaru) Kel. Guntung Paikat Kec. Banjarbaru Selatan. Evakuasi anjing tidak berhasil. Petugas mengerahkan 1 Unit Ops Damkar.</t>
  </si>
  <si>
    <t>Anggota Polres Banjarbaru an. Siswadi, SH. No hp. 085249943781</t>
  </si>
  <si>
    <t>11.07 s/d 12.00 Wita</t>
  </si>
  <si>
    <t>Menindaklanjuti laporan warga perhal meminta bantuan evakuasi ular yang berada di dapur kantor milik beliau beralamat Jl. A. Yani Km. 17,5 Kantor Bina Pertiwi RT. 13 Kel. Landasan Ulin Barat Kec. Liang Anggang. Ular berhasil di evakuasi dan dilepasliarkan. Petugas mengerahkan 1 Unit Ops Damkar.</t>
  </si>
  <si>
    <t xml:space="preserve">Bapak Faris No Hp. 085182706842 </t>
  </si>
  <si>
    <t>Selasa, 30 April 2024</t>
  </si>
  <si>
    <t>10.57 s/d 12.15 Wita</t>
  </si>
  <si>
    <t>Menindaklanjuti laporan warga perihal meminta bantuan evakuasi monyet liar yang sudah menghamburkan makanan dan minuman di dalam rumah beliau beralamat Jl. Tanah Abang Komp. Global No B 02 RT. 24 RW. 06 Sungai Ulin Kec. Banjarbaru Utara. Monyet tidak berhasil di evakuasi. Petugas menegerahkan 1 Unit Ops Damkar.</t>
  </si>
  <si>
    <t>Angga No Hp. 0895375805500</t>
  </si>
  <si>
    <t>Rabu, 1 Mei 2024</t>
  </si>
  <si>
    <t>10.36 s/d 12.40 Wita</t>
  </si>
  <si>
    <t>Menindaklanjuti laporan warga  perihal meminta bantuan evakuasi ular yang berada dibawah lemari dapur milik beliau yang beralamat Jl. Mentaos Timur RT. 04 RW. 13 Kel. Mentaos Kec. Banjarbaru Utara. Ular berhasil di evakuasi dan dilepasliarkan. Petugas menegerahkan 1 Unit Ops Damkar.</t>
  </si>
  <si>
    <t>Bapak Joko Yanto No Hp. 082155523338</t>
  </si>
  <si>
    <t>Kamis, 2 Mei 2024</t>
  </si>
  <si>
    <t>12.58 s/d 14.00 Wita</t>
  </si>
  <si>
    <t>Menindaklanjuti laporan warga  perihal meminta bantuan evakuasi ular yang berada dihalaman belakang rumah yang membuat panik penghuni rumah beralamat Jl. A. Yani Km. 28, 5 Komp. Buni Landasan Ulin Kel. Guntung Manggis RT. 32 RW. 05 No. 06 Kec. Landasan Ulin. Ular berhasil di evakuasi dan dilepasliarkan. Petugas mengerahkan 1 Unit Ops Damkar.</t>
  </si>
  <si>
    <t>Ibu Aisyah No Hp. 082330498899</t>
  </si>
  <si>
    <t>Jum`at, 3 Mei 2024</t>
  </si>
  <si>
    <t>20.06 s/d 21.00 Wita</t>
  </si>
  <si>
    <t>Menindaklanjuti laporan warga perihal meminta bantuan evakuasi sarang tawon ndas yang berada di dahan pohon halaman rumah beliau beralamat Komp. Perumahan Dinas Hakim Pengadilan Negeri Banjarbaru RT. 05 RW. 05 Kel. Gutung Paikat Kec. Banjarbaru Selatan. Sarang tawon berhasil di evakuasi dan dimusnahkan. Petugas mengerahkan 1 Unit Ops Damkar.</t>
  </si>
  <si>
    <t>Bapak Nicko No Hp. 085643134439</t>
  </si>
  <si>
    <t>Sabtu, 4 Mei 2024</t>
  </si>
  <si>
    <t>05.05 s/d 06.05 Wita</t>
  </si>
  <si>
    <t>Menindaklanjuti laporan warga perihal meminta bantuan evakuasi ular yang berjenis phyton/ sawa di rak/ lemari makan di dapur rumah tetangga beliau an. Rina beralamat Jl. Mistarcokrokusumo (belakang Polsek Cempaka) RT. 43 RW. 01 Kel. Cempaka Kec. Cempaka. Ular berhasil di evakuasi dan dilepasliarkan. Petugas mengerahkan 1 Unit Ops Damkar</t>
  </si>
  <si>
    <t>M. Shoib No Hp. 083873098014</t>
  </si>
  <si>
    <t>08.52 s/d 09.25 Wita</t>
  </si>
  <si>
    <t>Menindaklanjuti laporan warga perihal meminta bantuan evakuasi ular yang berada di dapur rumah beliau beralamat Jl. Majapahit Komp. Pinus Baru RT. 02 RW. 01 Kel. Mentaos Kec. Banjarbaru Utara. Ular berhasil di evakuasi dan dilepasliarkan. Petugas menegerahkan 1 Unit Ops Damkar.</t>
  </si>
  <si>
    <t>Ibu Gusriati No Hp. 082154035665</t>
  </si>
  <si>
    <t>Minggu, 5 Mei 2024</t>
  </si>
  <si>
    <t>06.05 s/d 06.47 Wita</t>
  </si>
  <si>
    <t>Menindaklajuti laporan warga perihal meminta bantuan evakuasi ular yang berada di dapur rumah beliau yang beralamat Jl. Gazebo Komp. Villa Idaman 2 RT. 49 RW. 01 Kel. Sungai Besar Kec. Banjarbaru Selatan. Ular berhasil di evakuasi dan dilepasliarkan. Petugas menegerahkan 1 Unit Ops Damkar.</t>
  </si>
  <si>
    <t xml:space="preserve">Bapak Supri No Hp. 085386121898 (Mama Rehan Pemilik Rumah) </t>
  </si>
  <si>
    <t>Senin, 6 Mei 2024</t>
  </si>
  <si>
    <t>13.11 s/d 14.30 Wita</t>
  </si>
  <si>
    <t>Menindaklanjuti laporan warga perihal meminta bantuan evakuasi ular yang berada di gudang rumah beliau beralamat Komp. Chandra Utama RT. 07 RW. 06 Kel. Guntung Manggis Kec. Landasan Ulin. Setelah dilakukan pencarian ular tidak ditemukan. Tidak berhasil di evakuasi. Petugas mengerahkan 1 Unit Ops Damkar.</t>
  </si>
  <si>
    <t xml:space="preserve">Bapak Eko No Hp. 08115462425 </t>
  </si>
  <si>
    <t>Selasa, 7 Mei 2024</t>
  </si>
  <si>
    <t>08.51 s/d 10.00 Wita</t>
  </si>
  <si>
    <t>Menindaklanjuti laporan warga perihal meminta bantuan evakuasi monyet yang berada di teras rumah beliau beralamat Jl. Sinar Baru Komp. Griya Sinar Baru RT. 24 RW. 06 Kel. Sungai Ulin Kec. Banjarbaru Utara. Monyet tidak berhasil di evakuasi sebelum petugas datang monyet sudah pergi jauh. Petugas mengerahkan 1 Unit Ops Damkar.</t>
  </si>
  <si>
    <t>Bapak Arifin No Hp. 081251799732</t>
  </si>
  <si>
    <t>Kamis, 9 Mei 2024</t>
  </si>
  <si>
    <t>20.15 s/d 21.45 Wita</t>
  </si>
  <si>
    <t>Menindaklanjuti laporan warga perihal meminta bantuan evakuasi sarang lebah yang berada di atas plafon lantai 2 rumah beliau yang beralamat Komp. Benawa raya Jl. Madinah No. 12 RT. 46 RW. 03 Kel. Guntung Manggis Kec. Landasan Ulin. Sarang lebah berhasil di evakuasi dan dimusnahkan. Petugas mengerahkan 1 Unit Ops Damkar</t>
  </si>
  <si>
    <t xml:space="preserve">Ibu Silvana No Hp. 081348678844 </t>
  </si>
  <si>
    <t>Jum`at, 10 Mei 2024</t>
  </si>
  <si>
    <t>14.32 s/d 15.30 Wita</t>
  </si>
  <si>
    <t>Menindaklanjuti laporan warga Perihal meminta bantuan evakuasi ular yang masuk ke dalam dapur rumah milik beliau yang beralamat Jl. Pasundan Komp. Pinus Baru RT. 02 RW. 01 Kel. Mentaos Kec. Banjarbaru Utara. Petugas melakukan pencarian ular di sekitar dapur dan Ular tidak berhasil ditemukan diperikarakan ular sudah melarika diri sebelum petugas datang, maka petugas memberikan edukasi kepada pemilik rumah. Petugas mengerahkan 1 Unit Ops Damkar.</t>
  </si>
  <si>
    <t xml:space="preserve">Ibu Dewi/ Saldy Charisma No Hp. 0895707007862 </t>
  </si>
  <si>
    <t>Sabtu, 11 Mei 2024</t>
  </si>
  <si>
    <t>19.20 s/d 20.10 Wita</t>
  </si>
  <si>
    <t>Menindaklanjuti laporan warga perihal meminta bantuan evakuasi ular yang berada dibelakang kulkas membuat panik penghuni rumah ( Ibu Bagus Ria ) beralamat Komp. Lambung Mangkurat Tahap 4 Blok H I Kel. Palam Kec. Cempaka. Petugas menuju lokasi langsung melakukan pencarian. Ular tersebut behasil di evakuasi dan dilepasliarkan. Petugas mengerahkan 1 Uit Ops Damkar.</t>
  </si>
  <si>
    <t>Bapak Mugo Maryo No Hp. 081351870079</t>
  </si>
  <si>
    <t>Minggu, 12 Mei 2024</t>
  </si>
  <si>
    <t>00.25 s/d 01.10 Wita</t>
  </si>
  <si>
    <t>Menindaklanjuti laporan warga perihal meminta bantuan evakuasi ular yang berada dalam lemari etalase beralamat Komp. Beringin RT. 27 RW. 05 No. 52 a Kel. Sungai Besar Kec. Banjarbaru Selatan. Petugas menuju lokasi rumah dan ular masih berada diposisinya. Ular berhasil di evakuasi dan dilepasliarkan. Petugas mengerahkan 1 Unit Ops Damkar.</t>
  </si>
  <si>
    <t xml:space="preserve">Bapak Enalindri No Hp. 083836000961 </t>
  </si>
  <si>
    <t>19.30 s/d 20.10 Wita</t>
  </si>
  <si>
    <t>Menindaklanjuti laporan warga perihal meminta bantuan evakuasi cincin yang berada di jari manis yang sudah membengkak dijari beralamat Jl. Perjuangan Gg. Imadato Kel. Sungai Ulin Kec. Banjarbaru Utara. Evakuasi cincin berjalan dengan aman dan lancar. Petugas mengerahkan 1 Unit Ops Damkar.</t>
  </si>
  <si>
    <t xml:space="preserve">Putri Yohaeni No Hp. 082155265880 </t>
  </si>
  <si>
    <t>Senin, 13 Mei 2024</t>
  </si>
  <si>
    <t>00.30 s/d 01.10 Wita</t>
  </si>
  <si>
    <t>Menindaklanjuti laporan warga perihal meminta bantuan evakuasi ular berjenis cobra yang berada di garasi mobil yang beralamat Jl. Pandu RT. 12 RW. 03 Kel. Kemuning Kec. Banjarbaru Selatan. Petugas menuju lokasi rumah dan menemukan ular tersebut masih berada diposisinya. Ular berhasil di evakuasi dan dilepasliarkan.</t>
  </si>
  <si>
    <t xml:space="preserve">Bapak Syamsul Arif No Hp. 082157029818 </t>
  </si>
  <si>
    <t>11.00 s/d 12.30 Wita</t>
  </si>
  <si>
    <t>Menindaklanjuti laporan warga perihal meminta bantuan evakuasi hp yang terjatuh dalam drainase beralamat Jl. P. Suriansyah Ujung RT. 03 RW. 03 Kel. Mentaos Kec. Banjarbaru Utara. Hp berhasil di evakuasi dan dikembalikan kepada pemiliknya. Petugas mengerahkan 1 Unit Ops Damkar.</t>
  </si>
  <si>
    <t xml:space="preserve">Ibu Aisyah No Hp. 081349040574 </t>
  </si>
  <si>
    <t>Selasa, 14 Mei 2024</t>
  </si>
  <si>
    <t>11.00 s/d 11.50 Wita</t>
  </si>
  <si>
    <t>Menindaklanjuti laporan warga perihal meminta bantuan evakuasi musang yang terjebak dalam ruangan taman disamping rumah beralat Komp. Al Azhar Cluster Nirida No. 17 RT. 05 RW. 04 Kel. Loktabat Selatan Kec. Banjarbaru Selatan. Musang berhasil di evakuasi dan dilepasliarkan. Petugas mengerahkan 1 Unit Ops Damkar.</t>
  </si>
  <si>
    <t>Bapak Kompol Aris Munandar No Hp. 081349415925</t>
  </si>
  <si>
    <t>Rabu, 15 Mei 2024</t>
  </si>
  <si>
    <t>16.00 s/d 16.50 Wita</t>
  </si>
  <si>
    <t>Menindaklanjuti laporan warga perihal meminta bantuan evakuasi anjing liar yang berada disekitar halaman rumah beliau karena membuat resah dan takut beralamat Jl. Transad Guntung Manggis No. 34 RT. 22 RW. 03 Kel. Guntung Manggis Kec. Landasan Ulin. Anjing berhasil di evakuasi dengan aman dan lancar. Petugas mengerahkan 1 Unit Ops Damkar.</t>
  </si>
  <si>
    <t xml:space="preserve">Ajeng Kartika Sari No Hp. 085813331966 </t>
  </si>
  <si>
    <t>Kamis,16 Mei 2024</t>
  </si>
  <si>
    <t>06.30 s/d 07.15 Wita</t>
  </si>
  <si>
    <t xml:space="preserve">Menindaklanjuti laporan warga perihal meminta bantuan evakuasi ular yang berjenis phyton berada dalam kandang ayam beliau beralamat Komp. Pesona Cempaka Indah Blok G 25 RT. 027 Kel. Cempaka Kec. Cempaka. Ular berhasil di evakuasi dan dilepasliarkan. Petugas mengerahkan 1 Unit Ops Damkar. </t>
  </si>
  <si>
    <t>Bapak Anto No Hp. 082155001922</t>
  </si>
  <si>
    <t>15.00 s/d 16.10 Wita</t>
  </si>
  <si>
    <t>Menindaklanjuti laporan warga perihal meminta bantuan evakuasi anjing yang lepas dirumah beliau beralamat Jl. Suka Maju Gang Anggrek RT. 04 RW. 01 Kel. Landasan Ulin Utara Kec. Liang Anggang. Anjing berhasil di evakuasi. Petugas mengerahkan 1 Unit Ops Damkar</t>
  </si>
  <si>
    <t>Bapak Johan No Hp. 081349569921</t>
  </si>
  <si>
    <t>Jum`at, 17 Mei 2024</t>
  </si>
  <si>
    <t>07.05 s/d 08.00 Wita</t>
  </si>
  <si>
    <t>Menindaklanjuti laporan warga perihal meminta bantuan evakuasi ular yang berada di dapur rumah beliau beralamat Jl. Karang anyar 2 Komp. Pondok Papan Sejahtera No. 3 RT. 49 RW. 08 Kel. Loktabat Utara Kec. Banjarbaru Utara. Ular tidak behasil di evakuasi, diperkirakan masuk kedalam lubang pembuangan air. Petugas mengerahkan 1 Unit Ops Damkar.</t>
  </si>
  <si>
    <t xml:space="preserve">Ibu Mila No hp 088804638114 </t>
  </si>
  <si>
    <t>15.40 s/d 17.15 Wita</t>
  </si>
  <si>
    <t>Menindaklanjuti laporan warga perihal meminta bantuan evakuasi biawak yang terjebak didapur rumah warga beralamat Komp. Pondok Limau RT. 27 RW. 06 No. 12 Kel. Sungai Ulin Kec. Banjarbaru Utara. Petugas menuju lokasi pelapor dan biawak berhasil di evakuasi. Petugas mengerahkan 1 Unit Ops Damkar.</t>
  </si>
  <si>
    <t>Bapak Agung RR No Hp. 082149533222</t>
  </si>
  <si>
    <t>Sabtu, 18 Mei 2024</t>
  </si>
  <si>
    <t>09.57 s/d 11.00 Wita</t>
  </si>
  <si>
    <t>Menindaklanjuti laporan warga perihal meminta bantuan evakuasi ular berjenis cobra yang berada dalam rumah beliau beralamat Jl. Mistarcokrokusumo RT. 10 RW. 04 Kel. Bangkal Kec. Cempaka. Ular berhasil di evakuasi dan dlepasliarkan. Petugas mengerahkan 1 Unit Ops Damkar.</t>
  </si>
  <si>
    <t>Bapak Konie No Hp. 085251912000</t>
  </si>
  <si>
    <t>Minggu, 19 Mei 2024</t>
  </si>
  <si>
    <t>00.15 s/d 00.50 Wita</t>
  </si>
  <si>
    <t>Menindaklanjuti laporan warga perihal meminta bantuan evakuasi ular berjenis cobra hitam yang berada dihalaman dapur (kandang ayam) rumah beliau beralamat Jl. A. Yani Komp. Mustika Raya RT. 25 RW. 04 Kel. Guntung Manggis Kec. Landasan Ulin. Petugas menuju lokasi pelapor, ular berhasil di evakuasi dan dilepasliarkan. Petugas mengerahkan 1 Unit Ops Damkar.</t>
  </si>
  <si>
    <t>Ibu Dayah No Hp. 085248149168</t>
  </si>
  <si>
    <t>12.26 s/d 13.30 Wita</t>
  </si>
  <si>
    <t>Menindaklanjuti laporan warga perihal meminta bantuan evakuasi ular yang berada dirumah beliau Jl. Nusantara Gg. Abdul Kadir RT. 02 RW. 02 Kel. Loktabat Selatan Kec. Banjarbaru Selatan. Petugas menuju lokasi pelapor. Ular berhasil di evakiasi dan dilepasliarkan. Petugas mengerahkan 1 Unit Ops Damkar.</t>
  </si>
  <si>
    <t xml:space="preserve">Bapak Bambang yang langsung datang ke Pos UPT Damkar </t>
  </si>
  <si>
    <t>Senin, 20 Mei 2024</t>
  </si>
  <si>
    <t>05.20 s/d 06.50 Wita</t>
  </si>
  <si>
    <t>Menindaklanjuti laporan warga perihal meminta bantuan evakuasi ular yang masuk ke dalam rumah beliau beralamat Jl. Palam Raya Komp. Wengga Palam Indah RT. 40 RW. 07 No. 32 Kel. Guntung Manggis Kec. Landasan Ulin. Ular berhasil di evakuasi dan dilepasliarkan. Petugas mengerahkan 1 Unit Ops Damkar.</t>
  </si>
  <si>
    <t xml:space="preserve">bu Puput No Hp. 087815214863 </t>
  </si>
  <si>
    <t>19.07 s/d 21.00 Wita</t>
  </si>
  <si>
    <t>Menindaklanjuti laporan warga perhal meminta bantuan evakuasi ular berjenis cobra yang berada di dapur milik beliau, membuat panik dan takut beralamat Jl. Taruna Praja Komp. Balitan 8 RT. 47 RW. 12 Blok B No. 14 Kel. Loktabat Utara Kec. Banjarbaru Utara. Petugas menuju lokasi pelapor, sesampai dilokasi melakukan pencarian. Ular behasil di evakuasi dan dilepasliarkan. Petugas mengerahkan 1 Unit Ops Damkar</t>
  </si>
  <si>
    <t xml:space="preserve">Ibu Susi No Hp.082157047618 </t>
  </si>
  <si>
    <t>Selasa, 21 Mei 2024</t>
  </si>
  <si>
    <t>11.30 s/d 12.20 Wita</t>
  </si>
  <si>
    <t>Menindaklanjuti laporan warga perihal meminta bantuan evakuasi ular yang berjenis cobra didalam tumpukan kardus dapur rumah beliau beralamat Jl. Guntung Manggis RT. 18 RW. 03 Kel. Guntung Manggis Kec. Landasan Ulin. Petugas menuju lokasi pelapor. Petugas pun berhasing mengevakuasi ular tesebut dan dilepasliarkan. Petugas mengerahkan 1 Unit Ops Damkar.</t>
  </si>
  <si>
    <t>Bapak Djarot No Hp. 082181507196</t>
  </si>
  <si>
    <t>Rabu, 22 Mei 2024</t>
  </si>
  <si>
    <t>01.15 s/d 01.50 Wita</t>
  </si>
  <si>
    <t>Menindaklanjuti laporan warga perihal meminta bantuan evakuasi cincin yang tidak bisa lepas dijari istri beliau beralamat Gg. Petai No. 15 RT. 03 RW. 01 Kel. Sungai Ulin Kec. Banjarbaru Utara. Petugas menuju lokasi pelapor, evakuasi cinci berhasil berjalan aman dan lancar. Petugas mengerahkan 1 Unit Ops Damkar.</t>
  </si>
  <si>
    <t>Bapak Dimas Prabbowo No Hp. 082158515345</t>
  </si>
  <si>
    <t>21.49 s/d 22.34 Wita</t>
  </si>
  <si>
    <t>Menindaklanjuti laporan warga  perihal meminta bantuan evakuasi ular yang ,asuk kedalam rumah beliau beralamat Jl. Guntung Damar Komp. Pesona Damar Regency RT. 12 RW. 03 Kel. Syamsundinnoor Kec. Landasan Ulin. Petugas tidak berhasil mengevakuasi ular tersebut, diperkiran masuk kedalam lubang pondasi rumah pada saat petugas dalam perjalanan menuju lokasi rumah. Petugas mengerahkan 1 Unit Ops Damkar.</t>
  </si>
  <si>
    <t>Ibu Reya No Hp. 081250296328</t>
  </si>
  <si>
    <t>Kamis, 23 Mei 2024</t>
  </si>
  <si>
    <t>11.05 s/d 12.50 Wita</t>
  </si>
  <si>
    <t>Menindaklanjuti laporan warga perihal meminta bantuan evakuasi ular yang berada disamping rumah beliau beralamat Jl. Jafri Zam-Zam RT. 17 RW. 04 No. 11 Kel. Kemuning Kec. Banjarbaru Selatan. Petugas menuju lokasi pelapor. Ular masih ada dilokasi dan sedang lagi memangsa anak biawak. Ular berhasil di evakuasi dan dilepasliarkan. petugas mengerahkan 1 Unit Ops Damkar.</t>
  </si>
  <si>
    <t>Bapak Fitriadi No Hp. 081253585618</t>
  </si>
  <si>
    <t>Jum`at, 24 Mei 2024</t>
  </si>
  <si>
    <t>21.06 s/d 22.00 Wita</t>
  </si>
  <si>
    <t>Menindaklanjuti laporan warga perihal meminta bantuan evakuasi cincin yang tidak bisa dilepas dari jari anak beliau karena sudah terjadi pembengkakkan beralamat Jl. Pondok Bambu Komp. Green Tasbih Blok B 2 RT. 19 RW. 08 Kel. Loktabat Utara Kec. Banjarbaru Utara. Petugas menuju lokasi rumah pelapor. Petugas berhasil mengevakuasi cincin dengan aman dan lancar. Petugas mengerahkan 1 Unit Ops Damkar.</t>
  </si>
  <si>
    <t xml:space="preserve">Ekky No Hp. 085158335262 </t>
  </si>
  <si>
    <t>Sabtu, 25 Mei 2024</t>
  </si>
  <si>
    <t>07.25 s/d 08.40 Wita</t>
  </si>
  <si>
    <t>Menindaklanjuti laporan warga perihal meminta bantuan evakuasi kucing yang tercebur ke dalam sumur beralamat Jl. Maduratna Komp. Citra Palam Permai Blok Y No. 04 RT. 45 RW. 01 Kel. Guntung Manggis Kec. Landasan Ulin. Kucing berhasil di evakuasi dengan selamat. Petugas mengerahkan 1 Unit Ops Damkar.</t>
  </si>
  <si>
    <t>Ibu Yuli Reffi No Hp. 0813 49646446</t>
  </si>
  <si>
    <t>09.33 s/d 10.36 Wita</t>
  </si>
  <si>
    <t>Menindaklanjuti laporan warga perihal meminta bantuan evakuasi ular yang berada dipekarangan rumah beliau beralamat Jl. R.O Ulin RT. 02 RW. 02 No. 23 Kel. Lokatabat Selatan Kec. Banjarbaru Selatan. Ular tidak berhasil di evakuasi diperkirakan masuk ke dalam lubang yang mengarah keluar pagar belakang rumah. Petugas mengerahkan 1 Unit Ops Damkar.</t>
  </si>
  <si>
    <t>Bapak Inung No Hp. 081352435371</t>
  </si>
  <si>
    <t>Minggu, 26 Mei 2024</t>
  </si>
  <si>
    <t>15.55 s/d 16.45 Wita</t>
  </si>
  <si>
    <t>Menindaklanjuti laporan warga perihal meminta bantuan evakuasi ular yang berada dibelakang halaman rumah beralamat Komp. Pelita Golf Asri RT. 06 RW. 04 No. A 15 Kel. Landasan Ulin Utara Kec. Liang Anggang. Ular berhasil di evakuasi dan dilepasliarkan. Petugas mengerahkan 1 Unit Ops Damkar.</t>
  </si>
  <si>
    <t>Bapak Arif Rahman No Hp. 089674665423</t>
  </si>
  <si>
    <t>Senin, 27 Mei 2024</t>
  </si>
  <si>
    <t>08.57 s/d 09.15 Wita</t>
  </si>
  <si>
    <t>Menindaklanjuti laporan warga perihal meminta bantuan evakuasi kucing yang berada di atas atap ruko karena beberapa hari tidak bisa turun beralamat Jl. Trikora (Neko Suki Petshop) Kel. Guntung Paikat Kec. Banjarbaru Selatan. Kucing berhasil di evakuasi dengan selamat. Petugas mengerahkan 1 Unit Ops Damkar</t>
  </si>
  <si>
    <t xml:space="preserve">Dani No Hp. 087817251992 </t>
  </si>
  <si>
    <t>Selasa, 28 Mei 2024</t>
  </si>
  <si>
    <t>01.30 s/d 02.30 Wita</t>
  </si>
  <si>
    <t>Menindaklanjuti laporan dari Karyawati Loundry  perihal meminta bantuan evakuasi biawak yang terjepit disela-sela pagar besi mesin air di tempat kerja beralamat Jl. Karang Anyar 1 (Loundry Kumala) Kel. Loktabat Utara Kec. Banjarbaru Utara. Biawak berhasil di evakuasi dan dilepasliarkan. Petugas mengerahkan 1 Unit Ops Damkar.</t>
  </si>
  <si>
    <t xml:space="preserve">Anisa No Hp. 085654060884 </t>
  </si>
  <si>
    <t>20.10 s/d 21.15 Wita</t>
  </si>
  <si>
    <t xml:space="preserve">Menindaklanjuti laporan warga perihal meminta bantuan evakuasi kucing yang masuk dalam sumur beliau beralamat Jl. Kelapa Sawit 10 RT. 01 RW. 01 No. 1101 Kel. Sungai Besar Kec. Banjarbaru Selatan. Kucing berhasil di evakuasi. Petugas mengerahkan 1 Unit Ops Damkar. </t>
  </si>
  <si>
    <t>Ibu Nisa yang datang langsung ke Pos UPT Damkar</t>
  </si>
  <si>
    <t>Rabu, 29 Mei 2024</t>
  </si>
  <si>
    <t>09.57 s/d 10.30 Wita</t>
  </si>
  <si>
    <t>Menindaklanjuti laporan warga perihal meminta bantuan evakuasi ukar yang berada disamping rumah beliau beralamat Jl. Ojolali RT. 18 RW. 07 No. 76 Kel. Loktabat Utara Kec. Banjarbaru Utara. Petugas menuju lokasi pelapor dan langsung menyisiri samping rumah pelapor. Petugas pun tidak menemukan ular tersebut. Petugas mengerahkan 1 Unit Ops Damkar</t>
  </si>
  <si>
    <t xml:space="preserve">Yusi Riza No Hp. 087840512694 </t>
  </si>
  <si>
    <t>Kamis, 30 Mei 2024</t>
  </si>
  <si>
    <t>17.18 s/d 18.40 Wita</t>
  </si>
  <si>
    <t>Menindaklanjuti laporan warga perihal meminta bantuan evakuasi sarang lebah yang berada diatas pohon depan rumah beliau beralamat Komp. Balitan 12 RT. 48 RW.12 Kel. Loktabat Utara Kec. Banjarbaru Utara. Lebah berhasil di evakuasi dan dimusnahkan. Petugas menegerahkan 1 Unit Ops Damkar.</t>
  </si>
  <si>
    <t xml:space="preserve">Jainur Rahman No Hp. 085251155266 </t>
  </si>
  <si>
    <t>Jum`at, 31 Mei 2024</t>
  </si>
  <si>
    <t>06.50 s/d 08.00 Wita</t>
  </si>
  <si>
    <t>Menindaklanjuti laporan warga perihal meminta bantuan evakuasi monyet liar yang berada disekitar rumah beliau karena sudah membuat takut dan panik yang beralamat Jl. Sinar Baru RT. 24 RW. 06 Kel. Sungai Ulin Kec. Banjarbaru Utara. Petugas menuju lokasi pelapor. Dilokasi petugas tidak dapat mengevakuasi monyet liar tersebut. Petugas mengerahkan 1 Unit Ops Damkar.</t>
  </si>
  <si>
    <t xml:space="preserve">Wiranata No Hp. 081255538822 </t>
  </si>
  <si>
    <t>18.41 s/d 19.25 Wita</t>
  </si>
  <si>
    <t xml:space="preserve">Fikri Aulia No Hp. 085248440110 </t>
  </si>
  <si>
    <t>Senin, 3 Juni 2024</t>
  </si>
  <si>
    <t xml:space="preserve">Menindaklanjuti laporan warga perihal meminta bantuan evakuasi ular berjenis phyton yang berada di dapur rumah beliau beralamat Jl. Guntung Manggis Komp. Guntung Paring Indah Permai II Blok O RT. 018 RW. 003 Kel. Guntung Manggis Kec. Landasan Ulin. Petugas enuju lokasi pelapor dan sesampai dilokasi petugas melakukan pencarian diseluruh ruangan. Ular tidak berhasil di evakuasi oleh petugas karena ular tidak dapat ditemukan. Petugas mengerahkan 1 Unit Ops Damkar. </t>
  </si>
  <si>
    <t xml:space="preserve">Mira No Hp. 081253521523 </t>
  </si>
  <si>
    <t>11.15 s/d 13.30 Wita</t>
  </si>
  <si>
    <t>Menindaklanjuti laporan warga perihal meminta bantuan evakuasi ular yang berada dalam rumah beliau yang beralamat Jl. R.O Ulin No. 23 RT. 02 RW. 02 Kel. Loktabat Selatan Kec. Banjarbaru Selatan. Petugas langsung menuju lokasi pelapor. Ular tidak berhasil di evakuasi. Petugas mengerahkan 1 Unit Ops Damkar.</t>
  </si>
  <si>
    <t xml:space="preserve">Bapak Inung No Hp. 081352435371 </t>
  </si>
  <si>
    <t>Selasa, 4 Juni 2024</t>
  </si>
  <si>
    <t>00.10 s/d 01.20 Wita</t>
  </si>
  <si>
    <t>Menindaklanjuti laporan warga perihal meminta bantuan evakuasi Neon Box yang akan terjatuh beralamat Jl. Panglima Batur Toko Bahan Koe Kel. Komet Kec. Banjarbaru Utara. Petugas menuju lokasi dan melakukan evakuasi penurunan Neon Box. Petugas berhasil menurunkan Neon Box dengan aman dan lancar. Petugas mengerahkan 2 Unit Ops Damkar.</t>
  </si>
  <si>
    <t>Bapak Imam Rizki No Hp. 082255616272</t>
  </si>
  <si>
    <t>neon box</t>
  </si>
  <si>
    <t>Rabu, 5 Juni 2024</t>
  </si>
  <si>
    <t>22.33 s/d 23.15 Wita</t>
  </si>
  <si>
    <t>Menindaklajuti laporan warga perihal meminta bantuan evakuasi kucing peliharaan yang tidak bisa turun dari atas atap/ plafon rumah beliau yang beralamat Jl. Kasturi II Gg. Srikaya No. 01 RT. 23 RW. 06 Kel. syamsudinnoor Kec. Landasan Ulin. Kucing berhasil di evakuasi dengan selamat. Petugas mengerahkan 1 Unit Ops Damkar.</t>
  </si>
  <si>
    <t xml:space="preserve">Ibu Srimariana No Hp. 082351986617 </t>
  </si>
  <si>
    <t>Kamis, 6 Juni 2024</t>
  </si>
  <si>
    <t>00.15 s/d 00.55 Wita</t>
  </si>
  <si>
    <t>Menindaklanjuti laporan warga perihal meminta bantuan evakuasi kucing yang terjepit disela-sela tembok pagar beralamat Jl. Semeru Blok D RT. 25 RW. 05 Kel. Kumuning Kec. Banjarbaru Selatan. Kucing berhasil di evakuasi dengan aman dan lancar. Petugas mengerahkan 1 Unit Ops Damkar.</t>
  </si>
  <si>
    <t xml:space="preserve">Bapak Gafar No Hp. 081998441343 </t>
  </si>
  <si>
    <t>19.47 s/d 20.25 Wita</t>
  </si>
  <si>
    <t>Menindaklanjuti laporan warga perihal meminta bantuan evakuasi ular yang berada di dalam rumah beliau beralamat Komp. Benawa Raya Jl. Musdalifah RT. 18 RW. 03 Kel. Guntung Manggis Kec. Landasan Ulin. Ular berhasil di evakuasi dan dilepasliarkan. Petugas mengerahkan 1 Unit Ops Damkar</t>
  </si>
  <si>
    <t>Bapak Arianto No Hp. 081253901791</t>
  </si>
  <si>
    <t>Jum`at, 7 Juni 2024</t>
  </si>
  <si>
    <t>05.07 s/d 06.15 Wita</t>
  </si>
  <si>
    <t>Menindaklanjuti laporan warga perihal meminta bantuan evakuasi ular yang berada di dapur rumah beliau beralamat Jl. Sidodadi 2 Gg. Jumpa RT. 05 RW. 05 Kel. Loktabat Selatan Kec. Banjarbaru Selatan. Ular berhasil di evakuasi dan dilepasliarkan. Petugas mengerahkan 1 Unit Ops Damkar.</t>
  </si>
  <si>
    <t>Bapak Angga No Hp. 085787368523</t>
  </si>
  <si>
    <t>Sabtu, 8 Juni 2024</t>
  </si>
  <si>
    <t>03.29 s/d 01.30 Wita</t>
  </si>
  <si>
    <t>Menindaklanjuti laporan warga perihal meminta bantuan evakuasi Mobil yang terperosok di Selokan berakamat Jl. P. Suriansyah (belakang Polsek Banjarbaru Utara). Petugas langsung menuju lokasi dan melakukan evakuasi. Evakuasi Mobil berhasil dilakukan. Petugas mengerahkan 1 Unit Ops Damkar.</t>
  </si>
  <si>
    <t>Bapak Riko No Hp. 08388802273</t>
  </si>
  <si>
    <t>11.20 s/d 13.30 Wita</t>
  </si>
  <si>
    <t>Menindaklanjuti laporan warga perihal meminta bantuan evakuasi tentang adanya monyet liar yang berada didalam rumah beliau tepatnya di plafon rumah beralamat Jl. Karang Sawo No. 24 RT. 20 RW. 11 Kel. Loktabat Kec. Banjarbaru Utara. Monyet tidak berhasil ditangkap dan berhasil melarikan diri. Petugas mengerahkan 1 Unit Ops Damkar.</t>
  </si>
  <si>
    <t xml:space="preserve">Ibu Tiara No Hp. 081254322404 </t>
  </si>
  <si>
    <t>Minggu, 9 Juni 2024</t>
  </si>
  <si>
    <t>00.40 s/d 01.30 Wita</t>
  </si>
  <si>
    <t xml:space="preserve">Menindaklanjuti laporan warga perihal meminta bantuan evakuasi ular yang berada di atas plafon rumah beliau beralamat Jl. Pondok Bambu Komp. Green Tasbih Blok. C2 RT. 19 RW. 08 Kel. Loktabat Utara Kec. Banjarbaru Utara. Petugas melakukan pencarian ular tersebut dan tidak ditemukan. Petugas mengerahkan 1 Unit Ops Damkar. </t>
  </si>
  <si>
    <t xml:space="preserve">Ibu Tania No Hp. 0853423519433 </t>
  </si>
  <si>
    <t>20.56 s/d 21.42 Wita</t>
  </si>
  <si>
    <t>Menindaklanjuti laporan warga perihal meminta bantuan evakuasi ular yang berada di dapur rumah beliau beralamat Jl. A. Yani Km. 36,5 Gg. Petai Rt. 02 RW. 01 Kel. Sungai Ulin Kec. Banjarbaru Utara. Petugas menuju lokasi pelapor dan melakukan pencarian, akhirnya ular berhasil di evakuasi dan dilepasliarkan. Petugas mengerahkan 1 Unit Ops Damkar.</t>
  </si>
  <si>
    <t xml:space="preserve">Bapak Fauzi No Hp. 081356607091 </t>
  </si>
  <si>
    <t>Selasa, 11 Juni 2024</t>
  </si>
  <si>
    <t>00.30 s/d 01.40 Wita</t>
  </si>
  <si>
    <t>Menindaklanjuti laporan warga perihal meminta bantuan evakuasi mobil yang terperosok kedalam selokan berlalamat Jl. Mina Komp. Benawa Raya RT. 46. RW. 06 Kel. Guntung Manggis Kec. Landasan Ulin. Petugas melakukan evakuasi dan berhasil. Petugas megerahkan 1 Unit Ops Damkar</t>
  </si>
  <si>
    <t>Ibu Cindi Tamara No Hp. 082250755579</t>
  </si>
  <si>
    <t>19.23 s/d 20.30 Wita</t>
  </si>
  <si>
    <t>Menindaklanjuti laporan warga perihal meminta bantuan evakuasi ular berjenis cobra yang berada didapur rumah beliau beralamat Komp. Wengga Tahap IV Blok Y1 No. 83 RT. 44 RW. 07 Kel. Guntung Manggis Kec. Landsan Ulin. Petugas melkukan pencarian dan tidak ditemukan ular tersebut. Petugas mengerahkan 1 Unit Ops Damkar.</t>
  </si>
  <si>
    <t xml:space="preserve">bu Zubai No Hp. 085753574559 </t>
  </si>
  <si>
    <t>Rabu, 12 Juni 2024</t>
  </si>
  <si>
    <t>07.10 s/d 08.30 Wita</t>
  </si>
  <si>
    <t>Supriyadi No Hp. 082255494242</t>
  </si>
  <si>
    <t>Menindaklanjuti laporan warga perihal tentang adanya ular di kandang ayam milik beliau beralamat Komp. Citra Bintang Amanah Jl. Jambangan RT. 02 RW. 11 Kel. Cempaka Kec. Cempaka. Ular behasil di evakuasi dan dilepasliarkan. Petugas mengerahkan 1 Unit Ops Damkar.</t>
  </si>
  <si>
    <t>Selasa, 12 Juni 2024</t>
  </si>
  <si>
    <t>21.00 s/d 22.05 Wita</t>
  </si>
  <si>
    <t>Menindaklanjuti laporan warga perihal meminta bantuan evakuasi ular yang berada di dapur rumah beliau beralamat Jl. A. Yani Km. 32 SMKN 1 Banjarbaru Kel. Loktabat selatan kec. Banjarbaru Selatan. Ular berhasil di evakuasi dan dilepasliarkan. Petugas mengerahkan 1 Unit Ops Damkar.</t>
  </si>
  <si>
    <t xml:space="preserve">Surya No Hp. 081253466428 </t>
  </si>
  <si>
    <t>Kamis, 13 Juni 2024</t>
  </si>
  <si>
    <t>17.09 s/d 18.05 Wita</t>
  </si>
  <si>
    <t>Menindaklanjuti laporan warga perihal meminta bantuan evakuasi mobil yang terperosok dalam selokan beralat Jl. Pandu RT. 12 RW. 03 Kel. Kemuning Kec. Banjarbaru selatan. Petugas menuju lokasi dan mobilpun berhasil di evakuasi. Petugas mengerahkan 1 Unit Ops Damkar.</t>
  </si>
  <si>
    <t xml:space="preserve">Bapak Supri No Hp. 081349671597 </t>
  </si>
  <si>
    <t>Jum`at, 14 Juni 2024</t>
  </si>
  <si>
    <t>20.20 s/d 22.40 Wita</t>
  </si>
  <si>
    <t>Menidaklajuti laporan Karyawan PLN  perihal meminta bantuan evakuasi sarang lebah yang ada dipohon pinus halaman Mess beralamat Jl. Panglima Batur Komp. PLN Kel. Mentaos Kec. Banjarbaru Utara. Sarang lebah berhasil di evakuasi dan dimusnahkan. Petugas mengerahkan 1 Unit Ops Damkar.</t>
  </si>
  <si>
    <t xml:space="preserve"> Hairir Sakti No Hp. 087740848884 </t>
  </si>
  <si>
    <t>Sabtu, 15 Juni 2024</t>
  </si>
  <si>
    <t>05.54 s/d 06.40 Wita</t>
  </si>
  <si>
    <t>Menindklanjuti laporan warga perihal meminta bantuan evakuasi ular yang berada ditumpukan alat-alat motor di garasi rumah milik beliau beralamat Jl. Karang Anyar II Komp. Karang Anyar Griya Asri No F6 RT. 44 RW. 08 Kel. Loktabat Utara Kec. Banjarbaru Selatan. Ular tidak berhasil di evakuasi setelah dilakukan pencarian tidak ditemukan. Petugas mengerahkan 1 Unit Ops Damkar</t>
  </si>
  <si>
    <t>Bapak Yakub Barian No Hp. 081321667349</t>
  </si>
  <si>
    <t>19.40 s/d 20.30 Wita</t>
  </si>
  <si>
    <t>Menindaklanjuti laporan warga perihal meminta bantuan evakuasi ular yang berada di dalam kamar kos beliau beralamat Jl. Astoria RT. 17 RW. 14 Kel. Sungai Besar Kec. Banjarbaru Selatan. Ular berhasil di evakuasi dan dilepasliarkan. Petugas mengerahkan 1 Unit Ops Damkar.</t>
  </si>
  <si>
    <t xml:space="preserve">Bapak Indra No Hp. 083138855589 </t>
  </si>
  <si>
    <t>Minggu, 16 Juni 2024</t>
  </si>
  <si>
    <t>19.18 s/d 20.00 Wita</t>
  </si>
  <si>
    <t>Menindaklanjuti laporan warga perihal meminta bantuan evakuasi ular berwarna hitam berjenis cobra beralamat Komp. Wengga Kuda Blok Y3 No. 230 RT. 44 RW. 07 Kel. Guntung Manggis Kec. Landasan Ulin. Setelah melakukan pencarian di sudut-sudut ruang ular tidak dapat ditemukan. Petugas mengerahkan 1 Unit Ops Damkar</t>
  </si>
  <si>
    <t>M. Rizky Efendi</t>
  </si>
  <si>
    <t>Selasa, 18 Juni 2024</t>
  </si>
  <si>
    <t>07.00 s/d 07.30 Wita</t>
  </si>
  <si>
    <t>Menindaklanjuti laporan warga perihal meminta bantuan evakuasi adanya ular di dalam Kos beliau beralamat Komp. Al Ikhwan Jl. Cahaya 8 No 115 RT. 06 RW. 03 (Kost Putri Maharani) Kel, Guntung Paikat Kec. Banjarbaru Selatan. Ular berhasil di evakuasi dan dilepasliarkan. Petugas mengerahkan 1 Unit Ops Damkar.</t>
  </si>
  <si>
    <t>Diva 081258404614</t>
  </si>
  <si>
    <t>18.34 s/d 19.14 Wita</t>
  </si>
  <si>
    <t>Menindaklanjuti laporan warga perihal meminta bantuan evakuasi ular yang berada disamping rumah beliau beralamat Jl. Al Jafri Komp. Griya Kemuning Indah RT. 09 Kel. Kemuning Kec. Banjarbaru Selatan. Petugas menuju lokasi pelapor. Setelah melakukan pencarian ular tidak dapat ditemukan. Evakuasi tidak berhasil. Petugas mengerahkan 1 Unit Ops Damkar.</t>
  </si>
  <si>
    <t>Ronaldi No Hp. 082255575666</t>
  </si>
  <si>
    <t>Rabu, 19 Juni 2024</t>
  </si>
  <si>
    <t>07.20 s/d 08.15 Wita</t>
  </si>
  <si>
    <t>Menindaklanjuti laporan warga perihal meminta bantuan evakuasi kucing yang tercebur ke dalam sumur beliau beralamat Jl. Sidodadi 2 Gg. Sidomulyo RT. 02 RW. 06 Kel. Loktabat Selatan Kec. Banjarbaru Selatan. Kucing berhasil di evakuasi dalam keadaan tidak bernyawa. Petugas mengerahkan 1 Unit Ops Damkar.</t>
  </si>
  <si>
    <t>Bapak Supardi No Hp. 085822000890</t>
  </si>
  <si>
    <t>09.10 s/d 13.00 Wita</t>
  </si>
  <si>
    <t>Menindaklanjuti laporan warga perihal bantuan evakuasi jalan berlumpur yang dapat membahayakan pengguna jalan beralamat Jl. Bina Praja Kel. Cempaka Kec. Cempaka. Jalan yang berlumpur berhasil di evakuasi dengan bersih. Petugas mengerahkan 1 Unit Ops Damkar.</t>
  </si>
  <si>
    <t>Bapak Jarot Setyo No Hp. 082120150323</t>
  </si>
  <si>
    <t>Kamis, 20 Juni 2024</t>
  </si>
  <si>
    <t>02.45 s/d 03.40 Wita</t>
  </si>
  <si>
    <t>Menindaklajuti laporan warga perihal meminta bantuan evakuasi ular yang berada ruang tengah rumah beliau beralamat Jl. Mentaos Raya RT. 03 RW. 03 Kel. Mentaos Kec. Banjarbaru Utara. Ular berhasil di evakuasi dan dilepasliarkan. Petugas mengerahkan 1 Unit Ops Damkar.</t>
  </si>
  <si>
    <t xml:space="preserve">Dede Maulan No Hp. 083841945011 </t>
  </si>
  <si>
    <t>19.33 s/d 23.05 Wita</t>
  </si>
  <si>
    <t>Menindaklajuti laporan Grup WA Emergency Banjarbaru perihal bahwa ada orang tenggelam di Danau X Baruh Pengayuan beralamat Jl. Awang Peramuan Kel. Andasan Ulin Tengah Kec. Liang Anggang. Korban berhasil di evakuasi dalam keadaan meninggal dunia oleh Tim Gabungan Emergency. Korban an. GT. Muhammad Fadhil Ramadhan Umur 14/15 Tahun Warga Jl. Kasturi 2 Landasan Ulin jenis kelamin Laki-Laki. Petugas mengerahkan 1 Unit Ops Damkar Rescue.</t>
  </si>
  <si>
    <t>orang tenggelam</t>
  </si>
  <si>
    <t>Jum`at, 21 Juni 2024</t>
  </si>
  <si>
    <t>06.40 s/d 07.30 Wita</t>
  </si>
  <si>
    <t>Menindaklanjuti laporan warga perihal meminta bantuan evakuasi kucing yang tercebur kedalam sumur beralamat Jl. Karamunting 1 No. 16 RT. 02 RW. 02 Kel. Guntung Paikat Kec. Bajarbaru Selatan. Petugas langsung menuju lokasi pelapor. Evakuasi kucing berhasil dengan selamat. Petugas mengerahakan 1 Unit Ops Damkar.</t>
  </si>
  <si>
    <t>M. Slamet No Hp. 085923265920</t>
  </si>
  <si>
    <t>18.56 s/d 20.22 Wita</t>
  </si>
  <si>
    <t>Menindaklanjuti laporan warga perihal meminta bantuan evakuasi ular yang berada dihalaman rumah beliau beralamat Jl. Golf Raya Komp. Pelangi Golf Regency RT. 05 RW. 04 Kel. Landasan Ulin Utara Kec. Laing Anggang. Ular berhasil di evakuasi dan dilepasliarkan. Petugas mengerahkan 1 Unit Ops Damkar.</t>
  </si>
  <si>
    <t>Rendy Hidayat No Hp. 082242208210</t>
  </si>
  <si>
    <t>Sabtu, 22 Juni 2024</t>
  </si>
  <si>
    <t>12.16 s/d 13.10 Wita</t>
  </si>
  <si>
    <t>Menindaklanjuti laporan warga perihal meminta bantuan evakuasi ular yang berada di dalam Box Sepeda Motor berjenis Matic beralamat Komp. Lambung Mangkurat Tahap 4 Blok B No. 20 RT. 13 RW. 01 Kel. Palam Kec. Cempaka. Ular berjenis lanang sapi berhasil di evakuasi dan dilepasliarkan. Petugas mengerahkan 1 Unit Ops Damkar</t>
  </si>
  <si>
    <t xml:space="preserve">Nico Wakamby No Hp. 081326982577 </t>
  </si>
  <si>
    <t>Minggu, 23 Juni 2024</t>
  </si>
  <si>
    <t>04.11 s/d 05.00 Wita</t>
  </si>
  <si>
    <t>Menindaklanjuti laporan warga perihal meminta bantuan evakuasi cincin yang membuat jari menjadi bengkak dan tidak bisa dilepas pada anak benama Nadia Aulia Umur 4 tahun beralamat Jl. Guntung harapan Komp. Griya Utama Trikora No. 4 RT. 34 RW. 05 Kel. Guntung Manggis Kec. Landasan Ulin. Evakuasi cincin berhasil dan bejalan dengan aman. Petugas mengerahkan 1 Unit Ops Damkar.</t>
  </si>
  <si>
    <t>Bapak Yusuf No Hp. 083834969937</t>
  </si>
  <si>
    <t>20.18 s/d 21.40 Wita</t>
  </si>
  <si>
    <t>Menindaklanjuti laporan dari Camat Banjarbaru Selatan melalui Ka. UPT Damkar Kota Banjarbaru perihal meminta bantuan evakuasi sarang lebah yang bersarang di kotak Ampli Sound System beralamat Jl. Guntung Rambai Asri No. 6 RT. 05 RW. 02 (tempat pengajian Guru Adam Syarkawi) Kel. Loktabat Selatan Kec. Banjarbaru Selatan. Petugas berhasil mengevakuasi sarang lebah dan dimusnahkan. Petugas mengerahlan 1 Unit Ops Damkar.</t>
  </si>
  <si>
    <t>Camat Banjarbaru Selatan</t>
  </si>
  <si>
    <t>Senin, 24 Juni 2024</t>
  </si>
  <si>
    <t>00.11 s/d 01.00 Wita</t>
  </si>
  <si>
    <t>Menindaklanjuti laporan warga perihal meminta bantuan evakuasi ular berjeinis cobra bersembunyi dibelakang lemari dapur rumah beliau beralamat Komp. Pelangi Jaya Lestari Blok E No. 87 RT. 38 RW. 11 Kel. Cempaka Kec. Cempaka. Petugas berhasil mengevakuasi ular tersebut dan dilepasliarkan. Petugas mengerahkan 1 Unit Ops Damkar.</t>
  </si>
  <si>
    <t>Eliansyah No Hp. 083142020206</t>
  </si>
  <si>
    <t>12.27 s/d 13.23 Wita</t>
  </si>
  <si>
    <t>Meninidaklanjuti laporan warga perihal monyet liar yang sangat meresahkan dan masuk kedalam rumah warga beralamat Jl. Guntung damar RT. 12 RW. 03 Kel. Guntung Payung Kec. Landasan Ulin. Petugas menuju lokasi pelapor. Monyet tidak berhasil di evakuasi dan melarikan diri. Petugas mengerahakan 1 Unit Ops Damkar.</t>
  </si>
  <si>
    <t xml:space="preserve">Devi No Hp. 082110791317 </t>
  </si>
  <si>
    <t>Selasa, 25 Juni 2024</t>
  </si>
  <si>
    <t>20.00 s/d 21.30 Wita</t>
  </si>
  <si>
    <t>Menindaklajuti laporan warga perihal meminta bantuan evakuasi ular jenis Cobra yan berada di dapur rumah beliau beralamat Jl. Tambak Tarap Komp. Karunia Indah 2 RT. 40 RW. 06 Kel. Syamsudin Noor Kec. Landasan Ulin. Petugas langsung menuju lokasi pelapor dan melakukan pencarian. Ular behasil di evakuasi dan dilepasliarkan. Petugas mengerahkan 1 Unit Ops Damkar.</t>
  </si>
  <si>
    <t>Bapak Wawan No Hp. 081217506700</t>
  </si>
  <si>
    <t>Rabu, 26 Juni 2024</t>
  </si>
  <si>
    <t>19.15 s/d 20.20 Wita</t>
  </si>
  <si>
    <t>Menindaklanjuti laporan warga perihal meminta bantuan evakuasi cincin di jari tangan beliau yang tidak bisa dilepas karena sudah terjasi pembengkakan berlamat Komp. Wengga Palam Indah Blok I No. 09 RT. 40 RW. 07 Kel. Guntung Manggis Kec. Landasan Ulin. Cincin berhasil dilepas dengan cara dipotong. Evakuasi berjalan  aman dan lancar. Petugas mengerahkan 1 Unit Ops Damkar.</t>
  </si>
  <si>
    <t xml:space="preserve">Ibu Yuli </t>
  </si>
  <si>
    <t>Kamis, 27 Juni 2024</t>
  </si>
  <si>
    <t>20.26 s/d 22.50 Wita</t>
  </si>
  <si>
    <t>Menindaklanjuti laporan warga perihal meminta bnatuan evakuasi ular yang berada dirumah beliau beralamat Jl. Mistarcokrokusumo Komp. Grand Diamond RT. 02 RW. 08 Kel. Cempaka Kec. Cempaka. Ular berhasil di evakuasi dan dilepasliarkan. Petugas mengerahkan 1 Unit Ops Damkar.</t>
  </si>
  <si>
    <t>Aris Rahman No Hp. 081351800488</t>
  </si>
  <si>
    <t>Jum`at, 28 Juni 2024</t>
  </si>
  <si>
    <t>11.35 s/d 12.30 Wita</t>
  </si>
  <si>
    <t>Menindaklanjuti laporan warga perihal meminta bantuan evakuasi ular yang berada dihalaman rumah beliau beralamat Jl. Gotong Royong RT. 03 RW. 06 Kel. Mentaos Kec. Banjarbaru Utara. Petugas menuju lokasi pelapor. Petugas langsung melakukan pencarian ular dan ular tidak behasil ditemukan. Petugas mengerahkan 1 Unit Ops Damkar.</t>
  </si>
  <si>
    <t xml:space="preserve">Bapak Surya Aji </t>
  </si>
  <si>
    <t>Sabtu, 29 Juni 2024</t>
  </si>
  <si>
    <t>20.18 s/d 22.10 Wita</t>
  </si>
  <si>
    <t>Menindaklanjuti laporan warga perihal meminta bantuan evakuasi sarang lebah di dak kanopi kost-kost an milik beliau beralamat Jl. Mistarcokrokusumo Gg. Bersama Kel. Sungai Besar Kec. Banjarbaru selatan. Sarang lebah berhasil di evakuasi dan dimusnahkan. Petugas mengerahkan 1 Unit Ops Damkar.</t>
  </si>
  <si>
    <t xml:space="preserve">Bapak Muhajid No Hp. 081333273322 </t>
  </si>
  <si>
    <t>Minggu, 30 Juni 2024</t>
  </si>
  <si>
    <t>03.10 s/d 04.25 Wita</t>
  </si>
  <si>
    <t>Menindaklajuti laporan warga perihal meminta bantuan evakuasi ular berjenis cobra hitam di garasi rumah beliau beralamat Gg. Bina Putra No. 58 RT. 11 RW. 03 Kel. Guntung Payung Kec. Landsan Ulin. Petugas menuju lokasi pelapor dan melakukan pencarian. Ular berhasil di evakuasi dan dilepasliarkan. Petugas mengerahkan 1 Unit Ops Damkar.</t>
  </si>
  <si>
    <t>Bapak Ikhsan No Hp. 087810111668</t>
  </si>
  <si>
    <t>11.32 s/d 12.40 Wita</t>
  </si>
  <si>
    <t>Menindaklanjuti laporan warga perihal meminta bantuan evakuasi kucing yang masuk kedalam kap mobil beralamat Jl. PM. Noor Komp. Grand Citra City RT. 09 No. E8 Kel. Sungai Ulin Kec. Banjarbaru Utara. Kucing behasil di evakuasi dan keluar dengan sendirinya. Petugas mengerahkan 1 Unit Ops Damkar.</t>
  </si>
  <si>
    <t>Rahma Fauziah No Hp. 082229999092</t>
  </si>
  <si>
    <t>22 orang/1 unit</t>
  </si>
  <si>
    <t>Senin, 1 Juli 2024</t>
  </si>
  <si>
    <t>17.51 s/d 18.20 Wita</t>
  </si>
  <si>
    <t>Menindaklanjuti laporan warga perihal meminta bantuan evakuasi anjing liar yang meresahkan beralamat Jl. Pondok Mangga III Komp. Antero RT. 19 RW. 08 Kel. Loktabat Utara Kec. Banjarbaru Utara. Petugas menuju lokasi pelapor dan anjing tidak berhasil di evakuasi karena anjing tidak ada dilokasi. Petugas mengerahkan 1 Unit Ops Damkar Kajama Rescue.</t>
  </si>
  <si>
    <t>Bapak Abi Hafsah No Hp. 08953375192</t>
  </si>
  <si>
    <t>Selasa, 2 Juli 2024</t>
  </si>
  <si>
    <t>13.23 s/d 14.00 Wita</t>
  </si>
  <si>
    <t>Menindaklanjuti laporan warga perihal meminta bantuan evakuasi anak kucing yang terjepit di sela-sela kap mobil beralamat Jl. SMA 3 RT. 39 RW. 11 Kel. Cempaka Kec. Cempaka. Kucing berhasil di evakuasi dengan selamat. Petugas mengerahkan 1 Unit Ops Damkar Ton III</t>
  </si>
  <si>
    <t>Ibu Agustina No Hp. 085389581210</t>
  </si>
  <si>
    <t>Kamis, 4 Juli Juli 2024</t>
  </si>
  <si>
    <t>07.20 s/d 07.54 Wita</t>
  </si>
  <si>
    <t>Menindaklanjuti laporan warga  perihal meminta bantuan evakuasi ular yang berada di dalam sumur beliau beralamat Jl. Zafri Zam-zam Gg. Fatonah RT. 17 RW. 04 Kel. Kemuning Kec. Banjarbaru Selatan. Ular berhasil di evakuasi dan dilepasliarkan. Petugas mengerahkan 1 unit ops Damkar Ton III.</t>
  </si>
  <si>
    <t>Ibu Sri Anum Sari No Hp. 087860183796</t>
  </si>
  <si>
    <t>11.19 s/d 12.00 Wita</t>
  </si>
  <si>
    <t>Menindaklanjuti laporan warga perihal meminta bantuan evakuasi ular yang berada diruang tengah rumah beliau beralamat Jl. Taruna Praja Komp. Balitan 8 Blok E 01 RT. 47 RW. 12 Kel. Loktabat Utara Kec. Banjarbaru Utara. Ular berhasil di evakuasi dan dilepasliarkan. Petugas mengerahkan 1 Unit Ops DamkarTon III.</t>
  </si>
  <si>
    <t>Bapak Bambang Reksa No Hp. 082210003424</t>
  </si>
  <si>
    <t>Jum`at, 5 Juli 2024</t>
  </si>
  <si>
    <t>12.02 s/d 13.30 Wita</t>
  </si>
  <si>
    <t>Menindaklanjuti laporan warga perihal meminta bantuan evakuasi ular yang berada di dalam sumur beralamat Komp. Harapan Mas Blok D Kel. Guntung Manggis Kec. Landasan Ulin. Ular berhasil di evakuasi dan dilepasliarkan. Petugas mengerahkan 1 Unit Ops Damkar Ton III.</t>
  </si>
  <si>
    <t>Marta Uli No Hp. 085348094290</t>
  </si>
  <si>
    <t>Minggu, 7 Juli Juli 2024</t>
  </si>
  <si>
    <t>12.45 s/d 13.20 Wita</t>
  </si>
  <si>
    <t>Menindaklanjuti laporan warga perihal meminta bantuan evakuasi ular yang berada di rak sepatu teras rumah beliau yang beralamat Komp. Citra Persada Asri Jl. Lestari 3 Gg. Citra 2 No. 06 RT. 007 RW. 13 Kel. Sungai Besar Kec. Banjarbaru Selatan. Ular berhasil di evakuasi dan dilepasliarkan. Petugas mengerahkan 1 Unit Ops Damkar Ton III</t>
  </si>
  <si>
    <t>Afif No Hp. 0895700651483</t>
  </si>
  <si>
    <t>Selasa, 9 Juli Juli 2024</t>
  </si>
  <si>
    <t>19.07 s/d 20.25 Wita</t>
  </si>
  <si>
    <t>Menindaklanjuti laporan warga perihal meminta bantuan evakuasi kucing yang berada di atas atap kanofi ruko beralamat Jl. Trikora Ruko Café Satu 7 an Kel. Loktabat Selatan Kec. Banjarbaru Selatan. Petugas menuju lokasi pelapor dan melakukan evakuasi. Evakuasi tidak behasil karena kucing masuk ke dalam ruko sebelah. Petugas mengerahkan 1 Unit Ops Damkar Kajama Rescue.</t>
  </si>
  <si>
    <t xml:space="preserve">Amel No Hp. 082234423241 </t>
  </si>
  <si>
    <t>Rabu, 10 Juli 2024</t>
  </si>
  <si>
    <t>19.57 s/d 20.22 Wita</t>
  </si>
  <si>
    <t>Menindaklanjuti laporan warga perihal meminta bantuan evakuasi ular yang jatuh dari plafon dapur yang beralamat Jl. Karang Pandan No. 43 Kel. Loktabat Utara Kec. Banjarbaru Utara. Ular berhasil di evakuasi dan dilepasliarkan. Petugas mengerahkan 1 Unit Ops Damkar Kajama Rescue.</t>
  </si>
  <si>
    <t>Epri Nurwanto No Hp. 081250177474</t>
  </si>
  <si>
    <t>Kamis, 11 Juli 2024</t>
  </si>
  <si>
    <t>19.07s/d 20.20 Wita</t>
  </si>
  <si>
    <t>Menindaklanjuti laporan warga perihal tentang adanya anjing yang berkeliaran dilingkungan perumahan yang membuat resah. Petugas menuju lokasi pelapor yang beralamat AL-Rawda Cluster Benawa Raya Blok E 10 RT. 18 Kel. Guntung Manggis Kec. Landasan Ulin. Anjing tidak di evakuasi karena anjing ada pemiliknya. Anjing penjaga sarang burung wallet. Petugas mengerahkan 1 Unit Ops Damkar Kajama Rescue</t>
  </si>
  <si>
    <t>Bapak Hifni Rizani No Hp. 085939406552</t>
  </si>
  <si>
    <t>Jum`at, 12 Juli 2024</t>
  </si>
  <si>
    <t>11.55 s/d 12.40 Wita</t>
  </si>
  <si>
    <t>Menindaklanjuti laporan warga perihal meminta bantuan evakuasi ular yang berada dl dalam kamar kost milik beliau beralamat Komp. Beringin Gg. Rambutan No. 45 RT. 28 RW. 05 Kel. Sungai Besar Kec. Banjarbaru Selatan. Petugas menuju lokasi pelapor dan melakukan pencarian. Ular berhasil di evakuasi dan dilepasliarkan. Petugas mengerahkan 1 Unit Ops Damkar Ton III.</t>
  </si>
  <si>
    <t>Bapak Marno No Hp. 085246668284</t>
  </si>
  <si>
    <t>Sabtu, 13 Juli 2024</t>
  </si>
  <si>
    <t>22.05 s/d 22.40 Wita</t>
  </si>
  <si>
    <t>Menindaklanjuti laporan warga perihal meminta bantuan evakuasi cincin pada kaki yang tidak bisa dilepas dan terjadi pembengkakan akibat patah kaki. Petugas menuju lokasi pelapor dan melakukan evakuasi. Evakuasi cincin berhasil dilepas. Petugas mengerahkan 1 Unit Ops Damkar Kajama Rescue.</t>
  </si>
  <si>
    <t xml:space="preserve">Febby No Hp. 081347459004 </t>
  </si>
  <si>
    <t>Minggu, 14 Juli 2024</t>
  </si>
  <si>
    <t>09.13 s/d 10.33 Wita</t>
  </si>
  <si>
    <t>Menindaklanjuti laporan warga perihal meminta bantuan evakuasi anjing liar yang sudah meresahkan warga beralamat Jl. Pondok Mangga Komp. Antero No. 20 A Kel. Loktabat Utara Kec. Banjarbaru Utara. Petugas menuju lokasi pelapor dan melakukan pencarian. Anjing liar berhasil di evakuasi. Petugas mengerahkan 1 Unit Ops Damkar Kajama Rescue.</t>
  </si>
  <si>
    <t xml:space="preserve">Novi No Hp. 087716951052 </t>
  </si>
  <si>
    <t>Senin, 15 Juli 2024</t>
  </si>
  <si>
    <t>07.05 s/d 07.35 Wita</t>
  </si>
  <si>
    <t>Menindaklanjuti laporan warga  perihal meminta bantuan evakuasi anak kucing yang tercebur ke dalam sumur beralamat Komp. Cahaya Ratu Elok Jl. Pari No. 33 RT. 08 RW. 02 Kel. Sungai Besar Kec. Banjarbaru selatan. Petugas menuju lokasi pelapor. Evakuasi anak kucing berhasil diselamatkan. Petugas mengerahkan 1 Unit Ops Damkar.</t>
  </si>
  <si>
    <t>Ibu Memel No Hp. 082149990060</t>
  </si>
  <si>
    <t>08.38 s/d 09.25 Wita</t>
  </si>
  <si>
    <t>Menindaklanjuti laporan warga perihal meminta bantuan evakuasi ular yang masuk ke dalam rumah beliau beralamat Jl. Sintuk Komp. Batuah RT. 02 RW. 01 Kel. Kemuning Kec. Banjarbaru Selatan. Petugas menuju lokasi pelapor dan melakukan pencarian. Ular tidak berhasil ditemukan. Petugas mengerahkan 1 Unit Ops Damkar Kajama Rescue.</t>
  </si>
  <si>
    <t>Bapak Feri No Hp. 082151698566</t>
  </si>
  <si>
    <t>Selasa, 16 Juli 2024</t>
  </si>
  <si>
    <t>05.25 s/d 06.00 Wita</t>
  </si>
  <si>
    <t xml:space="preserve">Menindaklanjuti laporan warga perihal meminta bantuan evakuasi ular yang berada dirumah beliau beralamat Jl. Zamrud RT. 13 RW. 02 Kel. Bangkal Kec. Cempaka. Ular berhasil di evakuasi dan dilepasliarkan. Petugas mengerahkan 1 Unit Ops Damkar Ton VII. </t>
  </si>
  <si>
    <t>Bapak Aldi No Hp. 085754829485</t>
  </si>
  <si>
    <t>08.24 s/d 09.15 Wita</t>
  </si>
  <si>
    <t>Menindaklanjuti laporan warga perihal meminta bantuan evakuasi ular berjenis cobra di dapur rumah beliau beralamat Jl. Perambaian III RT. 04 RW. 03 Kel. Sungai Besar Kec. Banjarbaru Selatan. Ular berhasil di evakuasi dan dilepasliarkan. Petugas mengerahkan 1 Unit Ops Damkar Ton IV.</t>
  </si>
  <si>
    <t xml:space="preserve">Iwan No Hp. 082350718602 </t>
  </si>
  <si>
    <t>Rabu, 17 Juli 2024</t>
  </si>
  <si>
    <t>11.10 s/d 12.10 Wita</t>
  </si>
  <si>
    <t>Menindaklanjuti laporan warga perihal meminta bantuan evakuasi ular berjenis phyton yang berada dalam kandang ayam beralamat Jl. Trikora Komp. Permata Bunda Resort Blok C 7 Kel. Sungai Besar kec. Banjarbaru Selatan. Ular berhasil di evakuasi dan dilepasliarkan. Petugas mengerahkan 1 Unit Ops Damkar Kajama Rescue.</t>
  </si>
  <si>
    <t>Ibu Aida No Hp. 0822548899279</t>
  </si>
  <si>
    <t>Kamis, 18 Juli 2024</t>
  </si>
  <si>
    <t>07.40 s/d 09.10 Wita</t>
  </si>
  <si>
    <t>Menindaklanjuti laporan warga perihal meminta bantuan evakuasi ular yang berada dalam kamar mandi rumah beliau beralamat Jl. Sukamaju Komp. Griya Sinar kencana Blok. C No. 6 Kel. Landasan Ulin Utara Kec. Liang Anggang. ular tidak behasil di evakuasi karena keluar dari lubang saluran air. Petugas mengerahkan 1 Unit Ops Damkar Ton III.</t>
  </si>
  <si>
    <t>Vika Radisya No Hp. 087840490792</t>
  </si>
  <si>
    <t>Jum`at, 19 Juli 2024</t>
  </si>
  <si>
    <t>19.25 s/d 20.45 Wita</t>
  </si>
  <si>
    <t>Menindaklanjuti laporan warga perihal meminta bantuan evakuasi ular jenis phyton di gudang beliau beralamat Jl. A. Yani Km. 36 Samping Kampus Unlam Kel. Guntung Paikat Kec. Banjarbaru Selatan. Ular berhasil di evakuasi dan dilepasliarkan. Petugas mengerahkan 1 Unit Ops Damkar Ton IV.</t>
  </si>
  <si>
    <t>Bonimin No Hp. 085245181576</t>
  </si>
  <si>
    <t>Sabtu, 20 Juli 2024</t>
  </si>
  <si>
    <t>10.39 s/d 11.20 Wita</t>
  </si>
  <si>
    <t>Menindaklanjuti laporan warga perihal meminta bantuan evakuasi ular di ruangan kerja beliau beralamat Jl. Panglima Batur Timur Ujung Kel. Komet Kec. Banjarbaru Utara.Ular berhasil d evakuasi dan lepasliarkan. Petugas mengerahkan 1 Unit Ops Damkar Ton III.</t>
  </si>
  <si>
    <t>Ridwan No Hp. 0895352085656</t>
  </si>
  <si>
    <t>Minggu, 21 Juli 2024</t>
  </si>
  <si>
    <t>07.20 s/d 08.25 Wita</t>
  </si>
  <si>
    <t>Menindaklanjuti laporan warga perihal meminta bantuan evakuasi anak kucing yang berada di plafon rumah beliau beralamat Jl. Pelangi Jaya Lestari Blok. B 30 RT. 38 RW. 11 Kel. Cempaka Kec. Cempaka. Petugas berhasil mengevakuasi 4 anak kucing tersebut dengan selamat. Petugas menegerahkan 1 Unit Ops Damkar Ton IV.\</t>
  </si>
  <si>
    <t xml:space="preserve">Ibu Hayati No Hp. 08971409594 </t>
  </si>
  <si>
    <t>10.31 s/d 11.35 Wita</t>
  </si>
  <si>
    <t>Menindaklanjuti laporan warga perihal meminta bantuan evakuasi kucing yang tercebur kedalam sumur rumah milik beliau beralamat Jl. Intan X No. 81 RT. 35 Kel. Loktabat Utara Kec. Banjarbaru Utara. Kucing berhasil di evakuasi. Petugas mengerahkan 1 unit Ops Damkar Ton IV</t>
  </si>
  <si>
    <t>Saudara Niko No Hp. 0895352050401</t>
  </si>
  <si>
    <t>Senin, 22 Juli 2024</t>
  </si>
  <si>
    <t>06.15 s/d 07.45 Wita</t>
  </si>
  <si>
    <t>Menindaklanjuti laporan warga perihal meminta bantuan evakuasi ular yang berada di rumah beliau beralamat Jl. Pondok Pinus Komp. Griya Pinus Lestari No. 13 Kel. Loktabat Utara Kec. Banjarbaru Utara. Ular berhasil di evakuasi dan dilepasliarkan. Petugas mengerahkan 1 Unit Ops Damkar Ton III</t>
  </si>
  <si>
    <t>Rahisman No Hp. 081345499299</t>
  </si>
  <si>
    <t>10.50 s/d 11.15 Wita</t>
  </si>
  <si>
    <t>Menindaklanjuti laporan warga  perihal meminta bantuan evakuasi kucing yang tercebur dalam sumur beralamat Jl. Guntung Paring Komp. Rafanda 5 Blok B No. 06 RT. 36 RW. 07 Kel. Guntung Manggis Kec. Landasan Ulin. Kucing berhasil di evakuasi dengan keadaan tidak benyawa. Petugas mengerahkan 1 Unit Ops Damkar Ton VII</t>
  </si>
  <si>
    <t>Sayyid Nizar No Hp. 089690304410</t>
  </si>
  <si>
    <t>Selasa, 23 Juli 2024</t>
  </si>
  <si>
    <t>07.00 s/d 07.55 Wita</t>
  </si>
  <si>
    <t>Menindaklanjuti laporan warga  perihal meminta bantuan adanya solar yang tumpah ke jalan beralamat Jl. A. Yani Bundaran Pesawat Km. 26,5 Kel. Landasan Ulin Timur. Kec. Landasan Ulin. Petugas melakukan penyiraman ke jalan yang tertumpah solar. Petugas berhasil membersihkan jalan dan aktifitas lalu lintas menjadi lancar. Petugas mengerahkan 1 Unit Ops Damkar Ton VII.</t>
  </si>
  <si>
    <t>Muhammad Hafiz No Hp. 085753182909</t>
  </si>
  <si>
    <t>Rabu, 24 Juli 2024</t>
  </si>
  <si>
    <t>11.35 s/d 12.50 Wita</t>
  </si>
  <si>
    <t>Menindaklanjuti laporan warga perihal meminta bantuan evakuasi monyet dirumah beliau yang sudah sangat meresahkan. Petugas menuju lokasi yang beralamat Jl. Karang Sawo No. 19 RT. 20 RW. 11 Kel. Loktabat Utara Kec. Banjarbaru Utara. Monyet tidak berhasil di evakuasi karena sebelum petugas datang monyet sudah melarikan diri. Petugas mengerahkan 1 Unit Ops Damkar Ton III.</t>
  </si>
  <si>
    <t xml:space="preserve">Melky No Hp. 081259202301 </t>
  </si>
  <si>
    <t>Kamis, 25 Juli 2024</t>
  </si>
  <si>
    <t>08.55 s/d 09.20 Wita</t>
  </si>
  <si>
    <t>Menindaklanjuti laporan warga perihal meminta bantuan evakuasi ular jenis phyton yang berada dalam kandang ayam dibelakang rumah beliau. Petugas langsung menuju lokasi pelapor beralamat Jl. Guntung Harapan RT. 34 RW. 05 Kel. Guntung Manggis Kec. Landasan Ulin. Ular berhasil di tangkap dan dilepasliarkan. Petugas mengerahkan 1 Unit Ops Damkar Ton III.</t>
  </si>
  <si>
    <t>M. Kuswandi No Hp. 082148510189</t>
  </si>
  <si>
    <t>Jum`at, 26 Juli 2024</t>
  </si>
  <si>
    <t>19.51 s/d 21.10 Wita</t>
  </si>
  <si>
    <t>Menindaklanjuti laporan warga perihal evakuasi sarang tawon ndas di atas atap / lisplang rumah beliau karena sudah menyengat anak beliau. Petugas menuju lokasi rumah pelapor beralamat Jl. Makmur No. 10 RT. 09 RW. 04 Kel. Landasan Ulin Utara Kec. Liang Anggang. Sarng tawon ndas berhasil dimusnahkan . Petugas mengerahkan 1 Unit Ops Damkar Ton III.</t>
  </si>
  <si>
    <t>Ibu Aulia Rahmah No Hp. 083142123400</t>
  </si>
  <si>
    <t>Sabtu, 27 Juli 2024</t>
  </si>
  <si>
    <t>01.20 s/d 02.15 Wita</t>
  </si>
  <si>
    <t xml:space="preserve">Menindaklanjuti laporan warga  perihal minta bantuan evakuasi ular berjenis Cobra yang berada didalam kamar tidur beliau. Petugas menuju lokasi pelapor beralamat Jl. Pandu II RT. 05 Ke. 06 Komp. Balitan II Kel. Mentaos Kec. Banjarbaru Utara. Setelah melakukan pencarian disudut-sudut ruangan. Ular tidak berhasil ditemukan. Petugas mengerahkan 1 Unit Ops Damkar Ton III. </t>
  </si>
  <si>
    <t>Yordan No Hp. 085332622331</t>
  </si>
  <si>
    <t>11.32 s/d 12.20 Wita</t>
  </si>
  <si>
    <t>Menindaklanjuti laporan warga perihal meminta bantuan evakuasi ular yang berada di dapur rumah beliau. Petugas menuju lokasi pelapor beralamat Jl. Trikora Rumah Disabilitas RT. 05 RW. 01 Kel. Guntung Manggis Kec. Landasan Ulin. Setelah dilakukan pencarian di sudut-sudut ruangan ular tidak ditemukan. Evakuasi tidak berhasil. Petugas mengerahkan 1 Unit Ops Damkar Ton III.</t>
  </si>
  <si>
    <t>Bapak Santuso No Hp. 081348421420</t>
  </si>
  <si>
    <t>Minggu, 28 Juli 2024</t>
  </si>
  <si>
    <t>09.30 s/d 10.15 Wita</t>
  </si>
  <si>
    <t>Imam Fajar Nugroho No Hp. 082138363030</t>
  </si>
  <si>
    <t>Menindaklanjuti laporan warga  perihal meminta bantuan evakuasi ular berjenis phyton dalam kamar rumah beliau. Petugas langsung menuju lokasi pelapor beralamat Komp. Mekatama Raya III Blok A No. 05 RT. 38 RW. 04 Kel. Guntung Manggis Kec. Landasan Ulin. Ular berhasil ditangkap dan dilepasliarkan. Petugas mengerahkan 1 Unit Ops Damkar Ton IV.</t>
  </si>
  <si>
    <t>Senin, 29 Juli 2024</t>
  </si>
  <si>
    <t>07.00 s/d 07.45 Wita</t>
  </si>
  <si>
    <t>Menindaklanjuti laporan warga perihal meminta bantuan evakuasi anjing yang tersangkut di drainase rumah beliau. Petugas menuju lokasi pelapor yang beralamat Komp. Guppi No. 97 RT. 03 RW. 04 Kel. Loktabat Selatan Kec. Banjarbaru Selatan. Anjing berhasil di evakuasi dengan selamat. Petugas mengerahkan 1 Unit Ops Damkar Ton IV.</t>
  </si>
  <si>
    <t>Alfisyahrin Mahfiz No Hp. 081285876017</t>
  </si>
  <si>
    <t>22.21 s/d 23.00 Wita</t>
  </si>
  <si>
    <t>Menindaklanjuti laporan warga perihal meminta bantuan evakuasi ular yang berada di atas/ celah kanopi dapur rumah beliau. Petugas langsung menuju lokasi pelapor yang beralamat Jl. Abadi 3 Komp. Taman Palam Megatama Gg. Mawar No. 110 RT. 06 RW. 07 Kel. Palam Kec. Cempaka. Ular brjenis phyton dapat di evakuasi dan dilepasliarkan. Petugas mengerahkan 1 Unit Ops Damkar Ton III.</t>
  </si>
  <si>
    <t>Agus No Hp. 08122681103</t>
  </si>
  <si>
    <t>Selasa, 30 Juli 2024</t>
  </si>
  <si>
    <t>00.20 s/d 01.05 Wita</t>
  </si>
  <si>
    <t>M. Noor</t>
  </si>
  <si>
    <t>Menindaklanjuti laporan warga  Perihal meminta bantuan evakuasi ular berjenis cobra hitam yang berada di dalam ruang tamu rumah beliau. Petugas menuju lokasi pelapor yang beralamat Jl. Gotong Royong 3 RT. 05 RW. 06 Kel. Mentaos Kec. Banjarbaru Utara. Ular berhasil ditangkap dan dilepasliarkan. Petugas mengerahkan 1 Unit Ops Damkar Ton III.</t>
  </si>
  <si>
    <t>16.08 s/d 17.18 Wita</t>
  </si>
  <si>
    <t>Menindaklanjuti laporan perihal meminta bantuan evakuasi pohon tumbang yang membuat arus lalu lintas terhambat. Petugas menuju lokasi yang beralamat Jl. Karang Rejo RT. 005 RW. 001 Kel. Guntung Manggis Kec. Landasan Ulin. Pohon yang tumbang berhasil di evakuasi. Petugas mengerahkan 1 Unit Ops Damkar Kajama Rescue.</t>
  </si>
  <si>
    <t xml:space="preserve">WA Emergency Banjarbaru </t>
  </si>
  <si>
    <t>Rabu, 31 Juli 2024</t>
  </si>
  <si>
    <t>13.46 s/d 14.10 Wita</t>
  </si>
  <si>
    <t>Menindaklanjuti laporan warga perihal meminta bantuan evakuasi ular berjenis cobra yang berada ruang tamu rumah beliau. Petugas langsung menuju lokasi pelapor yang beralamat Perumahan Bumi Hunian Permai Blok E No. 03 RT. 42 RW. 08 Kel. Cempaka Kec. Cempaka. Setelah melakukan pencarian di sudut-sudut rumah ular tidak ditemukan diperkirakan ular sudah keluar dari rumah melalui pintu rumah yang terbuka pada saat petugas datang. Petugas mengerahkan 1 Unit Ops Damkar Ton IV</t>
  </si>
  <si>
    <t>Ibu Intan Aulia No Hp. 082252266785</t>
  </si>
  <si>
    <t>Kamis, 1 Agustus 2024</t>
  </si>
  <si>
    <t>12.18 s/d 13.00 Wita</t>
  </si>
  <si>
    <t>Menindaklanjuti laporan warga perihal meminta bantuan evakuasi ular jenis cobra yang berada dirumah beliau beralamat Jl. Soeratno Komp. Griya Manunggal No. 098 Kel. Guntung Payung Kec. Landasan Ulin. Petugas menuju lokasi pelapor dan melakukan pencarian. Ular berhasil di evakuasi dan dilepasliarkan. Petugas mengerahkan 1 Unit Ops Damkar Ton III (Naruto)</t>
  </si>
  <si>
    <t>Ibu Angelica Sherren Ananta No Hp. 081345220007</t>
  </si>
  <si>
    <t>Jum`at, 2  Agustus 2024</t>
  </si>
  <si>
    <t>09.48 s/d 11.17 Wita</t>
  </si>
  <si>
    <t>Menindaklanjuti laporan warga perihal meminta bantuan evakuasi anak bekantan yang berada dirumah beliau beralamat Jl. A. Yani Km. 24 arah Pelaihari RT. 03 RW. 01 Kel. Landasan Ulin Selatan kec. Liang Anggang. Bekantan berhasil di evakuasi dan di serahakan ke Kantor Transit BKSDA Prov Kalsel. Petugas mengerahkan 1 Unit Ops Damkar Ton III.</t>
  </si>
  <si>
    <t>Bapak Arifin No Hp. 081349234969</t>
  </si>
  <si>
    <t>bekantan</t>
  </si>
  <si>
    <t>Sabtu, 3 Agustus 2024</t>
  </si>
  <si>
    <t>07.05 s/d 07.38 Wita</t>
  </si>
  <si>
    <t>Menindaklanjuti laporan warga perihal meminta bantuan evakuasi musang yang berada didalam rumah beliau yang beralamat Jl. Arafah Komp. Benawa Kel. Guntung Manggis Kec. Landasan Ulin. Petugas langsung menuju pelapor dan melakukan pencarian. Petugas berhasil mengevakuasi musang. Petugas mengerahkan 1 Unit Ops Damkar Kajama Rescue</t>
  </si>
  <si>
    <t>Bapak Dimas No Hp. 081251084269</t>
  </si>
  <si>
    <t>20.20 s/d 22.35 Wita</t>
  </si>
  <si>
    <t>Ambar Sani / Hendra No Hp. 082358897357</t>
  </si>
  <si>
    <t>Menindaklanjuti laporan warga perihal meminta bantuan evakuasi Sarang Tawon Ndas yang berada di atas atap rumah beliau yang beralamat Jl. Pengayuan RT. 1 RW. 1 Kel. Landasan Ulin selatan Kec. Liang Anggang. Petugas menuju lokasi pelapor dan melakukan pemusnahan sarang. Sarang Tawon berhasil di musnahkan dan dibersihkan. Petugas mengerahkan 1 Unit Ops Damkar Kajama Tangki.</t>
  </si>
  <si>
    <t>Senin, 5 Agustus 2024</t>
  </si>
  <si>
    <t>Menindaklanjuti laporan warga perihal meminta bantuan evakuasi kunci sepeda motor dan kunci rumah yang terjatuh kedalam drainase yang beralamat Jl. Keruing (depan SMAN 1 Banjarbaru) Kel. Kemuning Kec. Banjarbaru Selatan. Petugas berhasil mengevakuasi kunci sepeda motor dan kunci rumah. Petugas mengerahkan 1 Unit Ops Damkar Ton III.</t>
  </si>
  <si>
    <t>Faras No Hp. 082157157780</t>
  </si>
  <si>
    <t>kunci sepeda motor</t>
  </si>
  <si>
    <t>21.22 s/d 21.50 Wita</t>
  </si>
  <si>
    <t>Menindaklanjuti laporan warga perihal meminta bantua evakuasi ular yang berada dirumah beliau beralamat Jl. Mentaos Raya Komp. Pesona Pinus Indah RT. 03 RW. 05 Kel. Mentaos Kec. Banjarbaru Utara. Ular berhasil di evakuasi dan dilepasliarkan. Petugas mengerahkan 1 Unit Ops Damkar Kajama Rescue.\</t>
  </si>
  <si>
    <t>Alla Qumala No Hp. 081348328754</t>
  </si>
  <si>
    <t>Selasa, 6 Agustus 2024</t>
  </si>
  <si>
    <t>07.10 s/d 20.10 Wita</t>
  </si>
  <si>
    <t>Menindaklanjuti laporan warga perihal meminta bantuan evakuasi ular yang berada dirumah beliau beralamat Jl. Bumi Berkat Komp. Bumi Berkat Indah Blok B2 Kel. Sungai Besar Kec. Banjarbaru Selatan. Petugas menuju lokasi pelpaor dan melakukan pencarian ular. Ular tidak berhasil ditemukan. Petugas mengerahkan 1 Unit Ops Damkar Kajama Rescue.</t>
  </si>
  <si>
    <t>Norhayati No Hp. 08197478999</t>
  </si>
  <si>
    <t>19.38 s/d 20.10 Wita</t>
  </si>
  <si>
    <t>Menindaklanjuti laporan warga perihal meminta bantuan evakuasi ular yang berada dipekarangan atau dinding pagar Kost beralamat Jl. Tokyo 4 Komp. Kelapa Gading 2 RT. 04 RW. 01 Kel. Sungai Besar Kec. Banjarbaru Selatan. Petugas langsung menuju lokasi pelapor dan melakukan pencarian. Ular berhasil di evakuasi dan dilepasliarkan. Petugas mengerahkan 1 Unit Ops Damkar Kajama Rescue</t>
  </si>
  <si>
    <t>Muhammad Fadhillah (mahasiswa kalteng) No Hp. 089691360940</t>
  </si>
  <si>
    <t>Rabu, 7 Agustus 2024</t>
  </si>
  <si>
    <t>18.51 s/d 19.50 Wita</t>
  </si>
  <si>
    <t>Menindaklanjuti laporan warga perihal meminta bantuan evakuasi yang diperkirakan pelapor adalah Telur Ular yang berada dibelakang rumah beralamat Komp. Pelangi Golf Regency No A22 RT. 05 RW. 04 Kel. Landasan Ulin Utara Kec. Liang Anggang. Telur berhasil di evakuasi, telur tersebut bukan telur ular. Petugas menegerahkan 1 Unit Ops Damkar Kajama Rescue.</t>
  </si>
  <si>
    <t>Ujang No Hp. 081228804996</t>
  </si>
  <si>
    <t>Kamis, 8 Agustus 2024</t>
  </si>
  <si>
    <t>16.22 s/d 16.58 Wita</t>
  </si>
  <si>
    <t>Menindaklanjuti laporan warga perihal meminta bantuan evakuasi ular yang berada didalam rumah beliau beralamat Jl. Aneka Tambang Komp. Banua Permai RT. 37 RW. 07 Kel. Sungai Besar Kec. Banjarbaru Selatan. Ular berhasil di evakuasi dan dilepasliarkan. Petugas mengerahkan 1 Unit Ops Damkar Kajama Rescue.</t>
  </si>
  <si>
    <t>Bapak Ajis No Hp. 083817595929</t>
  </si>
  <si>
    <t>Sabtu, 10 Agustus 2024</t>
  </si>
  <si>
    <t>06.45 s/d 07.45 Wita</t>
  </si>
  <si>
    <t>Menindaklanjuti laporan warga perihal meminta bantuan evakuasi ular yang berada dibelakang rumah beliau. Terlihat ular pada saat anak beliau ingin menjemur pakaian beralamat Jl. Karamunting No. 01 RT. 05 RW. 01 Kel. Guntung Paikat Kec. Banjarbaru Selatan. Ular tidak berhasil ditemukan diperkirakan ular keluar melalui celah pagar. Petugas mengerahkan 1 Unit Ops Damkar Ton VII.</t>
  </si>
  <si>
    <t>Denny M No Hp. 081251140109</t>
  </si>
  <si>
    <t>23.03 s/d 00.25 Wita</t>
  </si>
  <si>
    <t>Menindaklanjuti laporan warga perihal meminta bantuan evakuasi ular yang berada di kamar mandi rumah beliau karena sudah membuat takut beralamat Jl. Karang Anyar 1 Komp. Perumas Balitra RT. 27 RW. 08 Kel. Loktabat Utara Kec. Banjarbaru Utara. Setelah melakukan pencarian ular tidak berhasil ditemukan, diperikan ular keluar melalui lubang pembuangan. Petugas mengerahkan 1 Unit Ops Damkar Ton VII.</t>
  </si>
  <si>
    <t>Ibu Naziera No Hp. 083141598468</t>
  </si>
  <si>
    <t>Minggu, 11 Agustus 2024</t>
  </si>
  <si>
    <t>20.35 s/d 22.23 Wita</t>
  </si>
  <si>
    <t>Menindaklanjuti laporan warga perihal meminta bantuan evakuasi sarang lebah yang berada di atas pohon beralamat Jl. Peramuan  RT. 02 RW. 01 (SDN 1 Landasan Ulin Timur) Kel. Landasan Ulin Timur Kec. Landasan Ulin. Sarang lebah berhasil di evakuasi dengan cara dibakar. Petugas mengerahkan 1 Unit Ops Damkar. Kajama Tangki.</t>
  </si>
  <si>
    <t>Fitriani Ridha No Hp. 085332182877</t>
  </si>
  <si>
    <t>Senin, 12 Agustus 2024</t>
  </si>
  <si>
    <t>07.00 s/d 08.05 Wita</t>
  </si>
  <si>
    <t>Menindaklanjuti laporan warga perihal meminta bantuan evakuasi ular di dalam rumah yang beralamat Jl. Antareja Komp. Griya Indah 2 RT. 27 Kel. Kemuning Kec. Banjarbaru Selatan. Ular berhasil di evakuasi dan dilepasliarkan. Petugas mengerahkan 1 Unit Ops Damkar Kajama Rescue.</t>
  </si>
  <si>
    <t>Riba Astuti No Hp. 08125036043</t>
  </si>
  <si>
    <t>10.25 s/d 11.35 Wita</t>
  </si>
  <si>
    <t>Menindaklanjuti laporan warga perihal meminta bantuan evakuasi ular yang berada di dapur rumah beliau beralamat Jl. Kasturi 2 Komp. Karunia Indah 3 Blok A2 No. 30 RT. 29 RW. 06 Kel. Syamsuddin Noor Kec. Landasan Ulin. Setelah dilakukan pencarian pada sudut-sudut ruangan tidak ditemukan ular. Petugas mengerahkan 1 Unit Ops Damkar Ton VII.</t>
  </si>
  <si>
    <t>Daffariza Meyriza No Hp. 082353537851</t>
  </si>
  <si>
    <t>Selasa, 13 Agustus 2024</t>
  </si>
  <si>
    <t>00.30 s/d 01.15 Wita</t>
  </si>
  <si>
    <t>Menindaklanjuti laporan warga perihal meminta bantuan evakuasi kucing yang terjatuh ke dalam sumur beralamat Komp. Wengga Kuda Blok J No. 288 RT. 42 RW. 07 Kel. Guntung Manggis Kec. Landasan Ulin. Petugas menuju lokasi pelapor dan melakukan evakuasi kucing. Kucing berhasil di evakuasi. Petugas mengerahkan 1 Unit Ops Damkar Ton VII.</t>
  </si>
  <si>
    <t>Fathir Saputra No Hp. 085751838224</t>
  </si>
  <si>
    <t>11.05 s/d 11.55 Wita</t>
  </si>
  <si>
    <t>Menindaklanjuti laporan warga perihal meminta bantuan evakuasi anjing liar yang berada disekitar rumah beliau karena cukup meresahkan beralamat Jl. Karang Karya No. 6 RT. 20 RW. 11 Kel. Loktaat Utara Kec. Banjarbaru Utara. Anjing tidak dapat di evakuasi karena ada pemiliknya. Petugas menegerahkan 1 Unit Ops Damkar Kajama Rescue.</t>
  </si>
  <si>
    <t>Ibu Wilma No Hp. 087814170856</t>
  </si>
  <si>
    <t>Rabu, 14 Agustus 2024</t>
  </si>
  <si>
    <t>00.45 s/d 01.20 Wita</t>
  </si>
  <si>
    <t>Menindaklanjuti laporan warga perihal meminta bantuan evakuasi ular yang berada di dapur rumah beliau beralamat Komp. Benawa Raya Jl. Musdalifah RT. 46 RW. 03 Kel. Guntung Manggis Kec. Landasan Ulin. Petugas menuju lokasi pelapor. Sesampai dilokasi petugas melakukan pencarian dan tidak ditemukan ular. Petugas mengerahkan 1 UNit Ops Damkar Kajama Rescue.</t>
  </si>
  <si>
    <t>Ahmad Jumadi No Hp. 082154941855</t>
  </si>
  <si>
    <t>19.09 s/d 19.55 Wita</t>
  </si>
  <si>
    <t>Menindaklanjuti laporan warga perihal meminta bantuan evakuasi ular yang berada di dalam rumah beliau beralamat Jl. Mekatama Raya III No. 02 RT. 38 RW. 04 Kel. Guntung Manggis Kec. Landasan Ulin. Ular berhasil di evakuasi dan dilepasliarkan. Petugas mengerahkkan 1 Unit Ops Damkar Kajama Rescue.</t>
  </si>
  <si>
    <t xml:space="preserve">Ferry No Hp. 081234642122 </t>
  </si>
  <si>
    <t>Kamis, 15 Agustus 2024</t>
  </si>
  <si>
    <t>06.30 s/d 07.35 Wita</t>
  </si>
  <si>
    <t>Menindaklanjuti laporan warga perihal meminta bantuan evakuasi ular yang berada di dalam rumah beliau beralamat Jl. Abadi 3 Komp. Sejahtera RT. 06 RW. 07 Kel. Guntung Manggis Kec. Landasan Ulin. Petugas menuju lokasi pelapor dan melakukan pencarian. Petugas tidak berhasil menemukan ular tesebut. Petugas mengerahkan 1 Unit Ops Damkar Ton VI.</t>
  </si>
  <si>
    <t>Agustina No Hp. 087716221801</t>
  </si>
  <si>
    <t>11.00 s/d 13.10 Wita</t>
  </si>
  <si>
    <t>Menindaklanjuti permintaan  perihal penyiraman jalan Lap. Murjani jalur Anggota Paskibra Kota Banjarbaru melakukan latihan pengibaran bendera menjelang tanggal 17 Agustus agar tidak panas dan licin akibat pasir. Petugas melakukan penyiraman secara menyeluruh dan bersih dari pasir. Petugas mengerahkan 1 Unit Ops Damkar Ton VII.</t>
  </si>
  <si>
    <t>Kepala Bagian Umum Setdako Banjarbaru melalui Kepala UPT Damkar Banjarbaru</t>
  </si>
  <si>
    <t>Jum`at, 16 Agustus 2024</t>
  </si>
  <si>
    <t>16.50 s/d 18.15 Wita</t>
  </si>
  <si>
    <t>Menindaklanjuti laporan warga perihal meminta bantuan evakuasi ular di dalam kamar mandi rumah beliau beralamat Jl. Rahayu No. 51 RT. 01 RW. 06 Sidodadi Kel. Loktabat Selatan Kec. Banjarbaru Selatan. Setelah dilakukan pencarian di sudut-sudut ruangan dapur dan sekitarnya ular tidak berhasil ditemukan. Petugas mengerahkan 1 Unit Ops Damkar Kajama Tangki.</t>
  </si>
  <si>
    <t>Herni No Hp. 081351066766</t>
  </si>
  <si>
    <t>Sabtu, 17 Agustus 2024</t>
  </si>
  <si>
    <t>00.15 s/d 01.05 Wita</t>
  </si>
  <si>
    <t>Menindaklanjuti laporan warga perihal meminta bantuan evakuasi musang di atas plafon rumah beliau karena sudah mengganggu beralamat Jl. Jambi RT. 01 RW. 03 Komp. Clause Reffe Kel. Loktabat Selatan Kec. Banjarbaru Selatan. Petugas menuju lokasi pelapor dan melakukan pencarian. Musang tidak ditemukan diperkirakan musang keluar melalui celah atap. Petugas mengerahkan 1 Unit Ops Damkar.</t>
  </si>
  <si>
    <t>Ibu Lily No Hp. 087716281433</t>
  </si>
  <si>
    <t>Minggu, 18 Agustus 2024</t>
  </si>
  <si>
    <t>07.15 s/d 08.20 Wita</t>
  </si>
  <si>
    <t>Menindaklanjuti laporan warga perihal meminta bantu untuk mengganti ban mobil beliau yang bocor beralamat Jl. Merbabu No. 03 RT. 23 RW. 05 Kel. Kemuning Kec. Banjarbaru Selatan. Petugas langsung menuju lokasi pelapor dan melakukan pergantian ban yang bocor. Petugas berhasil mengganti ban mobil tersebut. Petugas mengerahkan 1 Unit Ops Damkar Ton III</t>
  </si>
  <si>
    <t>Hj. Siti Thaibah No Hp. 081349380042</t>
  </si>
  <si>
    <t>08.48 s/d 09.30 Wita</t>
  </si>
  <si>
    <t>Menindaklanjuti lapora warga perihal meminta bantuan evakuasi anjing liar yang tercebur kedalam sumur kering di lahan kosong belakang rumah beralamat Komp. Guntung Harapan Mas RT. 018 RW. 003 Blok Q No. 18 Kel. Guntung Manggis Kec. Landasan Ulin. Petugas berhasil mengevakuasi anjing tersebut. Petugas mengerahkan 1 Unit Ops Damkar Kajama Rescue.</t>
  </si>
  <si>
    <t>Ibu Ira R No Hp. 087783009559</t>
  </si>
  <si>
    <t>Senin, 19 Agustus 2024</t>
  </si>
  <si>
    <t>09.08 s/d 09.44 Wita</t>
  </si>
  <si>
    <t xml:space="preserve">Menindaklanjuti laporan warga perihal meminta bantuan evakuasi ular yang berjenis Cobra Hitam yang berada di teras rumah beliau beralamat Jl. Karang Anyar I Gg. Ar Razzaq Kel, Loktabat Utara Kec. Banjarbaru Utara. Petugas menuju lokasi pelapor dan melakukan pencarian. Ular berhasil di evakuasi dan dilepasliarkan oleh petugas. Petugas mengerahkan 1 Unit Ops Damkar Kajama Rescue. </t>
  </si>
  <si>
    <t>Bapak Dudi No Hp. 081909616660</t>
  </si>
  <si>
    <t>Selasa, 20 Agustus 2024</t>
  </si>
  <si>
    <t>01.00 s/d 01.50 Wita</t>
  </si>
  <si>
    <t>Menindaklanjuti laporan warga perihal meminta bantuan evakuasi ular berjenis phyton di atas plafon dapur rumah beliau beralamat Jl. Angkasa Komp. BMG No. 04 RT. 018 RW. 004 Kel. Syamsuddin Noor Kec. Landasan Ulin. Ular berhasil di evakuasi dan dilepasliarkan. Petugas mengerahkan 1 Unit Ops Damkar Kajama Tangki.</t>
  </si>
  <si>
    <t xml:space="preserve">Surya No Hp. 085889184404 </t>
  </si>
  <si>
    <t>10.41 s/d 11.22 Wita</t>
  </si>
  <si>
    <t>Menindaklanjuti Laporan warga perihal meminta bantuan evakuasi ular yang berada dirumah beliau beralamat Jl. Taman Palam Ari RT. 02 RW. 06 Kel. Komet Kec. Banjarbaru Utara. Ular berhasil di evakuasi dan dilepasliarkan. Petugas mengerahkan 1 Unit Ops Damkar Kajama Rescue.</t>
  </si>
  <si>
    <t>Bapak Abaw No Hp. 089656780109</t>
  </si>
  <si>
    <t>Rabu, 21 Agustus 2024</t>
  </si>
  <si>
    <t>07.20 s/d 08.10 Wita</t>
  </si>
  <si>
    <t xml:space="preserve">Menindaklanjuti laporan warga perihal meminta bantuan evakuasi kucing yang terjepit di Rolling Door beralamat Toko Shopaholic Jl. Panglima Batur Timur Kel. Komet Kec. Banjarbaru Utara. Kucing berhasil di evakuasi. Petugas mengerahkan 1 Unit Ops Damkar Kajama Rescue. </t>
  </si>
  <si>
    <t>Anggun No Hp. 083152235121</t>
  </si>
  <si>
    <t>16.14 s/d 17.11 Wita</t>
  </si>
  <si>
    <t>Firmansyah No Hp. 082142551065</t>
  </si>
  <si>
    <t>orang tercebur</t>
  </si>
  <si>
    <t>Menindaklanjuti laporan warga perihal meminta bantuan evakuasi orang tercebur ke dalam sumur yang beralamat Jl. Jenaka RT. 003 RW. 005 Kel. Guntung Paikat Kec. Banjarbaru Selatan. Petugas langsung menuju lokasi pelapor dan melakukan evakuasi. Petugas berhasil mengevakuasi korban tersebut dengan selamat selanjutnya diserahkan kepada Tim Kesehatan Dinkes untuk pengobatan lebih lanjut. Petugas mengerahkan 1 Unit Ops Damkar Kajama Rescue.</t>
  </si>
  <si>
    <t>Jum`at, 23 Agustus 2024</t>
  </si>
  <si>
    <t>07.10 s/d 08.10 Wita</t>
  </si>
  <si>
    <t>Menindaklanjuti laporan warga perihal meminta bantuan evakuasi kucing yang tercebur ke dalam sumur beralamat Jl. Budy Waluyo No. 08 RT. 07 RW. 02 Kel. Sungai Ulin Kec. Banjarbaru Utara. Kucing berhasil di evakuasi dengan selamat. Petugas mengerahkan 1 Unit Ops Damkar Ton III.</t>
  </si>
  <si>
    <t xml:space="preserve">Lana No Hp. 087816331055 </t>
  </si>
  <si>
    <t>Sabtu, 24 Agustus 2024</t>
  </si>
  <si>
    <t>07.30 s/d 08.15 Wita</t>
  </si>
  <si>
    <t>Menindaklanjuti laporan warga perihal meminta bantuan evakuasi ular yang berada dalam rumah beralamat Gg. Rambutan No. 43 Komp. Beringin RT. 26 RW. 05 Kel. Sungai Besar Kec. Banjarbaru Selatan. Petugas menuju lokasi pelapor dan melakukan pencarian. Petugas berhasil mengevakuasi ular dan dilepasliarkan. Petugas mengerahkan 1 Unit Ops Damkar Ton III.</t>
  </si>
  <si>
    <t xml:space="preserve">Hafis No Hp. 081528634015 </t>
  </si>
  <si>
    <t>Minggu, 25 Agustus 2024</t>
  </si>
  <si>
    <t>10.50 s/d 11.40 Wita</t>
  </si>
  <si>
    <t>Menindaklanjuti laporan warga perihal meminta bantuan evakuasi tentang adanya musang di atas plafon rumah beliau beralamat Jl. Pondok Jeruk Komp. Damai Sejahtera II RT. 19 RW. 08 Kel. Loktabat Utara Kec. Banjarbaru Utara. Petugas menuju lokasi pelpor dan melakukan pencarian di atas plafon. Petugas tidak menemukan musang tersebut. Petugas mengerahkan 1 Unit Ops Damkar Kajama Rescue.</t>
  </si>
  <si>
    <t>Gini Saputra No Hp. 081345011484</t>
  </si>
  <si>
    <t>Senin, 26 Agustus 2024</t>
  </si>
  <si>
    <t>07.55 s/d 08.15 Wita</t>
  </si>
  <si>
    <t>Menindaklanjuti laporan warga perihal meminta bantuan evakuasi ular yang berada di dalam kamar beliau beralamat Komp. Persada Kalimantan Blok. D 02 RT. 26 RW. 03 Kel. Kemuning Kec. Banjarbaru Selatan. Ular berjenis cobra berhasil di evakuasi dan dilepasliarkan. Petugas mengerahkan 1 Unit Ops Damkar Kajama Rescue.</t>
  </si>
  <si>
    <t xml:space="preserve">M. Zai No Hp. 0895706131892 </t>
  </si>
  <si>
    <t>10.13 s/d 11.01 Wita</t>
  </si>
  <si>
    <t>Menindaklanjuti laporan warga perihal meminta bantuan evakuasi ular yang berada di dalam rumah beliau beralamat Jl. R.O Ulin Komp. Loktabat Asri No. 28 RT. 03 RW. 02 Kel. Loktabat Selatan Kec. Banjarbaru Selatan. Petugas melakukan pencarian di sudut-sudut rumah dan ular tidak berhasil ditemukan. Petugas mengerahkan 1 Unit Ops Damkar Ton III.</t>
  </si>
  <si>
    <t>Zulyadin Mukti No Hp. 082156555545</t>
  </si>
  <si>
    <t>Selasa, 27 Agustus 2024</t>
  </si>
  <si>
    <t>22.21 s/d 22.50 Wita</t>
  </si>
  <si>
    <t>Menindaklanjuti laporan warga perihal meminta bantuan evakuasi ular berjenis cobra di teras rumah beliau beralamat Perumahan Pondok Huni Ibunda II Jl. Karang Anyar II RT. 19 RW. 08 Blok B No. 63 Kel. Loktabat Utara Kec. Banjarbaru Utara. Ular berhasil di evakuasi dan dilepasliarkan. Petugas mengerahkan 1 Unit Ops Damkar Ton III.</t>
  </si>
  <si>
    <t>Muhammad Deo No Hp. 083143860710</t>
  </si>
  <si>
    <t>Rabu, 28 Agustus 2024</t>
  </si>
  <si>
    <t>07.09 s/d 08.00 Wita</t>
  </si>
  <si>
    <t>Menindaklanjuti laporan warga perihal meminta bantuan untuk menyemprot dan membersihkan jalan bekas aktifitas monilisasi pengecoran yang membuat jalanan umum dipenuhi dengan ceceran semen yang dapat membahayakan pengguna jalan beralamat Jl. STM Kel. Komet Kec. Banjarbaru Utara. Jalan berhasil dibersihkan dengan cara di semprot. Petugas mengerahkan 1 Unit Ops Damkar Ton VII.</t>
  </si>
  <si>
    <t>Zum Adrianto No Hp. 085705517118</t>
  </si>
  <si>
    <t>17.55 s/d 18.30 Wita</t>
  </si>
  <si>
    <t>Menindaklanjuti laporan warga melaporkan tentang adanya sarang lebah yang bersarang di Toilet rumah beliau beralamat Komp. Benawa Raya Jl. Musdalifah RT. 18 RW. 03 Kel. Guntung Manggis Kec. Landasan Ulin. Petugas langsung menuju lokasi dan melakukan pengecekan. Di lokasi lebah tidak ada lagi hanya tersisa sarangnya, maka petugas membersihkan sarang lebah tersebut. Petugas mengerahkan 1 Unit Ops Damkar Ton III.</t>
  </si>
  <si>
    <t>Bapak Andi datang langsung ke UPT Damkar</t>
  </si>
  <si>
    <t>Jum`at, 30 Agustus 2024</t>
  </si>
  <si>
    <t>Menindaklanjuti laporan warga perihal meminta bantuan evakuasi ular yang berada dirumah beliau beralamat Jl. Soeratno No. 093 Komp. Griya Manunggal RT. 06 RW. 02 Kel. Guntung Payung Kec. Landasan Ulin. Petugas menuju lokasi pelapor dan melakukan pencarian. Ular tidak berhasil ditemukan. Petugas mengerahkan 1 Unit Ops Damkar Ton III.</t>
  </si>
  <si>
    <t>Bapak Totok No Hp. 08123462225</t>
  </si>
  <si>
    <t>10.41 s/d 11.45 Wita</t>
  </si>
  <si>
    <t>Menindaklanjuti laporan warga perihal meminta bantuan evakuasi kucing yang terjebak di atas plafon beralamat Jl. P. Suriansyah Ujung RT. 03 RW. 03 No. 5 A Kel. Mentaos Kec. Banjarbaru Utara. Petugas langsung menuju lokasi pelapor dan melakukan pencarian di atas plafon. Di atas plafon petugas tidak menemukan adanya kucing. Petugas mengerahakan 1 Uni Ops Damkar Ton III.</t>
  </si>
  <si>
    <t>Ahmad Amrullah No Hp. 082202194970</t>
  </si>
  <si>
    <t>Sabtu, 31 Agustus 2024</t>
  </si>
  <si>
    <t>07.00 s/d 08.35 Wita</t>
  </si>
  <si>
    <t>Menindaklanjuti laporan warga perihal meminta bantuan evakuasi ular yang terlihat di dapur rumah kost beralamat Jl.Wanabakti RT. 10 RW. 13 Kel. Sungai Besar Kec. Banjarbaru Selatan. Petugas menuju lokasi pelapor dan melakukan pencarian diberbagai sudut ruangan. Petugas tidak menemukan ular tersebut diperkirakan ular keluar dari celah dinding. Petugas mengerahkan 1 Unit Ops Damkar Ton III.</t>
  </si>
  <si>
    <t>Cristio Avent Yogitianto No Hp. 087714142276</t>
  </si>
  <si>
    <t>19.11 s/d 19.50 Wita</t>
  </si>
  <si>
    <t>Menindaklanjuti laporan warga perihal meminta bantuan untuk evakuasi kucing yang tercebur ke sumur beralamat Jl. Sukarelawan Gg. Dahlia No. 45 RT.24 RW. 10 Kel. Loktabat Utara Kec. Banjarbaru Utara. Petugas langsung menuju lokasi pelapor dan melakukan evakuasi. Kucing berhasil di evakuasi. Petugas mengerahkan 1 Unit Ops Damkar Ton III.</t>
  </si>
  <si>
    <t>Dahlia Shofi A No Hp. 085249940577</t>
  </si>
  <si>
    <t>Minggu, 1 September 2024</t>
  </si>
  <si>
    <t>23.01 s/d 23.09 Wita</t>
  </si>
  <si>
    <t>Menindaklanjuti laporan perihal meminta bantuan evakuasi handphone yang tercebur ke dalam drainase beralamat Jl. A. Yani Km. 34 Kel. Komet Kec. Banjarbaru Utara. Handphone berhasil di evakuasi. Petugas mengerahkan 1 Unit Ops Damkar Kajama Rescue.</t>
  </si>
  <si>
    <t xml:space="preserve"> Call Center 112 warga an Rahmat No Hp. 081254523553</t>
  </si>
  <si>
    <t>handphone</t>
  </si>
  <si>
    <t>Senin, 2 September 2024</t>
  </si>
  <si>
    <t>07.10 s/d 08.20 Wita</t>
  </si>
  <si>
    <t xml:space="preserve">Menindaklanjuti laporan warga perihal meminta bantuan evakuasi mobil pelapor yang mogok di jalan beralamat Jl. A. Yani Km. 34 Kel. Kemuning Kec. Banjarbaru Selatan. Mobil berhasil di evakuasi dengan cara di dorong. Petugas mengerahkan 1 Unit Ops Damkar Ton VI. </t>
  </si>
  <si>
    <t xml:space="preserve">Bapak Aji No Hp. 0882021334026 </t>
  </si>
  <si>
    <t>15.51 s/d 16.20 Wita</t>
  </si>
  <si>
    <t xml:space="preserve">Menindaklanjuti laporan warga perihal meminta bantuan evakuasi uar yang berada di dalam kamar kost beralamat Jl. Komplek Beringin Kost Putri Ananda RT. 029 RW. 005 Kel. Sungai Besar Kec. Banjarbaru Selatan. Petugas berhasil mengevakuasi ular dan dilepasliarkan. Petugas mengerahlan 1 Unit Ops Damkar Kajama Rescue. </t>
  </si>
  <si>
    <t xml:space="preserve"> Call Center 112 an. Eka Ghaitsa No Hp. 08125594524</t>
  </si>
  <si>
    <t>Selasa, 3 September 2024</t>
  </si>
  <si>
    <t>Menindaklanjuti laporan warga perihal meminta bantuan evakuasi sarang tawon yang berada di dahan pohon halaman rumah beliau beralamat Komp. Kevin Resort No. A 24 RT. 045 RW. 010 Kel. Loktabat Utara Kec. Banjarbaru Utara. Sarang tawon berhasil di evakuasi dan dimusnahkan. Petugas mengerahkan 1 Unit Ops Damkar Ton III.</t>
  </si>
  <si>
    <t>Abdul Rahman Hakim No Hp. 081352731359</t>
  </si>
  <si>
    <t>Rabu, 4 September 2024</t>
  </si>
  <si>
    <t>01.37 s/d 03.10 Wita</t>
  </si>
  <si>
    <t>Menindaklajuti laporan warga perihal meminta bantuan evakuasi ular yang berada di ruang tamu rumah beliau karena sudah membuat takut orang rumah beralamat Jl. Kurnia Komp. Kurnia Lestari 2 RT. 06 RW. 03 Kel. Landasan Ulin Utara Kec. Lianggang. Petugas menuju lokasi pelapor dan melakukan pencarian. Ular tidak berhasil ditemukan. Petugas mengerahkan 1 Unit Ops Damkar Ton III</t>
  </si>
  <si>
    <t>Meyti Dowah No Hp. 081349697676</t>
  </si>
  <si>
    <t>Kamis, 5 September 2024</t>
  </si>
  <si>
    <t>00.10 s/d 01.50 Wita</t>
  </si>
  <si>
    <t>Menindaklanjuti laporan warga perihal meminta bantuan evakuasi kucing yang naik ke atas pohon milik beliau beralamat Jl. Kopi Kel. Guntung Manggis Kec. Landasan Ulin. Kucing berhasil di evakuasi dengan selamat. Petugas mengerahkan 1 Unit Ops Damkar Kajama Rescue.</t>
  </si>
  <si>
    <t>Ibu Ema Naura No Hp. 081295175546</t>
  </si>
  <si>
    <t>19.39 s/d 20.41 Wita</t>
  </si>
  <si>
    <t>Menindaklanjuti laporan warga perihal meminta bantuan evakuasi kucing yang masuk ke dalam kolong mesin mobil beralamat Jl. RO Ulin RT. 04 RW. 02 Kel. Loktabat Selatan Kec. Banjarbaru Selatan. Petugas berhasil mengevakuasi kucing tersebut dengan selamat. Petugas mengerahkan 1 Unit Ops Damkar Kajama Rescue.</t>
  </si>
  <si>
    <t xml:space="preserve"> Via Call Center 112 an. Dewi No Hp. 089693169370</t>
  </si>
  <si>
    <t>Jum`at, 6 September 2024</t>
  </si>
  <si>
    <t>00.07 s/d 02.00 Wita</t>
  </si>
  <si>
    <t>Menindaklanjuti laporan warga perihal meminta bantuan evakuasi sarang lebah, lebah tersebut memasuki rumah beliau beralamat Jl. Markisa Komp. Pondok Bumi Lestari RT. 27 RW. 06 No. G 02 Kel. Sungai Ulin Kec. Banjarbaru Utara. Petugas berhasil mengevakuasi sarang lebah dan dimusnahkan dengan cara dibakar. Petugas mengerahkan 1 Unit Ops Damkar Kajama Tangki.</t>
  </si>
  <si>
    <t xml:space="preserve">Ocha No Hp. 082250107727 </t>
  </si>
  <si>
    <t>13.35 s/d 14.30 Wita</t>
  </si>
  <si>
    <t>Menindaklajuti laporan warga perihal meminta bantuan evakuasi anjing yang tercebur kedalam sumur rumah beliau beralamat Komp. Griya Wahyu Blok A No. 2 RT. 01 RW. 01 Kel. Guntung Paikat kec. Banjarbaru Selatan. Anjing berhasil di evakuasi dengan selamat. Petugas mengerahkan 1 Unit Ops Damkar. Ton III.</t>
  </si>
  <si>
    <t>Alfina Riswan No Hp. 083141924233</t>
  </si>
  <si>
    <t>Sabtu, 7 September 2024</t>
  </si>
  <si>
    <t>00.10 s/d 01.10 Wita</t>
  </si>
  <si>
    <t>Menindaklajuti laporan warga perihal meminta bantuan evakuasi ular yang berada di celah atap kamar mandi beralamat Jl. Nakula (belakang SDN 1 Kemuning) RT. 12 RW. 03 Kel. Kemuning Kec. Banjarbaru Selatan. Petugas melakukan pencarian dan tidak ditemukan ular tersebut. Petugas mengerahkan 1 Unit Ops Damkar Ton III.</t>
  </si>
  <si>
    <t xml:space="preserve">Putri No Hp. 085787073386 </t>
  </si>
  <si>
    <t>19.03 s/d 21.30 Wita</t>
  </si>
  <si>
    <t>Menindaklanjuti laporan warga perihal meminta bantuan evakuasi anjing liar yang tercebur ke dalam sumur dihalaman rumah beralamat Komp. Green Tasbih Regency No. C 04 Kel. Kemuning Kec. Banjarbaru Selatan. Anjing berhasil di evakuasi dan dilepasliarkan. petugas mengerahkan 1 Unit Ops Damkar Kajama Rescue.</t>
  </si>
  <si>
    <t>Ibu Wiwin No Hp. 082318632339</t>
  </si>
  <si>
    <t>Minggu, 8 September 2024</t>
  </si>
  <si>
    <t>09.03 s/d 09.30 Wita</t>
  </si>
  <si>
    <t>Menindaklanjuti laporan warga perihal meminta bantuan evakuasi ular yang masuk kedalam kamar beralamat Komp. Banua Permai Jl. Cempaka Sari RT. 34 RW. 07 Kel. Sungai Besar Kec. Banjarbaru Selatan. Petugas berhasil mengevakuasi ular dan dilepasliarkan. Petugas mengerahkan 1 Unit Ops Damkar Ton VII.</t>
  </si>
  <si>
    <t xml:space="preserve">Aulia No Hp. 083817595929 </t>
  </si>
  <si>
    <t>Senin, 9 September 2024</t>
  </si>
  <si>
    <t>06.10 s/d 07.10 Wita</t>
  </si>
  <si>
    <t>Menindaklanjuti laporan warga perihal meminta bantuan evakuasi anakan ular yang terlihat di dapur rumah berlamat Jl. Sriwijaya Komp. Sriwijaya Indah I No. B17 RT. 07 RW. 01 Kel. Landasan Ulin Utara Kec. Liang Anggang. Ular berhasil di evakuasi dan dilepasliarkan. Petugas mengerahkan 1 Unit Ops Damkar Kajama Tangki.</t>
  </si>
  <si>
    <t>Tiara Nauli No Hp. 089657551412</t>
  </si>
  <si>
    <t>15.43 s/d 18.10 Wita</t>
  </si>
  <si>
    <t xml:space="preserve">Menindaklanjuti laporan warga  perihal meminta bantuan evakuasi pohon tumbang yang mengenai warung beralamat Jl. Lanan Kel. Kemuning Kec. Banjarbaru Selatan. Petugas langsung menuju lokasi dan melakukan evakuasi. Evakuasi berhasil dilakukan dan dibersihkan. Petugas mengerahkan 1 Unit Ops Damkar Ton III </t>
  </si>
  <si>
    <t>No Hp. 081348895900</t>
  </si>
  <si>
    <t>Selasa, 10 September 2024</t>
  </si>
  <si>
    <t>Menindaklanjuti laporan warga perihal meminta bantuan evakuasi ular yang berada dalam sumur rumah beliau beralamat Komp Guntung Harapan Mas Blok M 12 Kel Guntung Manggis Kec. Landasan Ulin. Petugas berhasil mengevakuasi ular dan dilepasliarkan. Petugas mengerahkan 1 Unit Ops Damkar Ton III.</t>
  </si>
  <si>
    <t>Bapak Suparno No Hp.082255316055</t>
  </si>
  <si>
    <t>09.50 s/d 10.40 Wita</t>
  </si>
  <si>
    <t>Menindaklanjuti laporan warga  perihal meminta bantuan evakuasi ular di dalam rumah beliau beralamat Jl. Agung Raya No. 52 RT. 03 RW. 04 Kel. Loktabat Selatan Kec. Banjarbaru Selatan. Petugas melakukan pencarian dan ular tidak berhasil ditemukan. Petugas mengerahkan 1 Unit Ops Damkar Ton III</t>
  </si>
  <si>
    <t>Bapak Prawito No Hp. 082148380390</t>
  </si>
  <si>
    <t>Kamis, 12 September 2024</t>
  </si>
  <si>
    <t>14.09 s/d 15.43 Wita</t>
  </si>
  <si>
    <t>Menindaklanjuti lapoan Kepala Sekolah SMPN 11 Banjarbaru perihal meminta bantuan evakuasi monyet liar yang sudah meresahkan guru dan murid Sekolah beralamat SMPN 11 Banjarbaru Jl. Padang Golf RT. 07 RW. IV Kel. Landasan Ulin Utara Kec. Liang Anggang. Petugas berhasil mengevakuasi monyet dan dilepasliarkan. Petugas mengerahkan 1 Unit Ops Damkar Kajama Rescue.</t>
  </si>
  <si>
    <t>Bapak Said Fahmi No Hp. 085250070152</t>
  </si>
  <si>
    <t>Jum`at, 13 September 2024</t>
  </si>
  <si>
    <t>06.35 s/d 07.50 Wita</t>
  </si>
  <si>
    <t>Menindaklanjuti laporan warga perihal meminta bantuan evakuasi ular yang berada di atas plafon rumah beliau beralamat Jl. Galaxy Komp. Pondok Manggis Asri Kel. Guntung Manggis Kec. Landasan Ulin. Petugas melakukan pencarian dan ular berhasil di evakuasi. Petugas mengerahkan 1 Unit Ops Damkar Ton III</t>
  </si>
  <si>
    <t>Nurkasihani No Hp. 081346532504</t>
  </si>
  <si>
    <t xml:space="preserve">Memindaklanjuti laporan warga perihal meminta bantuan evakuasi ular yang berada didalam rumah beliau beralamat Komp. Global Jl. Tanah Abang No. B 02 RT. 24 RW. 06 Kel. Sungai Ulin Kec. Banjarbaru Utara. Ular berhasil mengevakuasi dan dilepasliarkan. Petugas mengerahkan 1 Unit Ops Damkar Kajama Tangki. </t>
  </si>
  <si>
    <t>Angga Iman No Hp. 0895375805500</t>
  </si>
  <si>
    <t>Sabtu, 14 September 2024</t>
  </si>
  <si>
    <t>11.09 s/d 12.00 Wita</t>
  </si>
  <si>
    <t>Menindaklanjuti laporan warga perihal meminta bantuan evakuasi ular yang terlihat di dalam garasi beralamat Jl. Galaksi Komp. Pondok Manggis Asri No. 33 RT. 27 RW. 04 Kel. Guntung Manggis Kec. Landasan Ulin. Ular berhasil di evakuasi dan dilepasliarkan. Petugas mengerahkan 1 Unit Ops Damkar Ton III.</t>
  </si>
  <si>
    <t>Agus Fitriadi No Hp. 081150965567</t>
  </si>
  <si>
    <t>Minggu, 15 September 2024</t>
  </si>
  <si>
    <t>19.22 s/d 20.30 Wita</t>
  </si>
  <si>
    <t>Menindaklanjuti laporan warga perihal meminta bantuan evakuasi kucing yang tercebur ke dalam sumur beralamat Jl. Al Jafri No. 73 RT. 14 RW. 03 Kel. Kemuning Kec. Banjarbaru Selatan. Kucing berhasilm di evakuasi dengan selamat. Petugas mengerahkan 1 Unit Ops Damkar Ton III.</t>
  </si>
  <si>
    <t>Ibu Ernawati No Hp. 081351988777</t>
  </si>
  <si>
    <t>Senin, 16 September 2024</t>
  </si>
  <si>
    <t>05.20 s/d 06.00 Wita</t>
  </si>
  <si>
    <t>Menindaklanjuti laporan warga perihal meminta bantuan evakuasi bangkai anjing dihalaman rumah beliau sekaligus dikuburkan beralamat Komp. Perumahan Polisi RT. 03 RT. 02 Kel. Guntung Paikat Kec. Banjarbaru Selatan Selatan. Bangkai berhasil di evakuasi dan dikuburkan. Petugas mengerahkan 1 Unit Ops Damkar Ton III.</t>
  </si>
  <si>
    <t>Ibu Husna No Hp. 085752679561</t>
  </si>
  <si>
    <t>09.22 s/d 09.58 Wita</t>
  </si>
  <si>
    <t>Menindaklanjuti laporan perihal meminta bantuan evakuasi ular yang berada di dalam rumah berlamay Jl. Sidodadi I RT. 05 RW. 02 Kel. Guntung Payung Kec. Landasan Ulin. Petugas berhasil mengevakuasi ular dan dilepasliarkan. Petugas mengerahkan 1 Unit Ops Damkar Kajama Rescue.</t>
  </si>
  <si>
    <t xml:space="preserve">Kasat Pol PP Kota Banjarbaru melalui Kepala UPT Damkar </t>
  </si>
  <si>
    <t>Selasa, 17 September 2024</t>
  </si>
  <si>
    <t>07.10 s/d 08.00 Wita</t>
  </si>
  <si>
    <t>Menindaklanjuti laporan warga perihal meminta bantuan evakuasi biawak yang berada di dalam rumah beliau beralamat Jl. H.M Mistar Cokrokusumo RT. 15 RW. 05 Kel. Cempaka Kec. Cempaka. Biawak berhasil di evakuasi dan dilepasliarkan. Petugas mengerahkan 1 Unit Ops Damkar Ton VII.</t>
  </si>
  <si>
    <t>Marhani No Hp. 08925334468</t>
  </si>
  <si>
    <t>Kamis, 19 September 2024</t>
  </si>
  <si>
    <t>07.35 s/d 09.40 Wita</t>
  </si>
  <si>
    <t>menindaklanjuti laporan warga perihal pembersihan jalan dan halaman Musholla  beralamat Jl. Darul Hijrah Komp. Widya Citra Pesona RT. 27 RW. 08 Kel. Loktabat Utara Kec, Banjarbaru Utara. Petugas melakukan penyemprotan jalan dan halaman bekas tanah yang dapat membahayakan pengguna jalan dan pengunjung Musholla. Petugas mengerahkan 1 Unit Ops Damkar Ton VII.</t>
  </si>
  <si>
    <t xml:space="preserve">Supriyatno No Hp. 082132460014 </t>
  </si>
  <si>
    <t>Minggu, 22 September 2024</t>
  </si>
  <si>
    <t>19.36 s/d 20.47 Wita</t>
  </si>
  <si>
    <t>Menindaklanjuti laporan warga perihal meminta bantuan evakuasi ular yang berada di dalam sumur rumah beliau beralamat Jl. Bir Ali Komp. Benawa Raya RT. 46 RW. 03 Kel. Guntung Manggis Kec. Landasan Ulin. 2 Ekor Ular berhasil di evakuasi dan dilepasliarkan. Petugas mengerahkan 1 Unit Ops Damkar Ton III.</t>
  </si>
  <si>
    <t>Niko Zuniar No Hp. 085248808085</t>
  </si>
  <si>
    <t>Senin, 23 September 2024</t>
  </si>
  <si>
    <t>14.06 s/d 14.40 Wita</t>
  </si>
  <si>
    <t>Menindaklanjuti laporan warga perihal meminta bantuan evakuasi ular yang terlihat di belakang pekarangan rumah beralamat Jl. Jeruk Komp. Nadia Permai RT. 27 RW. 06 Kel. Sungai Ulin Kec. Banjarbaru Utara. Ular berhasil di evakuasi dan dilepasliarkan. Petugas mengerahkan 1 Unit Ops Damkar Ton VII.</t>
  </si>
  <si>
    <t>Raha Riani No Hp. 081250031169</t>
  </si>
  <si>
    <t>Selasa, 24 September 2024</t>
  </si>
  <si>
    <t>01.00 s/d 01.20 Wita</t>
  </si>
  <si>
    <t>Menindaklanjuti laporan warga perihal meminta bantuan evakuasi cincin yang tidak bisa dilepas dari jari beralamat Komp. Amaco RT. 10 RW. IX No. 135 Kel. Loktabat Utara Kec. Banjarbaru Utara. Cincin berhasil di evakuasi dengan cara dipotong, Petugas mengerahkan 1 Unit Ops Damkar Kajama Rescue.</t>
  </si>
  <si>
    <t>Farza Aliansyah</t>
  </si>
  <si>
    <t>09.49 s/d 10.26 Wita</t>
  </si>
  <si>
    <t>Menindaklanjuti laporan warga perihal meminta bantuan evakuasi ular yang berada di dapur rumah beliau beralamat Jl. Kasturi 2 Blok E9 RT. 14 RW. 03 Kel. Sungai Besar Kec. Banjarbaru Selatan. Ular berhasil di evakuasi dan dilepasliarkan. Petugas mengerahkan 1 Unit Ops Damkar Ton III.</t>
  </si>
  <si>
    <t>Pak Dilan No Hp. 081348019100</t>
  </si>
  <si>
    <t>Rabu, 25 September 2024</t>
  </si>
  <si>
    <t>14.35 s/d 15.20 Wita</t>
  </si>
  <si>
    <t>Menindaklanjuti laporan warga perihal meminta bantuan evakuasi ular yang berada di bawah rak sepatu beralamat Jl. Karang Anyar 2 Komp. Pondok Labu Regency Kel. Loktabat Utara Kec. Banjarbaru Utara. Ular berhasil di evakuasi dan dilepasliarkan. Petugas menegerahkan 1 Unit Ops Damkar Kajama Rescue</t>
  </si>
  <si>
    <t>Nur Halifah No Hp. 0823 51695474</t>
  </si>
  <si>
    <t>Kamis, 26 September 2024</t>
  </si>
  <si>
    <t>08.07 s/d 08.40 Wita</t>
  </si>
  <si>
    <t>Menindaklanjuti laporan warga perihal meminta bantuan evakuasi ular yang terlihat diteras rumah beliau beralamat Jl. Sukarelawan Permai I Blok H No. 9 RT. 45 RW. 10 Kel. Loktabat Utara Kec. Banjarbaru Utara. Ular berhasil di evakuasi dan dilepasliarkan. Petugas mengerahkan 1 Unit Ops Damkar Kajama Tangki.</t>
  </si>
  <si>
    <t>Hani Humairi No Hp. 08125016789</t>
  </si>
  <si>
    <t>Jum`at, 27 September 2024</t>
  </si>
  <si>
    <t>07.30 s/d 08.45 Wita</t>
  </si>
  <si>
    <t>Menindaklanjuti laporan warga perihal meminta bantuan cek bagian atas plafon yang menurut beliau adanya suara yang membuat takut beralamat Jl. Al-Jafri RT. 14 RW. 03 Kel. Kemuning Kec. Banjarbaru Selatan. Petugas langsung menuju lokasi pelapor dan melakukan pengecekan. Di plafon tidak ditemukan apapun. Petugas mengerahkan 1 Unit Ops Damkar Ton VII.</t>
  </si>
  <si>
    <t xml:space="preserve">Call Center 112 an. Hj. Rohana (nini ica) lansia umur 75 tahun No Hp. 085102424972 </t>
  </si>
  <si>
    <t>lansia</t>
  </si>
  <si>
    <t>12.10 s/d 13.25 Wita</t>
  </si>
  <si>
    <t>Menindaklanjuti laporan warga perihal meminta bantuan evakuasi kucing beliau yang tercebur kedalam sumur beralamat Jl. Tenggiri Komp. Harapan Jaya I Kel. Guntung Manggis Kec. Landasan Ulin. Kucing berhasil di evakuasi dengan selamat. Petugas mengerahkan 1 Unit Ops Damkar Ton III.</t>
  </si>
  <si>
    <t>Aji Pratomo No Hp. 081349698318</t>
  </si>
  <si>
    <t>Sabtu, 28 September 2024</t>
  </si>
  <si>
    <t>14.10 s/d 15.20 Wita</t>
  </si>
  <si>
    <t>Menindaklanjuti laporan warga perihal meminta bantuan evakuasi sarang lebah yang beralamat Jl. Kurnia Gg. Semangat RT. 4 RW. 3 kel. Landasan Ulin Utara Kec. Liang Anggang. Petugas berhasil mengevakuasi sarang lebah dan dimusnahkan. Petugas mengerahkan 1 Unit Ops Damkar Kajama Rescue,</t>
  </si>
  <si>
    <t>Octa Via Ningsih No Hp. 0895186994950</t>
  </si>
  <si>
    <t>Minggu, 29 September 2024</t>
  </si>
  <si>
    <t>07.00 s/d 08.00 Wita</t>
  </si>
  <si>
    <t>Menindaklanjuti laporan warga perihal meminta bantuan evakuasi ular yang berada di dalam rumah beiiau beralamat Jl. Sapat No. 06 RT. 7 RW. 2 Kel. Sungai Besar Kec. Banjarbaru Selatan. Ular berhasil di evakuasi dan dilepasliarkan. Petugas mengerahkan 1 Unit Ops Damkar Kajama Rescue.</t>
  </si>
  <si>
    <t>Bapak Raihan No Hp. 08115020110</t>
  </si>
  <si>
    <t>Menindaklanjuti laporan warga perihal meminta bantuan evakuasi mesin air yang terjatuh ke dalam sumur dengan kedalaman 12 Meter beralamat Jl. Karang Rejo Komp. Citra Palam Permai Blok Q No. 04 RT. 45 RW. 01 Kel. Guntung Manggis Kec. Landasan Ulin. Mesin air berhasil di evakuasi. Petugas mengerahkan 1 Unit Ops Damkar Kajama Rescue.</t>
  </si>
  <si>
    <t>Yanti No Hp. 085100050058</t>
  </si>
  <si>
    <t>mesin air pompa</t>
  </si>
  <si>
    <t>Senin, 30 September 2024</t>
  </si>
  <si>
    <t>16.57 s/d 17.40 Wita</t>
  </si>
  <si>
    <t>Menindaklanjuti laporan warga perihal meminta bantuan evakuasi ular yang berada dibawah dispenser rumah beliau beralamat Komp. Griya Berkah Inferium Blok O No. 17 RT. 3 RW. 1 Kel. Cempaka Kec. Cempaka. Ular berhasil di evakuasi dan dilepasliarkan. Petugas mengerahkan 1 Unit Ops Damkar Ton III.</t>
  </si>
  <si>
    <t>M. Arief Rahman No Hp. 082252809162</t>
  </si>
  <si>
    <t>Selasa, 1 Oktober 2024</t>
  </si>
  <si>
    <t>13.40 s/d 14.50 Wita</t>
  </si>
  <si>
    <t>Menindaklanjuti laporan warga perihal meminta bantuan evakuasi sarang lebah yang berada dirumah beliau beralamat Jl. Kurihing Komp. Permata Golf 3 Blok E2 RT. 06 RW. 04 Kel. Landasan Ulin Utara Kec. Liang Anggang. Petugas berhasil mengevakuasi sarang lebah dan dimusnahkan. Petugas menegerahkan 1 Unit Ops Damkar Kajama Rescue.</t>
  </si>
  <si>
    <t>Joko Susanto No Hp. 082131233620</t>
  </si>
  <si>
    <t>Rabu, 2 Oktober 2024</t>
  </si>
  <si>
    <t>10.37 s/d 11.30 Wita</t>
  </si>
  <si>
    <t>Menindaklanjuti laporan warga perihal meminta bantuan evakuasi ular yang terlihat di drainase depan rumah pelapor beralamat Jl. Soeratno Komp. Graha Permata Indah 9 Tahap 2 No. 04 Kel. Guntung Payung Kec. Landasan Ulin. Petugas melakukan pencarian dan tidak menemukan ular tersebut. Petugas mengerahkan 1 Unit Ops Damkar Ton VII.</t>
  </si>
  <si>
    <t>Itqan Mazdadi No Hp. 081952998476</t>
  </si>
  <si>
    <t>Kamis, 3 Oktober 2024</t>
  </si>
  <si>
    <t>09.25 s/d 10.29 Wita</t>
  </si>
  <si>
    <t>Menindaklanjuti laporan warga perihal meminta bantuan evakuasi monyet peliharaan yang terlepas membuat resah warga disekitar beralamat Jl. Sungai Sumba No. 87 RT. 09 RW. 04 Kel. Guntung Manggis Kec. Landasan Ulin. Monyet berhasil di evakuasi dan dikembalikan kepada pemiliknya. Petugas mengerahkan 1 Unit Ops Damkat Ton III</t>
  </si>
  <si>
    <t>Ibu Sunarmi No Hp. 081351252547</t>
  </si>
  <si>
    <t>Jum`at, 4 Oktober 2024</t>
  </si>
  <si>
    <t>Menindaklanjuti laporan warga perihal meminta bantuan evakuasi ular yang berada di dalam rumah beliau beralamat Komp. Lambung Mangkurat Regency Blok G/20 Kel. Guntung Manggis Kec. Landasan Ulin. Petugas langsung menuju lokasi pelapor dan ular tidak ditemukan. Petugas mengerahkan 1 Unit Ops Damkar Ton III.</t>
  </si>
  <si>
    <t>Sarinah No Hp. 085753905394</t>
  </si>
  <si>
    <t>Sabtu, 5 Oktober 2024</t>
  </si>
  <si>
    <t>Menindaklanjuti laporan warga perihal meminta bantuan evakuasi kunci yang masuk ke dalam drainase beralamat Jl. Intan Sari RT. 20 Kel. Sungai Besar Kec. Banjarbaru Selatan. Kunci berhasil di evakuasi dan dikembalikan kepada pemiliknya. Petugas menegerahkan 1 Unit Ops Damkar Ton III.</t>
  </si>
  <si>
    <t>Akhmad Rayyan Al Ghifari No Hp. 082350328897</t>
  </si>
  <si>
    <t>16.50 s/d 18.35 Wita</t>
  </si>
  <si>
    <t>Menindaklanjuti laporan warga perihal meminta bantuan evakuasi anak kucing yang terjebak di kap mesin mobil beralamat Jl. STM Komp. Taman Palam Asri RT. 02 RW. 06 No. 18 Kel. Komet Kec. Banjarbaru Utara. Petugas berhasil mengevakuasi anak kucing tersebut dengan selamat. Petugas mengerahkan 1 Unit Ops Damkar Kajama Tangki.</t>
  </si>
  <si>
    <t>Ilmi Fajriati No Hp. 083151874015</t>
  </si>
  <si>
    <t>Minggu, 6 Oktober 2024</t>
  </si>
  <si>
    <t>06.30 s/d 07.45 Wita</t>
  </si>
  <si>
    <t>Menindaklanjuti laporan warga perihal meminta bantuan evakuasi kucing yang terkurung dalam garasi rumah tetangga yang kosong beralamat Komp. Danau Seran 2 RT. 22 RW. 03 Kel. Guntung Manggis Kec. Landasan Ulin. Kucing berhasil di evakuasi. Petugas mengerahkan 1 Unit Ops Damkar Kajama Rescue.</t>
  </si>
  <si>
    <t>Oci No Hp. 0822560457746</t>
  </si>
  <si>
    <t>09.08 s/d 09.50 Wita</t>
  </si>
  <si>
    <t>Menindaklanjuti laporan warga perihal meminta bantuan evakuasi anjing yang masuk kedalam sumur depan rumah pelapor beralamat Komp. Graha Fitria Mandiri Blok L No. 09 RT. 13 RW. 07 Kel. Guntung Manggis Kec. Landasan Ulin. petugs menuju lokasi pelapor dan melakukan evakuasi. Petugas berhasil mengevakuasi anjing tersebut. Petugas mengerahkan 1 Unit Ops Damkar Ton III.</t>
  </si>
  <si>
    <t>Bapak Zani No Hp. 082155150537</t>
  </si>
  <si>
    <t>Senin, 7 Oktober 2024</t>
  </si>
  <si>
    <t>Menindaklanjuti laporan warga perihal meminta bantuan evakuasi ular yang berada dalam rumah beliau membuat resah beralamat Komp. Sungai Ulin Permai Kel. Sungai Ulin Kec. Banjarbaru Utara. Petugas menuju lokasi pelapor dan melakukan pencarian di sudut sudut rumah Ular tidak ditemukan. Petugas mengerahkan 1 Unit Ops Damkar Ton III</t>
  </si>
  <si>
    <t>Nirfah No Hp. 081250008271</t>
  </si>
  <si>
    <t>14.30 s/d 15.20 Wita</t>
  </si>
  <si>
    <t>Menindaklanjuti laporan warga perihal meminta bantuan evakuasi ular yang berada di rumah pelapor beralamat Jl. Bumi Berkat 9 Gang Arjuna Rt. 02 RW. 01 Kel. Sungai Besar Kec. Banjarbaru Selatan. Petugas menuju lokasi pelapor dan melakukan pencarian. Petugas berhasil mengevakuasi ular dan dilepasliarkan. Petugas mengerahkan 1 Unit Ops Damkar Ton III.</t>
  </si>
  <si>
    <t>April No Hp. 081352133116</t>
  </si>
  <si>
    <t>Selasa, 8 Oktober 2024</t>
  </si>
  <si>
    <t>07.25 s/d 08.30 Wita</t>
  </si>
  <si>
    <t>Menindaklanjuti laporan warga perihal meminta bantuan evakuasi ular yang berada dihalaman rumah pelapor beralamat Jl. Priangan No. 10 Kel. Loktabat Utara Kec. Banjarbaru Utara. Petugas berhasil mengevakuasi ular tersebut dan dilepasliarkan. Petugas mengerahkan 1 Unit Ops Damkar Ton III.</t>
  </si>
  <si>
    <t xml:space="preserve">Jafri No Hp. 081250493565 </t>
  </si>
  <si>
    <t>09.40 s/d 10.45 Wita</t>
  </si>
  <si>
    <t>Menindaklanjuti laporan warga perihal meminta bantuan evakuasi ular yang terlihat di depan pekarangan rumah pelapor beralamat Jl. Mayang Sari RT. 16 RW. 03 No. 22 Kel. Sungai Besar Kec. Banjarbaru Selatan. Petugas menuju lokasi pelapor dan melakukan pencarian dan ular tidak ditemukan. Petugas mengerahkan 1 Unit Ops Damkar Kajama Rescue.</t>
  </si>
  <si>
    <t>Neisaya Saliza Gifarini No Hp. 08215002995</t>
  </si>
  <si>
    <t>Rabu, 9 Oktober 2024</t>
  </si>
  <si>
    <t>07.15 s/d 07.50 Wita</t>
  </si>
  <si>
    <t>Menindaklanjuti laporan warga perihal meminta bantuan evakuasi ular yang berada didalam rumah pelapor beralamat Komp. Pinus Baru Jl. Banjar RT. 02 RW. 01 Kel. Mentaos Kec. Banjarbaru Utara. Ular tidak berhasil ditemukan. Petugas mengerahkan 1 Unit Ops Damkar Ton III.</t>
  </si>
  <si>
    <t>Farah No Hp. 085389888668</t>
  </si>
  <si>
    <t>20.35 s/d 21.30 Wita</t>
  </si>
  <si>
    <t>Menindaklanjuti laporan warga perihal meminta bantuan evakuasi ular yang berada dibawah karpet kamar beralamat Komp. Citra Bintang Mekatama Blok A No. 17 Kel. Sungai Ulin Kec. Banjarbaru Utara. Petugas menuju lokasi pelapor dan melakukan pencarian. Ular berhasil di evakuasi dan dilepasliarkan. Petugas mengerahkan 1 Unit Ops Damkar Ton III.</t>
  </si>
  <si>
    <t xml:space="preserve">Najwa No hp. 083827205856 </t>
  </si>
  <si>
    <t>Jum`at, 11 Oktober 2024</t>
  </si>
  <si>
    <t>09.30 s/d 11.50 Wita</t>
  </si>
  <si>
    <t>menindaklanjuti laporan warga  perihal meminta bantuan evakuasi lebah yang ingin bersarang di atas rumah pelapor beralamat Jl. Taruna Praja RT. 46 RW. 12 No. A/05 Kel. Loktabat Utara Kec. Banjarbaru Utara. Koloni lebah tersebut  berhasil di evakuasi dan dimusnahkan. Petugas mengerahkan 1 Unit Ops Damkar Kajama Tangki</t>
  </si>
  <si>
    <t>Agus Rachman No Hp. 081351979901</t>
  </si>
  <si>
    <t>Sabtu, 12 Oktober 2024</t>
  </si>
  <si>
    <t>Menindaklanjuti lapoan warga perihal mminta bantuan evakuasi cincin yang membuat jari pelapor bengkak beralamat Jl. A. Yani Km. 19 Ruko H. Unan samping pergudangan J&amp;T Express Kel. Landasan Ulin Baat Kec. Lianggang. Petugas berhasil melepas cincin tersebut. Petugas mengerahkan 1 Unit Ops Damkar Kajama Rescue.</t>
  </si>
  <si>
    <t xml:space="preserve">Bangkit No Hp. 089508403014 </t>
  </si>
  <si>
    <t>08.07 s/d 08.40 Wita20.54 s/d 21.20 Wita</t>
  </si>
  <si>
    <t>Menindaklanjuti laporan warga perihal meminta bantuan evakuasi pintu yang tidak bisa dibuka beralamat Jl. Pandu RT. 05 RW. 03 Kost H. Iyus Kel. Guntung Paikat Kec. Banjarbaru selatan. Petugas menuju lokasi pelapor dan pintu berhasil dibuka. Petugas mengerahkan 1 Unit Ops Damkar.</t>
  </si>
  <si>
    <t xml:space="preserve">Sofia No Hp. 087874114188 </t>
  </si>
  <si>
    <t>pintu rumah</t>
  </si>
  <si>
    <t>Minggu, 13 Oktober 2024</t>
  </si>
  <si>
    <t>01.10 s/d 01.50 Wita</t>
  </si>
  <si>
    <t>Menindaklanjuti laporan warga perihal meminta bnatuan evakuasi ular yang berada dihalaman rumah pelapor beralamat Jl. Arafah No. 50 RT. 46 RW. 03 Kel. Guntung Manggis Kec. Landasan Ulin. Petugas berhasil mengevakuasi ular dan dilepasliarkan. Petugas Mengerahkan 1 Unit Ops Damkar Ton III.</t>
  </si>
  <si>
    <t xml:space="preserve">Nana No Hp. 087766913510 </t>
  </si>
  <si>
    <t>14.00 s/d 15.00 Wita</t>
  </si>
  <si>
    <t>Menindaklanjuti laporan warga perihal meminta bantuan evakuasi ular yang berada di rumah beliau beralamat Jl. A. Yani Km. 29 Komp. Pondok Sejahtera No. A4 RT. 32 RW. 09 Kel. Guntung Manggis Kec. Landasan Ulin. Petugas berhasil mengevakuasi dan dilepasliarkan. Petugas mengerahkan 1 Unit Ops Damkar.</t>
  </si>
  <si>
    <t>Mika No Hp. 085754067358</t>
  </si>
  <si>
    <t>Senin, 14 Oktober 2024</t>
  </si>
  <si>
    <t>07.00 s/d 08.50 Wita</t>
  </si>
  <si>
    <t>Menindaklanjuti laporan warga perihal meminta bantuan evakuasi ular yang berada di bawah cabin mobil beliau beralamat Komp. Berlina Jaya 4 Jl. Sidirga RT. 05 RW. 02 Kel. Guntung Manggis Kec. Landasan Ulin. Ular berhasil di evakuasi dan dilepasliarkan. Petugas mengerahkan 1 Unit Ops Damkar Ton III.</t>
  </si>
  <si>
    <t xml:space="preserve">Teguh No Hp. 089690610666 </t>
  </si>
  <si>
    <t>12.14 s/d 13.05 Wita</t>
  </si>
  <si>
    <t>Menindaklanjuti laporan warga perihal meminta bantuan evakuasi ular yang terlihat di teras rumah beliau beralamat Jl. Sidumulyo Raya RT. 02 RW. 09 No. 097 Kel. Landasan Ulin Timur Kec. Landasan Ulin. Ular tidak berhasil di evakuasi. Petugas mengerahkan 1 Unit Ops Damkar Kajama Rescue.</t>
  </si>
  <si>
    <t xml:space="preserve">Ibu Lilis No Hp. 083141142388 </t>
  </si>
  <si>
    <t>Selasa, 15 Oktober 2024</t>
  </si>
  <si>
    <t>07.15 s/d 02.21 Wita</t>
  </si>
  <si>
    <t>Menindaklanjuti laporan warga perihal meminta bantuan evakuasi ular yang berada dirumah beliau beralamat Guntung Pinang RT. 24 RW. 05 Kel. Kemuning Kec. Banjarbaru Selatan. Ular tidak berhasil ditemukan. Petugas mengerahkan 1 Unit Ops Damkar Kajama Rescue.</t>
  </si>
  <si>
    <t>Rusman</t>
  </si>
  <si>
    <t>11.51 s/d 12.40 Wita</t>
  </si>
  <si>
    <t>Menindaklanjuti laporan warga an. perihal meminta bantuan evakuasi ular yang berada dalam sumur pelapor beralamat Komp. Griya Permai Blok C No. 21 RT. 49 RW. 05 Kel. Guntung Manggis Kec. Landasan Ulin. Petugas menuju lokasi pelapor dan melakukan pencarian. Ular berhasil di evakuasi dan dilepasliarkan. Petugas mengerahkan 1 Unit Ops Damkar.</t>
  </si>
  <si>
    <t xml:space="preserve">Rahmad No Hp. 081251411814 </t>
  </si>
  <si>
    <t>Kamis, 17 Oktober 2024</t>
  </si>
  <si>
    <t>00.20 s/d 01.44 Wita</t>
  </si>
  <si>
    <t>Menindaklanjuti laporan warga  perihal meminta bantuan evakuasi ular yang berada di rumah pelapor beralamat Jl. A. Yani Km. 25 RT. 01 RW. 01 Kel. Syamsudin Noor Kec. Landasan Uliar. Ular tidak berhasil di evakuasi. Petugas mengerahkan 1 Unit Ops Damkar Ton III.</t>
  </si>
  <si>
    <t>Darman No Hp. 087745561059</t>
  </si>
  <si>
    <t>13.45 s/d 14.30 Wita</t>
  </si>
  <si>
    <t>Menindaklanjuti laporan karyawan toko perihal meminta bantuan evakuasi ular yang terlihat di toilet beralamat Jl. A. Yani Km. 27 RT. 02 RW. 08 No. 17 Kel. Landasan Ulin Timur Kec. Landasan Ulin. Petugas menuju lokasi pelapor dan melakukan pencarian. Ular berhasil di evakuasi dan dilepasliarkan. Petugas mengerahkan 1 Unit Ops Damkar Kajama Rescue.</t>
  </si>
  <si>
    <t>Toko Kabuki Auto Shop No Hp. 081127000772</t>
  </si>
  <si>
    <t>Jum`at, 18 Oktober 2024</t>
  </si>
  <si>
    <t>06.45 s/d 07.15 Wita</t>
  </si>
  <si>
    <t>Menindaklanjuti laporan warga perihal meminta bantuan evakuasi cincin anak yang tidak bisa dilepas menyebabkan pembengkakkan beralamat Jl. Mistarcokrokusumo RT. 23 RW. 08 No. 30 Kel. Sungai Tiung Kec. Cempaka. Cinicin berhasil di lepas dengan cara di potong. Petugas mengerahkan 1 Unit Ops Damkar Ton III.</t>
  </si>
  <si>
    <t>Amalia Safitri No Hp. 083824320116</t>
  </si>
  <si>
    <t>20.00 s/d 21.00 Wita</t>
  </si>
  <si>
    <t>Menindaklanjuti laporan warga perihal meminta bantuan evakuasi sarang tawon ndas di atas atap bengkel pelapor beralamat Jl. Gubernur Soebarjo RT. 14 RW. 04 Kel. Landasan Ulin Barat Kec. Liang Anggang. Sarang Tawon berhasil di evakuasi dan dimusnahkan dengan cara dibakar. Petugas mengerahkan 1 Unit Ops Damkar Ton III.</t>
  </si>
  <si>
    <t>H. Amat No Hp. 085348187581</t>
  </si>
  <si>
    <t>Sabtu, 19 Oktober 2024</t>
  </si>
  <si>
    <t>06.40 s/d 07.20 Wita</t>
  </si>
  <si>
    <t>Menindaklanjuti laporan warga perihal meminta bantuan evakuasi ular yang terlihat di dapur pelapor beralamat Jl. Dahlina Raya 2 RT. 22 RW. 04 Kel. Sungai Besar Kec. Banjarbaru Selatan. Petugas menuju lokasi pelapor dan melakukan pencarian. Ular berhasil di evakuasi dan dilepasliarkan. Petugas mengerahkan 1 Unit Ops Damkar Ton III.</t>
  </si>
  <si>
    <t>Ibu Wanda No Hp. 081338993657</t>
  </si>
  <si>
    <t>19.35 s/d 20.30 Wita</t>
  </si>
  <si>
    <t>Menindaklanjuti laporan warga perihal meminta bantuan evakuasi ular yang berada didalam rumah pelapor berlamat Jl. Pancasetia Balitan 8 E 01 RT. 47 RW. 12 Kel Loktabat Utara Kec. Banjarbaru Utara. Petugas menuju lokasi pelapor dan melakukan pencarian. Petugas berhasil mengevakuasi dan dilepasliarkan. Petugas mengerahkan 1 Unit Ops Damkar Ton III.</t>
  </si>
  <si>
    <t>Mutia No Hp. 082210003484</t>
  </si>
  <si>
    <t>Minggu, 20 Oktober 2024</t>
  </si>
  <si>
    <t>06.30 s/d 07.40 Wita</t>
  </si>
  <si>
    <t>Menindaklanjuti laporan warga perihal meminta bantuan evakuasi ular yang berada di dalam rumah pelapor beralamat Jl. Karang Sawo RT. 20 RW. 11 Kel. Loktabat Utara Kec. Banjarbaru Utara. Ular behasil di evakuasi dan dilepasliarkan. Petugas mengerahkan 1 Unit Ops Damkar Ton III</t>
  </si>
  <si>
    <t xml:space="preserve">Yunita No Hp. 08114831982 </t>
  </si>
  <si>
    <t>09.05 s/d 09.50 Wita</t>
  </si>
  <si>
    <t>Menindaklanjuti laporan warga perihal meminta bantuan evakuasi ular yang berada di dalam kamar kost beralamat Jl. Dahlina Raya 2 Kost-kostan Salsabila RT. 22 RW. 04 Kel. Sungai Besar Kec. Banjarbaru Selatan. Petugas langsung menuju lokasi pelapor dan melakukan pencarian. Petugaspun berhasil mengevakuasi ular dan dilepasliarkan. Petugas mengerahkan 1 Unit Ops Damkar Kajama Rescue.</t>
  </si>
  <si>
    <t>Ibu Oyan (Mahasiswi) No Hp. 0895328101803</t>
  </si>
  <si>
    <t>Senin, 21 Oktober 2024</t>
  </si>
  <si>
    <t>10.55 s/d 11.40 Wita</t>
  </si>
  <si>
    <t>Menindaklajuti laporan warga perihal meminta bantuan evakuasi ular yang berada di dalam bak mandi rumah pelapor beralamat Komp. Cempaka Sari Jalur 12 Blok E1 No. 13 RT. 34 RW. 07 Kel. Sungai Besar Kec. Banjarbaru Selatan. Ular berhasil di evakuasi dan dilepasliarkan. Petugas mengerahkan 1 Unit Ops Damkar Kajama Rescue.</t>
  </si>
  <si>
    <t>Call Center 112</t>
  </si>
  <si>
    <t>Selasa, 22 Oktober 2024</t>
  </si>
  <si>
    <t>06.45 s/d 07.55 Wita</t>
  </si>
  <si>
    <t>Menindaklanjuti laporan warga  Perihal meminta bantuan evakuasi ular yang berada dibawah tempat tidur rmah pelapor beralamat Jl. Abadi Makmur No. 66 RT. 05 RW. 04 Kel. Loktabat Selatan Kec. Banjarbaru Selatan. Petugas melakukan pencarian dan tidak menemukan ular tersebut. Petugas mengerahkan 1 Unit Ops Damkar Ton III.</t>
  </si>
  <si>
    <t>Yuliana No Hp. 082351748760</t>
  </si>
  <si>
    <t>08.17 s/d 09.28 Wita</t>
  </si>
  <si>
    <t>Menindaklanjuti laporan warga perihal meminta evakuasi ular di berada dirumah pelapor beralamat Jl. Pesona Puri Banjar Asri Kel. Guntung Manggis Kec. Landasan Ulin. Petugas melakukan pencarian di sudut-sudut ruangan dan tidak ditemukan ular. Petugas mengerahkan 1 Unit Ops Damkar Ton III.</t>
  </si>
  <si>
    <t>call center 112 an. Fadli No Hp. 083159655830</t>
  </si>
  <si>
    <t>Rabu, 23 Oktober 2024</t>
  </si>
  <si>
    <t>05.30 s/d 06.35 Wita</t>
  </si>
  <si>
    <t>Menindaklanjuti laporan warga perihal meminta bantuan evakuasi ular yang berada di dalam rumah beralamat Jl. Karang Sawo Komp. Karang Anyar Residence RT. 20 RW. 11 Kel. Loktabat Utara Kec. Banjarbaru Utara. Petugas menuju lokasi pelapor dan melakukan pencarian. Ular berhasil di evakuasi dan dilepasliarkan. Petugas mengerahkan 1 Unit Ops Damkar Ton III.</t>
  </si>
  <si>
    <t>Rahma Brata No Hp. 08578760963</t>
  </si>
  <si>
    <t>Kamis, 24 Oktober 2024</t>
  </si>
  <si>
    <t>00.10 s/d 01.15 Wita</t>
  </si>
  <si>
    <t>Menindaklanjuti laporan warga perihal meminta bantuan evakuasi sarang tawon vespa yang berada di atas pohon beralamat Kantor Kementrian Lingkungan Hidup dan Kehutanan ( Balai Pemantapan Kawasan Hutan dan Tata Lingkup Wilayah V ) Jl. PM. Noor Kel. Sungai Ulin Kec. Banjarbaru Utara. Petugas berhasil mengevakuasi sarang tawon dan dimusnahkan dengan cara dibakar. Petugas mengerahkan 1 Unit Ops Damkar Kajama Tangki.</t>
  </si>
  <si>
    <t>Bapak Ifan No Hp. 085336466667</t>
  </si>
  <si>
    <t>10.00 s/d 11.40 Wita</t>
  </si>
  <si>
    <t>Menindaklanjuti laporan warga perihal meminta bantuan evakuasi ular yang berada di halaman rumah pelapor beralamat Komp. Griya Muning Asri C-3 RT. 29 Kel. Sungai Ulin Kec. Banjarbaru Utara. Petugas menuju lokasi pelapor dan melakukan pencarian. Ular berhasil di evakuasi dan dilepasliarkan. Petugas mengerahkan 1 Unit Ops Damkar Ton III</t>
  </si>
  <si>
    <t xml:space="preserve">Angga No Hp. 082170010046 </t>
  </si>
  <si>
    <t>Sabtu, 26 Oktober 2024</t>
  </si>
  <si>
    <t>Menindaklanjuti laporan warga perihal meminta bantuan evakuasi ular yang diduga berada di atas plafon beralamat Komp. Rafanda Residence 4 Blok C 6 RT. 36 RW. 07 Kel. Guntung Manggis Kec. Landasan Ulin. Petugas melakukan pencarian di atas plafon dan ular tidak ditemukan. Petugas mengerahkan 1 Unit Ops Damkar Kajama Rescue.</t>
  </si>
  <si>
    <t>Dayat No Hp. 087797595557</t>
  </si>
  <si>
    <t>14.47 s/d 15.15 Wita</t>
  </si>
  <si>
    <t>Menindaklanjuti laporan warga perihal meminta bantuan evakuasi ular berjenis cobra yang terlihat di halaman rumah No. 4 RT. 27 RW. 08 Kel. Loktabat Utara Kec. Banjarbaru Utara. Petugas melakukan pencarian dan ular behasil di evakuasi. petugas mengerahkan 1 Unit Ops Damkar Kajama Rescue.</t>
  </si>
  <si>
    <t>Naziera No Hp. 083141598468</t>
  </si>
  <si>
    <t>Selasa, 29 Oktober 2024</t>
  </si>
  <si>
    <t>06.04 s/d 06.58 Wita</t>
  </si>
  <si>
    <t>Menindaklanjuti laporan warga perihal meminta bantuan evakuasi ular di dalam kamar mandi beralamat Jl. A. Yani Km. 24,5 kel. Syamsudin Noor Kec. Landasan Ulin. Ular tidak ditemukan. Petugas mengerahkan 1 Unit Ops Damkar kajama Rescue.</t>
  </si>
  <si>
    <t>Bapak denny No Hp. 081256520078</t>
  </si>
  <si>
    <t>15.14 s/d 16.11 Wita</t>
  </si>
  <si>
    <t>Menindaklanjuti laporan warga perihal meminta bantuan evakuasi ular yang terlihat dalam sumur beralamat Jl. Perambaian III RT. 30 RW. 07 Kel. Sungai Besar Kec. Banjarbaru Selatan. Petugas menuju lokasi pelapor dan melakukan evakuasi. Ular berhasil di evakuasi dan dilepasliarkan. Petugas mengerahkan 1 Unit Ops Damkar Ton III.</t>
  </si>
  <si>
    <t>Arifin Purwanto No Hp. 085251536866</t>
  </si>
  <si>
    <t>Rabu, 30 Oktober 2024</t>
  </si>
  <si>
    <t>06.13 s/d 06.55 Wita</t>
  </si>
  <si>
    <t>Menindaklanjuti laporan warga  perihal meminta bantuan evakuasi cincin yang tidak bisa dilepas dijari manis tangan kiri anak pelapor beralamat Jl. Mistarcokrokusumo RT. 15 RW. 05 Kel. Sungai Tiung Kec. Cempaka. Petugas melakukan evakuasi dan cincin berhasil dilepaskan. petugas mengerahkan 1 Unit Ops Damkar Kajama Rescue.</t>
  </si>
  <si>
    <t>Halfiyalma No Hp. 085849341512</t>
  </si>
  <si>
    <t>12.52 Wita s/d Selesai</t>
  </si>
  <si>
    <t>Grup WA Emergency Banjarbaru</t>
  </si>
  <si>
    <t>Menindaklanjuti laporan warga perihal adanya korban yang tertimbun longsor saat mendulang intan beralamat Jl. Pumpung (Kawasan Wisata Pendulangan Intan) RT. 30 RW. 10 Kel. Sungai Tiung Kec. Cempaka. Petugas melakukan pencarian. Korban an. Supiani warga Sungai Tiung meninggal dunia ditemukan pada pukul 23.50 Wita. Petugas mengerahkan 1 Unit Ops Damkar Kajama Rescue.</t>
  </si>
  <si>
    <t>longsor</t>
  </si>
  <si>
    <t>Kamis, 31 Oktober 2024</t>
  </si>
  <si>
    <t>11.29 s/d 13.28 Wita</t>
  </si>
  <si>
    <t xml:space="preserve">Menindaklanjuti laporan warga perihal meminta bantuan evakuasi tembok runtuh yang menimpa 2 buah mobil 1 Motor Tossa di Bapelkes Provinsi Kalsel beralamat Jl. Mustarcokrokusumo Kel. Sungai Besar Kec. Banjarbaru Selatan. Petugas melakukukan evakuasi tembok yang runtuh dengan cara memotong tembok. Terdampak 2 buah Mobil dan 1 Motor Tossa rusak berat. Petugas mengerahkan 2 Unit Ops Damkar Ton III dan Kajama Rescue. </t>
  </si>
  <si>
    <t>Abdul Karim No Hp. 085718261259</t>
  </si>
  <si>
    <t>tembok runtuh</t>
  </si>
  <si>
    <t>Jum`at, 1 November 2024</t>
  </si>
  <si>
    <t>18.57 s/d 19.15 Wita</t>
  </si>
  <si>
    <t>Menindaklanjuti laporan warga perihal meminta bantuan evakuasi ular berjenis cobra yang terlihat memasuki rumah pelapor beralamat Jl. Bina Putra RT. 11 RW. 03 No. 15 Kel. Guntung Payung Kec. Landasan Ulin. Petugas berhasil mengevakuasi ular dan dilepasliarkan. Petugas mengerahkan 1 Unit Ops Damkar Mobil Hilux Kajama Rescue.</t>
  </si>
  <si>
    <t>Misbah 083159031794</t>
  </si>
  <si>
    <t>Minggu, 3 November 2024</t>
  </si>
  <si>
    <t>14.16 s/d 16.08 Wita</t>
  </si>
  <si>
    <t>Menindaklanjuti laporan warga perihal meminta bantuan evakuasi pohon tumbang yang mengenai bangunan beralamat Jl. PM. Noor Komp. Permata Hijau No. 001 RT. 11 RW. 03 Kel. Sungai Ulin Kec. Banjarbaru Utara. Pohon berhasil di evakuasi oleh petugas. Petugas mengerahkan 1 Unit Ops Damkar Mobil Hilux Kajama Rescue.</t>
  </si>
  <si>
    <t xml:space="preserve">Muhammad Alfarizi No Hp. 081348001308 </t>
  </si>
  <si>
    <t>Senin, 4 November 2024</t>
  </si>
  <si>
    <t>17.20 s/d 19.00 Wita</t>
  </si>
  <si>
    <t>Menindaklanjuti laporan warga perihal meminta bantuan evkuasi kucing yang tercebur ke dalam sumur beralamat Jl. Talok Tukal Gg. Kubah Datu Komp. Pondok Papan Sejahtera RT. 19 RW. 08 Kel. Loktabat Utara Kec. Banjarbaru Utara. Kucing berhasil di evakuasi. Petugas mengerahkan 1 Unit Ops Damkar Truk Tangki Ton VII.</t>
  </si>
  <si>
    <t xml:space="preserve">Zainal No Hp. 0878799 14685 </t>
  </si>
  <si>
    <t>Selasa, 5 November 2024</t>
  </si>
  <si>
    <t>16.41 s/d 17.30 Wita</t>
  </si>
  <si>
    <t>Menindaklanjuti laporan warga perihal meminta bantuan evakuasi kucing yang tercebur ke dalam sumur beralamat Jl. Komp. Griya Utama Trikora III Blok C17 RT. 34 RW. 05 Kel. Guntung Manggis Kec. Landasan Ulin. Setelah dilakukan pencarian didalam  sumur kucing tidak ada ditemukan. Petugas mengerahkan 1 Unit Ops Damkar Truk Ton III.</t>
  </si>
  <si>
    <t>Angelindah No Hp. 087754405544</t>
  </si>
  <si>
    <t>Rabu, 6 November 2024</t>
  </si>
  <si>
    <t>13.39 s/d 14.03 Wita</t>
  </si>
  <si>
    <t>Menindaklanjuti laporan warga perihal meminta bantuan evakuasi ular yang berada dalam rumah pelapor beralamat Jl. Astoria No. 14 RT. 06 RW. 04 Kel. Sungai Besar Kec. Banjarbaru Selatan. Ular berhasil di evakuasi dan dilepasliarkan. Petugas mengerahkan 1 Unit Ops Damkar Mobil Hilux Kajama Rescue.</t>
  </si>
  <si>
    <t xml:space="preserve">Maria No Hp. 085752630799 </t>
  </si>
  <si>
    <t>Jum`at, 8 November 2024</t>
  </si>
  <si>
    <t>19.55 s/d 21.15 Wita</t>
  </si>
  <si>
    <t xml:space="preserve">Menindaklanjuti laporan warga perihal meminta bantuan evakuasi ular yang berada di atas plafon dapur rumah pelapor beralamat Komp. Wengga Tahap 2 Blok O No. 98 RT. 41 RW. 07 Kel. Guntung Manggis Kec. Landasan Ulin. Petugas melakukan pencarian dan ular tersebut tidak ditemukan. Petugas mengerahkan 1 Unit Ops Damkar Truk Ton III. </t>
  </si>
  <si>
    <t xml:space="preserve">Memei No Hp. 087716944560 </t>
  </si>
  <si>
    <t>Sabtu 9 November 2024</t>
  </si>
  <si>
    <t>13.10 s/d 13.50 Wita</t>
  </si>
  <si>
    <t>Menindaklanjuti laporan warga  perihal meminta bantuan evakuasi cincin yang tidak bisa dilepas dan terjadi pembengkakan beralamat Jl. Trikora RT. 046 RW. 08 Kel. Sungai Besar Kec. Banjarbaru Selatan. Cincin berhasil dilepas dengan cara dipotong. Petugas mengerahkan 1 Unit Ops Damkar Mobil Hilux Kajama Rescue.</t>
  </si>
  <si>
    <t>Juan No Hp. 08383833429</t>
  </si>
  <si>
    <t>Minggu, 10 November 2024</t>
  </si>
  <si>
    <t>21.19 s/d 23.00 Wita</t>
  </si>
  <si>
    <t>Menindaklanjuti laporan warga perihal meminta bantuan evakuasi ular berjenis Phyton di atas plafon rumah beralamat Jl. Karya Manuntung Komp. Anugerah 4 RT. 01 RW. 01 No. E2 Kelurahan Landasan Utara Kec. Liang Anggang. Petugas melakukan pencarian dan ular tidak ditemukan. Petugas mengerahkan 1 Unit Ops Damkar Mobil Hilux Kajama Rescue.</t>
  </si>
  <si>
    <t xml:space="preserve">Fajar No Hp. 085705500728 </t>
  </si>
  <si>
    <t>Senin, 11 November 2024</t>
  </si>
  <si>
    <t>20.05 s/d 21.10 Wita</t>
  </si>
  <si>
    <t>Menindaklanjuti laporan warga perihal meminta bantuan evakuasi kucing di atas atap rumah pelapor beralamat Komp. GTM Village Kel. Guntung Manggis Kec. Landasan Ulin. Petugas melakukan pencarian dan kucing tidak ditemukan. Petugas mengerahkan 1 Unit Ops Damkar Truk Ton III.</t>
  </si>
  <si>
    <t>Cika No Hp. 081262255720</t>
  </si>
  <si>
    <t>Selasa, 12 November 2024</t>
  </si>
  <si>
    <t>09.10 s/d 09.49 Wita</t>
  </si>
  <si>
    <t>Menindaklanjuti laporan warga perihal meminta bantuan evakuasi ular yang berada dirumah beliau beralamat Jl. Danau Seran RT. 19 Kel. Guntung Manggis Kec. Landasan Ulin. Petugas berhasil mengevakuasi ular dan dilepasliarkan. Petugas mengerahkan 1 Unit Ops Damkar Mobil Hilux Kajama Rescue.</t>
  </si>
  <si>
    <t>Abidin No Hp. 081251507087</t>
  </si>
  <si>
    <t>Rabu, 13 November 2024</t>
  </si>
  <si>
    <t>07.11 s/d 07.50 Wita</t>
  </si>
  <si>
    <t>Menindaklanjuti laporan warga perihal meminta bantuan evakuasi kucing di atas atap beralamat Jl. Bina Murni Guntung Jingah RT. 05 RW. 02 Kel. Loktabat Utara Kec. Banjarbaru Utara. Kucing berhasil di evakuasi dengan selamat. Petugas mengerahkan 1 Unit Ops Damkar Mobil Hilux Kajama Rescue.</t>
  </si>
  <si>
    <t>Dan Patriamini Utami No Hp. 081250065229</t>
  </si>
  <si>
    <t>Kamis, 14 November 2024</t>
  </si>
  <si>
    <t>10.42 s/d 12.30 Wita</t>
  </si>
  <si>
    <t>Menindaklanjuti laporan warga perihal meminta bantuan evakuasi ular dibawah lantai rumah pelapor beralamat Jl. Tambak Langsat Komp. Kasturi Indah 4 Blok D No. 08 RT. 29 RW. 30 Kel. Syamsudin Noor Kec. Landasan Ulin. Ular berhasil di evakuasi dan dilepasliarkan. Petugas mengerahkan 1 Unit Ops Damkar Truk Tangki Ton VII.</t>
  </si>
  <si>
    <t>Rimayanti No Hp. 081345391409</t>
  </si>
  <si>
    <t>Jum`at, 15 November 2024</t>
  </si>
  <si>
    <t>19.58 s/d 21.15 Wita</t>
  </si>
  <si>
    <t xml:space="preserve">Menindaklanjuti laporan warga perihal meminta bantuan evakuasi sarang lebah yang berada di atas plafon beralamat Jl. Pangeran Suryanata No. 04 (SMPN 1 Banjarbaru) Kel. Kemuning Kec. Banjarbaru Selatan. Sarang lebah berhasil di evakuasi dan dimusnahkan dengan cara dibakar. Petugas mengerahkan 1 Unit Ops Damkar Mobil Hilux Kajama Rescue. </t>
  </si>
  <si>
    <t>Erni Ambarwati No Hp. 082148043909</t>
  </si>
  <si>
    <t>Sabtu, 16 November 2024</t>
  </si>
  <si>
    <t>15.27 s/d 15.25 Wita</t>
  </si>
  <si>
    <t>Menindaklanjuti laporan warga perihal meminta bantuan evakuasi ular yang terlihat memasuki rumah pelapor beralamat Komp. Kehutanan Jl. Tatawana Ujung RT. 10 RW. 02 Kel. Sungai Besar Kec. Banjarbaru Selatan. Ular berhasil di evakuasi dan dilepasliarkan oleh petugas. Petugas mengerahkan 1 Unit Ops Damkar Mobil Hilux Kajama Rescue.</t>
  </si>
  <si>
    <t>Iman Tochid No Hp. 085219356016</t>
  </si>
  <si>
    <t>Minggu, 17 November 2024</t>
  </si>
  <si>
    <t>17.09 s/d 18.14 Wita</t>
  </si>
  <si>
    <t>Menindaklanjuti laporan warga perihal meminta bantuan evakuasi biawak yang berada dihalaman belakang rumah pelapor beralamat Komp. Graha Praja Idaman Bhayangkara RT. 01 RW. 01 Kel. Cempaka Kec. Cempaka. Petugas melakukan pencarian dan biawak tidak ditemukan. Petugas mengerahkan 1 Unit Truk Ton IV.</t>
  </si>
  <si>
    <t>Raka No Hp. 08115186898</t>
  </si>
  <si>
    <t>Senin, 18 November 2024</t>
  </si>
  <si>
    <t>07.46 s/d 08.30 Wita</t>
  </si>
  <si>
    <t>Menindaklanjuti laporan meminta bantuan evakuasi ular yang berada di dapur rumah beliau beralamat Jl. Cempaka Sari Kel. Sungai Besar Kec. Banjarbaru Selatan. Petugas melakukan pencarian di sudut-sudut rumah ular pun tidak ditemukan. Petugas mengerahkan 1 Unit Ops Damkar Truk Ton IV.</t>
  </si>
  <si>
    <t>Call Center 112 an. Nesya</t>
  </si>
  <si>
    <t>09.45 s/d 10.20 Wita</t>
  </si>
  <si>
    <t>Menindaklanjuti laporan  perihal meminta bantuan evakuasi Ular yang berada dalam kandang ayam rumah beliau beralamat Jl. Komet Raya Gg. 3 RT. 01 RW. 04 Kel. Mentaos Kec. Banjarbaru Utara. Ular berhasil di evakuasi dan dilepasliarkan. Petugas mengerahkan 1 Unit Ops Damkar Mobil Hilux Kajama Rescue.</t>
  </si>
  <si>
    <t>Syamsudin No Hp. 082353792910</t>
  </si>
  <si>
    <t>Selasa, 19 November 2024</t>
  </si>
  <si>
    <t>00.07 s/d 00.50 Wita</t>
  </si>
  <si>
    <t>Menindaklanjuti laporan warga  perihal meminta bantuan evakuasi kucing yang berada dibelakang rumah beliau beralamat Jl. Transmigrasi Gunung Kupang Komp. Gunung Sari Kel. Cempaka Kec. Cempaka. Petugas melakukan pencarian dirumah pelapor dan kucing tidak ditemukan. Petugas mengerahkan 1 Unit Ops Damkar Mobil Hilux Kajama Rescue.</t>
  </si>
  <si>
    <t>Alfi No Hp. 081348776060</t>
  </si>
  <si>
    <t>Menindaklanjuti laporan warga  perihal meminta bantuan evakuasi ular yang terlihat di atas plafon rumah pelapor beralamat Komp. Alam Raya permai RT. 35 RW. 05 Kel. Guntung Manggis Kec. Landasan Ulin. Ular berhasil di evakuasi dan dilepasliarkan. Petugas menegerahkan 1 Unit Ops Damkar Mobil Hilux Kajama Rescue.</t>
  </si>
  <si>
    <t>Rindayanie No Hp. 085754816560</t>
  </si>
  <si>
    <t>Rabu, 20 November 2024</t>
  </si>
  <si>
    <t>Menindaklanjuti laporan warga perihal evakuasi musang yang terjebak di dalam ruangan dapur beralamat Komp. Wirapratama III Jl. Baung RT. 25 RW. 04 Blok B No. 02 Kel. Sungai Besar Kec. Banjarbaru selatan. Musang berhasil di evakuasi dan dilepasliarkan. Petugas mengerahkan 1 Unit Ops Damkar Mobil Hilux Kajama Rescue.</t>
  </si>
  <si>
    <t>08.25 s/d 09.20 Wita</t>
  </si>
  <si>
    <t>Menindaklanjuti laporan warga perihal meminta bantuan evakuasi ular yang berada di reng atap rumah beralamat Jl. Bumi Berkat V Komp. Villa Ratu Asri No. A5 RT. 2 RW. 11 Kel. Cempaka Kec. Cempaka. Ular berhasil di evakuasi dan dilepasliarkan. Petugas mengerahkan 1 Unit Ops Damkar Truk Ton IV.</t>
  </si>
  <si>
    <t>Herfina No Hp. 081259136392</t>
  </si>
  <si>
    <t>Kamis, 21 November 2024</t>
  </si>
  <si>
    <t>10.30 s/d 11.40 Wita</t>
  </si>
  <si>
    <t>Menindaklanjuti laporan warga perihal meminta bantuan evakuasi ular yang berada dirumah beliau beralamat Jl. Soeparto No. 09 RT. 04 RW. 05 Kel. Mentaos Kec. Banjarbaru Utara. Petugas melakukan pencarian dan ular tidak ditemukan. Petugas mengerahkan 1 Unit Ops Damkar Truk Ton III.</t>
  </si>
  <si>
    <t>Diki No Hp. 085246481009</t>
  </si>
  <si>
    <t>Jum`at, 22 November 2024</t>
  </si>
  <si>
    <t>17.31 s/d 18.30 Wita</t>
  </si>
  <si>
    <t xml:space="preserve">Menindaklanjuti laporan warga perihal meminta bantuan evakuasi pohon tumbang beralamat Jl. Pangeran Hidayatullah depan Kantor PDAM Intan Banjar Kel. Komet Kec. Banjarbaru Utara. Petugas berhasil mengevakuasi pohon tumbang. Petugas mengerahkan 1 Unit Ops Damkar Mobil Hilux Kajama Rescue. </t>
  </si>
  <si>
    <t xml:space="preserve">Ridwan (Security PDAM Intan Banjar) No Hp. 089532085656 </t>
  </si>
  <si>
    <t>Sabtu, 23 November 2024</t>
  </si>
  <si>
    <t>11.33 s/d 12.30 Wita</t>
  </si>
  <si>
    <t>Menindaklanjuti laporan warga perihal meminta bantuan evakuasi korban kecelakan yang terjepit di velg roda sepeda motor beralamat Jl. Panglima Batur (depan Kantor Samsat Banjarbaru) Kel. Komet Kec. Banjarbaru Utara. Petugas berhasil mengevakuasi korban dan langsung di tangani Tim Medis untuk dibawa ke Rumah Sakit. Petugas mengerahkan 1 Unit Ops Damkar Mobil Hilux Kajama Rescue.</t>
  </si>
  <si>
    <t>orang terjepit</t>
  </si>
  <si>
    <t>Minggu, 24 November 2024</t>
  </si>
  <si>
    <t>08.00 s/d 09.12 Wita</t>
  </si>
  <si>
    <t xml:space="preserve">Menindaklanjuti laporan warga perihal meminta bantuan evakuasi kucing di atas plafon rumah beralamat Komp. Cahaya Idaman No. 16 B RT. 40 RW. 10 Kel. Cempaka Kec. Cempaka. Petugas melakukan pencarian di atas plafon rumah dan kucing tidak ditemukan. Petugas mengerahkan 1 Unit Ops Damkar Mobil Hilux Kajama Rescue. </t>
  </si>
  <si>
    <t xml:space="preserve">Helmi No Hp. 081348325367 </t>
  </si>
  <si>
    <t>Senin, 25 November 2024</t>
  </si>
  <si>
    <t>14.44 s/d 15.45 Wita</t>
  </si>
  <si>
    <t>Menindaklanjuti laporan perihal meminta bantuan evakuasi ular yang terlihat di dalam kamar mandi beralamat Jl. RO. Ulin RT. 04 RW. 02 Kel. Loktabat Selatan Kec. Banjarbaru Selatan. Petugas langsung menuju lokasi pelapor dan melakukan pencarian di sudut-sudut kamar mandi serta ruangan lainnya. Ular tidak ditemukan. Petugas mengerahkan 1 Unit Ops Damkar Mobil Hilux Kajama Rescue.</t>
  </si>
  <si>
    <t>Sayyid Rizky No Hp. 081953719730</t>
  </si>
  <si>
    <t>Minggu, 1 Desember 2024</t>
  </si>
  <si>
    <t>15.45 s/d 16.30 Wita</t>
  </si>
  <si>
    <t>Menindaklanjuti laporan warga perihal meminta bantuan evakuasi ular yang berada di depan rumah beliau beralamat Jl. Intansari RT. 21 RW. 04 No. 31 Kel. Sungai Besar kec. Banjarbaru Selatan. Petugas melakukan pencarian dan ular tidak ditemukan. Petugas mengerahkan 1 Unit Ops Damkar Mobil Hilux Kajama Rescue.</t>
  </si>
  <si>
    <t>Senin, 2 Desember 2024</t>
  </si>
  <si>
    <t>14.38 s/d 15.15 Wita</t>
  </si>
  <si>
    <t>Menindaklanjuti laporan  perihal meminta bantuan evakuasi senggung yang terjerat di tali pembatas kandang ayam beralamat Jl. Dahlina Raya 1 RT. 22 RW. 04 Kel. Sungai Besar Kec. Banjarbaru Selatan. Petugas langsung menuju lokasi pelapor dan pelapor memberikan saran agar senggung tetap terjerat dan lepas dengan sendirinya.. Petugas mengerahkan 1 Unit Ops Damkar Truk Ton IV.</t>
  </si>
  <si>
    <t xml:space="preserve"> Call Center 112 pelapor atas nama Lugiana No Hp. 081349752858</t>
  </si>
  <si>
    <t>senggung</t>
  </si>
  <si>
    <t>Selasa, 3 Desember 2024</t>
  </si>
  <si>
    <t>10.30 s/d 11.20 Wita</t>
  </si>
  <si>
    <t>Menindaklanjuti laporan warga  perihal meminta bantuan evakuasi ular beralamat Jl. Bumi Berkat 9 Gg. Arjuna RT. 02 RW. 01 Kel. Sungai Besar Kec. Banjarbaru Selatan. Petugas menuju lokasi pelapor dan melakukan pencarian. Ular berhasil di evakuasi dan dilepasliarkan. Petugas mengerahkan 1 Unit Ops Damkar Ton III.</t>
  </si>
  <si>
    <t>Kamis, 5 Desember 2024</t>
  </si>
  <si>
    <t>12.49 s/d 13.45 Wita</t>
  </si>
  <si>
    <t>Menindaklanjuti laporan  perihal meminta bantuan evakuasi ular yang berada di belakang halaman rumah beliu beralamat Jl. Jolali RT. 28 RW. 07 Kel. Loktabat Utara Kec. Banjarbaru Utara. Petugas menuju lokasi pelapor dan melakukan pencarian. Ular tidak berhasil ditemukan. Petugas mengerahkan 1 Unit Ops Damkar Mobil Hilux Kajama Rescue.</t>
  </si>
  <si>
    <t>Call Center 112 pelapor atas nama Fajar No Hp. 087716205568</t>
  </si>
  <si>
    <t>Jum`at, 6 Desember 2024</t>
  </si>
  <si>
    <t>14.41 s/d 15.40 Wita</t>
  </si>
  <si>
    <t>Menindaklanjuti laporan warga  perihal meminta bantuan evakuasi anjing yang masuk ke dalam sumur beralmat Jl. Abadi Makmur RT. 05 RW. 04 Kel. Loktabat Selatan Kec. Banjarbaru Selatan. Anjing berhasil di evakuasi. Petugas mengerahkan 1 Unit Ops Damkar Mobil Hilux Kajama Rescue.</t>
  </si>
  <si>
    <t>Ibu Puput No Hp. 085248097668</t>
  </si>
  <si>
    <t>Sabtu, 7 Desember 2024</t>
  </si>
  <si>
    <t>09.00 s/d 10.00 Wita</t>
  </si>
  <si>
    <t>Menindaklanjuti lapora warga  perihal melakukan penyemprotan jalan samping rumah beliau yang licin akibat dari tanah bekas galian saluran air yang bisa membahayakan pengenadara motor beralamat Jl. Batas Kota Kel. Sungai Ulin Kec. Banjarbaru Utara. Petugas melakukan penyemprotan dan jalan kembali bersih. Petugas mengerahkan 1 Unit Ops Damkar Truk Tangki Ton VII.</t>
  </si>
  <si>
    <t>Aris No Hp. 081348947305</t>
  </si>
  <si>
    <t>penyemprotan jalan</t>
  </si>
  <si>
    <t>Minggu, 8 Desember 2024</t>
  </si>
  <si>
    <t>22.57 s/d 23.40 Wita</t>
  </si>
  <si>
    <t>Menindaklanjuti laporan warga perihal meminta bantuan evakuasi ular yang berada di kandang ayam milik beliau beralamat Jl. RO. Ulin RT. 04 RW. 02 Kel. Loktabat Selatan Kec. Banjarbaru Selatan. Petugas menuju lokasi pelapor dan melakukan pencarian. Ular berhasil di evakuasi dan dilepasliarkan. Petugas mengerahkan 1 Unit Ops damkar Mobil Hilux Kajama Rescue.</t>
  </si>
  <si>
    <t>Nita No Hp. 083141431999</t>
  </si>
  <si>
    <t>Senin, 9 Desember 2024</t>
  </si>
  <si>
    <t>09.40 s/d 11.14 Wita</t>
  </si>
  <si>
    <t>Menindaklanjuti laporan warga  perihal meminta bantuan evakuasi sarang lebah yang berada di kantor pelapor beralamat Jl. PM. Noor Komp. Indah RT. 12 RW. 2 Kantor Depo Arsip Banjarbaru Kel. Sungai Ulin Kec. Banjarbaru Utara. Petugas melakukan persiapan dan menuju lokasi pelapor. Sarang lebah berhasil di evakuasi dan dimusnahkan. Petugas mengerahkan 1 Unit Ops Damkar Mobil Hilux Kajama Rescue.</t>
  </si>
  <si>
    <t>Jumberah No Hp. 085332188750</t>
  </si>
  <si>
    <t>Selasa, 10 Desember 2024</t>
  </si>
  <si>
    <t>09.05 s/d 09.20 Wita</t>
  </si>
  <si>
    <t>Menindaklanjuti laporan warga perihal meminta bantuan evakuasi musang yang terjebak tali di teras depan kost pelapor beralmat Kost Kirana Jl. RO. Ulin RT. 07 RW. 02 Gg. M. Sahid Kel. Loktabat Selatan Kec. Banjarbaru Selatan. Musang berhasil di evakuasi dan dilepasliarkan. Petugas mengerahkan 1 Unit Ops Damkar Mobil Hilux Kajama Rescue.</t>
  </si>
  <si>
    <t>Riana No Hp. 081348816454</t>
  </si>
  <si>
    <t>Rabu, 11 Desember 2024</t>
  </si>
  <si>
    <t>08.19 s/d 09.10 Wita</t>
  </si>
  <si>
    <t>Menindaklanjuti laporan warga perihal meminta bantuan evakuasi anjing yang tercebur kedalam sumur beralamat Jl. Pondok Kelapa Komp. Ba`abul Jaya No. 11 RT.25 RW. 11 Kel. Loktabat Utara Kec. Banjarbaru Utara. Petugas menuju lokasi pelapor dan melakukan evakuasi. Petugas berhasil mengevakuasi anjing tersebut. Petugas mengerahkan 1 Unit Ops Damkar Mobil Hilux Kajama Rescue.</t>
  </si>
  <si>
    <t>Meila No Hp. 082158962429</t>
  </si>
  <si>
    <t>Kamis, 12 Desember 2024</t>
  </si>
  <si>
    <t>15.50 s/d 18.05 Wita</t>
  </si>
  <si>
    <t>Menindaklanjuti laporan warga perihal emminta bantuan evakuasi pohon tumbang beralamat Jl. Kelapa Gading Komp. Antero Blok D II RT. 01 RW. 01 Kel. Sungai Besar Kec. Banjarbaru Selatan. Petugas menuju lokasi pelapor dan melakukan evakuasi. Pohon tumbang berhasil di evakuasi. Petugas mengerahkan 1 Unit Ops Damkar Mobil Hilux Kajama Rescue.</t>
  </si>
  <si>
    <t xml:space="preserve">Icha No Hp. 085156203344 </t>
  </si>
  <si>
    <t>Jum`at, 13 Desember 2024</t>
  </si>
  <si>
    <t>13.31 s/d 15.00 Wita</t>
  </si>
  <si>
    <t>menindaklanjuti laporan warga  perihal meminta bantuan pengecekan ekor yang terlihat di sela belakang AC Kamar beralamat Komp. Perumahan Pelangi Kasturi 2 Jl. Tambak Langsat RT. 29 RW. 04 No. 09 Kel. Syamsudin Noor Kec. Landasan Ulin. Petugas menuju lokasi pelapor dan melakukan pengecekan. Dalam pengecekan petugas menemukan 2 ekor tikus. 2 ekor tikus di evakuasi dan dilepasliarkan. Petugas mengerahkan 1 Unit Ops Damkar Mobil Hilux Kajama Rescue.</t>
  </si>
  <si>
    <t>M.Fachri Anuardin No Hp. 082122930163</t>
  </si>
  <si>
    <t>tikus</t>
  </si>
  <si>
    <t>Sabtu, 14 Desember 2024</t>
  </si>
  <si>
    <t>13.16 s/d 14.10 Wita</t>
  </si>
  <si>
    <t>Menindaklanjuti laporan dari Polisi yang piket di Pos Polisi Bundaran Kamaratih  perihal adanya ular di atas plafon Pos Polantas beralamat Jl. A. Yani (Pos Polisi Bundaran Kamaratih) Kel. Syamsudin Noor Kec. Landasan Ulin. Petugas tidak menemukan ular tersebut. Petugas mengerahkan 1 Unit Ops Damkar Mobil Hilux Kajama Rescue.</t>
  </si>
  <si>
    <t>Eko Purwanto No Hp. 085392040884</t>
  </si>
  <si>
    <t>Minggu, 15 Desember 2024</t>
  </si>
  <si>
    <t>21.40 s/d 22.52 Wita</t>
  </si>
  <si>
    <t>Menindaklanjuti laporan warga  perihal meminta bantuan evakuasi kucing di atas pohon beralamat Jl. A. Yani Km. 36 Samping wong Solo Simpang 4 Banjarbaru Kel. Komet Kec. Banjarbaru Utara. Petugas menuju lokasi pelapor dan melakukan evakuasi. Petugas melakukan seagala upaya dan kucing tidak berhasil di evakuasi melarikan diri. Petugas mengerahkan 1 Unit Ops Damkar Mobil Hilux Kajama Rescue.</t>
  </si>
  <si>
    <t>Alya No Hp. 089526095603</t>
  </si>
  <si>
    <t>Senin, 16 Desember 2024</t>
  </si>
  <si>
    <t>10.58 s/d 11.00 Wita</t>
  </si>
  <si>
    <t>Menindaklanjuti laporan warga perihal meminta bantuan evakuasi ular yang berada di ruang gudang tempat kerja pelapor beralamat Kantor Bina Pertiwi Jl. A. Yani Km. 17,5 RT. 13 Kel. Landasan Ulin Barat Kec. Liang Anggang. Petugas menuju lokasi pelapor dan melakukan pencarian. Ular tidak berhasil ditemukan. Petugas mengerahkan 1 Unit Ops Damkar Mobil Hilux Kajama Rescue.</t>
  </si>
  <si>
    <t xml:space="preserve">Insyan No Hp. 085398466335 </t>
  </si>
  <si>
    <t>Kamis, 19 Desember 2024</t>
  </si>
  <si>
    <t>19.36 s/d 20.30 Wita</t>
  </si>
  <si>
    <t>Menindaklanjuti laporan warga perihal meminta bantuan evakuasi pohon tumbang yang menutup akses jalan umum beralamat Perumahan Kehutanan Jl. Wanabhakti RT. 10 RW. 02 Kel. Sungai Besar Kec. Banjarbaru Selatan. Petugas menuju lokasi pelapor dan melakukan evakuasi. Pohon berhasil di evakuasi dan dibersihkan. Petugas mengerahkan 1 Unit Ops Damkar Mobil Hilux Kajama Rescue.</t>
  </si>
  <si>
    <t>Call Center 112 an. M. Nazar Khulaifi / Abu Abdillah No Hp. 081352322104</t>
  </si>
  <si>
    <t>Jum`at, 20 Desember 2024</t>
  </si>
  <si>
    <t>10.26 s/d 11.10 Wita</t>
  </si>
  <si>
    <t>Menindaklanjuti laporan warga perihal meminta bantuan evakuasi anjing liar yang meresahkan beralamat Jl. Transad Palam Blok C RT. 09 RW. 03 Kel. Palam Kec. Cempaka. Petugas menuju lokasi pelapor dan melakukan pencarian. Sesampai di lokasi petugasberhasil menemukan anjing tersebut. Petugas mengerahkan 1 Unit Ops Damkar Mobil Hilux Kajama Rescue.</t>
  </si>
  <si>
    <t>Abah Jihan No Hp. 085249961798</t>
  </si>
  <si>
    <t>Sabtu, 21 Desember 2024</t>
  </si>
  <si>
    <t>09.32 s/d 10.17 Wita</t>
  </si>
  <si>
    <t>Menindaklanjuti laporan warga perihal meminta bantuan evakuasi ular yang berada di rumah pelapor beralamat Jl. Mistarcokrokusumo Komp. Kehutanan No. 43 D RT. 25 RW. 05 Kel. Sungai Besar Kec. Banjarbaru Selatan. Ular tidak berhasil ditemukan. Petugas mengerahkan 1 Unit Ops Damkar Mobil Hilux Kajama Rescue.</t>
  </si>
  <si>
    <t>Marno No Hp. 0852466082824</t>
  </si>
  <si>
    <t>Senin, 23 Desember 2024</t>
  </si>
  <si>
    <t>20.00 s/d 21.10 Wita</t>
  </si>
  <si>
    <t>Menindaklanjuti laporan warga an.  perihal meminta bantuan evakuasi ular berada di bawah Kitchen Set dapur rumah beralamat Jl. A. Yani Km. 33 Kel. Loktabat Utara Kec. Banjarbaru Utara. Petugas menuju lokasi pelapor dan melakukan pencarian. Ular tidak berhasil ditemukan. Petugas mengerahkan 1 Unit Ops Damkar Mobil Hilux Kajama Rescue.</t>
  </si>
  <si>
    <t>Syauqi Rahman No Hp. 081351058882</t>
  </si>
  <si>
    <t>Selasa, 24 Desember 2024</t>
  </si>
  <si>
    <t>13.08 s/d 13.40 Wita</t>
  </si>
  <si>
    <t>Menindaklanjuti laporan warga perihal meminta bantuan evakuasi ular di pekaranagan rumah pelapor beralamat Jl. Trikora Rumah Dinas Pengadilan Negeri Banjarabaru Kel. Guntung Paikat Kec. Banjarbaru Selatan. Ular berhasil di evakuasi dan dilepasliarkan. Petugas mengerahkan 1 unit Ops Damkar Mobil Hilux Kajama Rescue.</t>
  </si>
  <si>
    <t>Wiko No Hp. 085643134439</t>
  </si>
  <si>
    <t>Rabu, 25 Desember 2024</t>
  </si>
  <si>
    <t>13.05 s/d 13.45 Wita</t>
  </si>
  <si>
    <t>Menindaklanjuti laporan warga  perihal meminta bantuan evakuasi kucing yang terjebak di atas plafon rumah beralamat Komp. Griya Mandiri Utama Jl. Prambaian RT. 35 RW. 07 No. 39 Kel. Sungai Ulin Kec. Banjarbaru Utara. Kucing berhasil di evakuasi dengan selamat. Petugas mengerahkan 1 Unit Ops Damkar Kajama Rescue.</t>
  </si>
  <si>
    <t>Ira No Hp. 085232424690</t>
  </si>
  <si>
    <t>Jum`at, 27 Desember 2024</t>
  </si>
  <si>
    <t>21.20 s/d 22.12 Wita</t>
  </si>
  <si>
    <t>Menindaklanjuti laporan warga perihal meminta bantuan evakuasi mobil yang berada di rumah pelapor beralamat Komp. Griya Mulya I Guntung Harapan Kel. Guntung Manggis Kec. Landasan Ulin. Mobil berhasil di evakuasi. Petugas mengerahkan 1 Unit Ops Damkar Mobil Hilux Kajama Rescue.</t>
  </si>
  <si>
    <t>Haris No Hp. 0895335832668</t>
  </si>
  <si>
    <t>Sabtu, 28 Desember 2024</t>
  </si>
  <si>
    <t>17.56 s/d 19.45 Wita</t>
  </si>
  <si>
    <t>Menindalanjuti laporan warga perihal tentang adanya pohon tumbang beralamat Jl. Husni Thambrin samping SMK Telkom Kel. Komet Kec. Banjarbaru Utara. Petugas langsung menuju lokasi pelapor dan melakukan evakuasi. Pohon berhasil di evakuasi. Petugas mengerahkan 1 Unit Ops Damkar Mobil Hilux Kajama Rescue.</t>
  </si>
  <si>
    <t>Grup WA Emergency Banjarbaru an. Yudha No Hp. 083141409699</t>
  </si>
  <si>
    <t>Minggu, 29 Desember 2024</t>
  </si>
  <si>
    <t>21.52 s/d 23.05 Wita</t>
  </si>
  <si>
    <t>Menindaklanjuti laporan warga perihal meminta bantua evakuasi ular yang berada di atas kerangka atap rumah beralamat Jl. Caraka Komp. CMP No J 12 RT. 12 RW. 10 Kel. Landasan Ulin Utara Kec. Liang Aggang. Petugas berhasil mengevakuasi ular tersebut dan dilepasliarkan. Petugas mengerahkan 1Unit Ops Damkar Mobil Hilux Kajama Rescue.</t>
  </si>
  <si>
    <t>Eko No Hp. 081649338978</t>
  </si>
  <si>
    <t>Menindaklanjuti laporan warga perihal meminta bantuan evakuasi ular yang berada dirumah tetangga beliau an. Siti Fatimah beralamat Jl. Medan RT. 04 RW. 01 No. 217 Kel. Sungai Besar Kec. Banjarbaru Selatan. Ular berhasil di evakuasi petugas dan ular dilepasliarkan. Petugas mengerahkan 1 Unit Ops Damkar.</t>
  </si>
  <si>
    <t>Menindaklanjuti laporan warga perihal tentang adanya ular dikandang ayam samping rumah beliau yang sudah memangsa ayam milik beiau beralamat Jl. Danau Seran RT. 19 RW. 03 Kel.Guntung Manggis Kec. Landasan Ulin. Ular berhasil di evakuasi dan dilepasliarkan. Mengerahkan 1 Unit Ops Damkar.</t>
  </si>
  <si>
    <t>Menindaklanjuti laporan warga perihal meminta bantuan evakuasi ular yang berada di dalam dapur rumah beliau beralamat Jl. Tunas Baru Komp. Griya Asri Abadi 1 RT. 29 RW. 07 Kel. Sungai Ulin Kec. Banjarbaru Utara. Ular berhasil di evakuasi dan dilepasliarkan. Petugas mengerahkan 1 Unit Ops Damkar</t>
  </si>
  <si>
    <t>10 orang/2 unit</t>
  </si>
  <si>
    <t>TAHUN 2024</t>
  </si>
  <si>
    <t>Kamis, 1 Februari 2024</t>
  </si>
  <si>
    <t>14.28  s/d 16.10 Wita</t>
  </si>
  <si>
    <t>Menindaklanjuti laporan warga perihal telah terjadi kebakaran Bangunan di SDN 2 Kemuning yang beralamat di Jl. Kartini RT. 21 RW. 05 Kel. Kemuning Kec. Banjarbaru Selatan. Laporan di terima pukul 14.20 Wita petugas pun langsung bergerak ke lokasi terjadinya kebakaran. Api berhasil dipadamkan. Akibat yang ditimbulkan 4 buah Rumah Dinas Sekolah dan 1 buah gudang terbakar. 2 buah rumah rusak berat a/n. Ibu Rahmi dan Anoor. 2 buah rusak ringan dengan keadaan kosong. Asal api belum diketahui dan masih dalam penyelidikan pihak yang berwajib. Kerugian diperkirakan kurang lebih 300 Jutaan. Petugas mengerahkan 2 Unit Ops Damkar</t>
  </si>
  <si>
    <t>Ricky No Hp. 0819098000201</t>
  </si>
  <si>
    <t>14.20 Wita</t>
  </si>
  <si>
    <t>Kamis, 08 Februari 2024</t>
  </si>
  <si>
    <t>22.11 s/d 23.30 Wita</t>
  </si>
  <si>
    <t>22.02 Wita</t>
  </si>
  <si>
    <t>Menindaklanjuti Laporan tentang adanya kebakaran bangunan di Komplek Perumahan PLN Wilayah Kalselteng Jl. Panglima Batur RT. 01 RW.06 No. A 14, 15, 16 Kel. Mentaos Kec. Banjarbaru Utara. Laporan diterima pada pukul 22.02 Wita, petugas langsung meluncur kelokasi kejadian dan dilokasi petugas melakukan pemadaman, pendinginan dan pendataan. diketahui akibat kebakaran 3 buah Rumah terbakar dengan rusak berat. 2 rumah tanpa penghuni. 1 buah rumah berpenghuni a/n. Thoha Solihin 1 KK 4 Jiwa. Kerugian bangunan kurang lebih 400 Juta Rupiah. Petugas mengerahkan 2 Unit Ops Damkar.</t>
  </si>
  <si>
    <t xml:space="preserve"> Ibu Ida No Hp. 083836466700</t>
  </si>
  <si>
    <t>Senin, 19 Februari 2024</t>
  </si>
  <si>
    <t>19.08 s/d Selesai Wita</t>
  </si>
  <si>
    <t xml:space="preserve">Menindaklanjuti laporan warga perihal telah terjadi kebakaran bangunan yang beralamat Jl. Gotong Royong Gg. Manggis RT. 16 RW. 04 Kel. Syamsudin Noor Kec. Landasan Ulin. Laporan diterima pada Pukul 18.57 Wita Petugas langsung meluncur ke lokasi kejadian. Di Lokasi petugas melakukan Pemadaman, Pendingina dan Pendataan. Terdampak kebakaran 1 Buah Rumah beserta Warung A/n. Pitrus Fatri (pemilik rumah) dihuni 1 KK 2 Jiwa. Penyebab kebakaran masih dalam penyelidikan pihak berwajib. Kerugian kurang lebih 300 juta. Petugas mengerahkan 1 Unit Ops Damkar. </t>
  </si>
  <si>
    <t xml:space="preserve"> Bapak M. Subakhi No Hp. 081348107468</t>
  </si>
  <si>
    <t>18.57 Wita</t>
  </si>
  <si>
    <t>Rabu, 28 Februari 2024</t>
  </si>
  <si>
    <t>02.00 s/d 03.15 Wita</t>
  </si>
  <si>
    <t>Menindaklanjuti laporan grup emergency banjarbaru bahwa telah terjadi kebakaran bangunan kandang ayam. Kondisi kandang ayam keadaan kosong baru panen uk. P : 50m L : 5m yang beralamat Jl. Sumber Makmur 1 RT. 07 RW. 04 Kel. Landasan Ulin Utara Kec. Liang Anggang. Pemilik an. Mukhtar Supian. Asal api masih dalam proses penyelidikan Kepolisian. Kondisi bangunan habis terbakar terbuat dari bahan kayu. Kerugian diperkirakan kurang lebih 50 juta rupiah. Petugas mengerahkan 2 Unit Ops Damkar</t>
  </si>
  <si>
    <t>Sabtu, 16 Maret 2024</t>
  </si>
  <si>
    <t>13.16 s/d 15.50 Wita</t>
  </si>
  <si>
    <t>Menidaklanjuti laporan dari Grup Emergency Banjarbaru bahwa telah terjadi kebakaran bangunan padat penduduk beralamat Jl. Mistarcokrokusumo Kel. Cempaka Kec. Cempaka. Laporan diterima pada Pukul 13.07 Wita petugas lansung meluncur ke lokasi keajadian. Dilokasi api membesar Petugas melakukan penyemprotan mengerahkan 3 Unit Ops Damkar. Api berhasil dipadamkan dan petugas melakukan pendingian dan pendataan. Data rumah yang terdampak  RT. 06 RW. 02. 1. Abdul Fatah 6 Jiwa Rusak Ringan, 2. Zainul Falihi 5 Jiwa Rusak Berat, 3. Hj. Nurul Khair Ikhrom 6 Jiwa Rusak Berat 3. Hj. Nurhayani dan Winda 5 Jiwa Rusak Berat 6. Khalifah 4 Jiwa Rusak Ringan 5. Sarniah dan M. Tarmiji 7 Jiwa Rusak Berat, Masrani 1 Jiwa Rusak Berat, 8 Raudah 1 Jiwa Rusak Sedang, 9 Musholla Rusak Sedang. Data Rumah Terdampak RT. 23 RW. 02. 1 Rabiatul Adiwiyah 4 Jiwa Rusak Berat, 2. Akhmad 7 Jiwa Rusak Berat, 3. Samlani 5 Jiwa Rusak Berat, 4. Hj. Adaniah 3 Jiwa Rusak Berat, 5. Hapsah 4 Jiwa Rusak Sedang, 6. M. Kusairi 8 Jiwa Rusak Sedang, 7. Alm. Fullah Rumah Kosong Rusak Berat, 8. Nuraini 4 Jiwa Rusak Berat. Jumlah 17 buah rumah yang terdampak dan kerugian diperkirakan kurang lebih 1 Miliyar. Asal api masih dalam proses penyelidikan Kepolisian.</t>
  </si>
  <si>
    <t>13.07 Wita</t>
  </si>
  <si>
    <t>Minggu, 24 Maret 2024</t>
  </si>
  <si>
    <t>19.30 s/d 21.00 Wita</t>
  </si>
  <si>
    <t>Menindaklajuti laporan Grup WA Emergency Banjarbaru bahwa telah terjadi kebakaran bangunan di daerah golf beralamat Jl. Pelita 3 RT. 03 RW. 03 Kel. Landasan Ulin Utara Kec. Liang Anggang. Petugas menerima laporan 19.25 Wita. Petugas langsung meluncur ke lokasi kejadian. Terdampak 2 buah rumah 1. a/n. Sugeng 4 Jiwa. 2. a/n. Siti 2 Jiwa. Asal api masih dalam tahap penyelidikan kepolisian. Petugas mengerahkan 3 Unit Ops Damkar.</t>
  </si>
  <si>
    <t>13 orang/3 unit</t>
  </si>
  <si>
    <t>Senin, 8 April 2024</t>
  </si>
  <si>
    <t>Menindaklanjuti laporan via grup WA Emergency Banjarbaru telah terjadi kebakaran bangunan dan Laporan diterima pada pukul 23.28 Wita yang beralamat Jl. Pumpung RT. 30 RW. 10 Kel. Sungai Tiung Kec. Cempaka. Petugas menuju lokasi kejadian dan Api berhasil dipadamkan. Terdampak 2 buah rumah rusak ringan sekitar 20%. Pemilik rumah : 1. Ibu Winda Arika (Ketua RT) dan Muhammad Rijali (1 KK 2 Jiwa) 2. Ibu Jurmiah dan Dicky Irawan (1 KK 2 Jiwa) . Petugas mengerahkan 2 Unit Ops Damkar.</t>
  </si>
  <si>
    <t>Jum`at, 19 april April 2024</t>
  </si>
  <si>
    <t>18.37 Wita</t>
  </si>
  <si>
    <t>18.50 s/d 19.40 Wita</t>
  </si>
  <si>
    <t>04.51  Wita</t>
  </si>
  <si>
    <t>05.05 s/d 06.30 Wita</t>
  </si>
  <si>
    <t>Menindaklanjuti laporan warga perihal telah terjadi kebakaran bangunan pada pukul 04.51 Wita beralamat Jl. Mistarcokrokusumo RT. 01 RW. 01 Kel. Bangkal Kec. Cempaka. Terdampak 1 buah rumah terbakar habis an. Bapak Agus (1 KK 2 Jiwa) rumah tersebut berdampingan dengan bangsau atau tempat pengolahan kayu Bapak Taufik. Petugas mengerahkan 2 Unit Ops Damkar.</t>
  </si>
  <si>
    <t>Bapak Muhammad Syarkawi No Hp. 081649770559</t>
  </si>
  <si>
    <t>5 orang/ 2 unit</t>
  </si>
  <si>
    <t>Rabu, 8 Mei 2024</t>
  </si>
  <si>
    <t>18.02  Wita</t>
  </si>
  <si>
    <t>18.09 s/d 18.50 Wita</t>
  </si>
  <si>
    <t>Menindaklanjuti laporan warga pada Pukul 18.02 Wita perihal telah terjadi kebakaran bangunan yang beralamat Jl. A. Yani Gg. Bersama RT. 03 RW. 06 Kel. Komet Kec. Banjarbaru Utara. 1 buah spring bed serta beberapa pakaian terbakar. Petugas berhasil memadamkan api tersebut. Terdampak 1 KK 3 Jiwa ( Ibu Maryati). Kerugian berupa 1 buah spring bed, pakaian, 1 lemari. Awal api diperkirakan dari konsleting listrik. Petugas mengerahkan 1 Unit Ops Damkar.</t>
  </si>
  <si>
    <t xml:space="preserve"> Bapak Najuari No Hp. 08386625264 </t>
  </si>
  <si>
    <t>02.15 s/d 03.20 Wita</t>
  </si>
  <si>
    <t>02.05  Wita</t>
  </si>
  <si>
    <t>Sabtu, 1 Juni 2024</t>
  </si>
  <si>
    <t>22.13 Wita</t>
  </si>
  <si>
    <t>Menindaklanjuti laporan warga alamat Jl. A. Yani Km. 35 RT. 03 Kel. Komet Kec. Banjarbaru Utara. Laporan diterima pada Pukul 02.05 Wita petugas langsung menuju lokasi terjadinya kebakaran. Api dapat dipadamkan. Api membakar bagian plafon dan benda-benda disekitarnya. Terdampak Kerusakan pada langit-langit Parkiran dan beberapa lemari. Petugas mengerahkan 1 Unit Ops Damkar.</t>
  </si>
  <si>
    <t xml:space="preserve">Abu Gifari Via Grup Emergency Banjarbaru No Hp. 085348062161 </t>
  </si>
  <si>
    <t>Karyawan Indomaret Bundaran Palam No Hp. 085249041202</t>
  </si>
  <si>
    <t>Menindaklanjuti laporan  telah terjadi kebakaran di Ruko sebelah Indomaret beralamat Jl. Trikora Bundaran Palam RT. 14 RW. 01 Kel. Guntung Manggis Kec. Landasan Ulin. Laporan diterima pada Pukul 22.13 Wita, petugaspun langsung menuju lokasi kebakaran. Proses pemadaman sedikit terhambat dikarenkan Rolling Door ruko tersebut terkunci. Maka petugas mengambil tindakan membobol kunci gebok tersebut. Petugas melakukan pemadaman dan akibat terdampat kebakaran yaitu beberapa dus bahan Hand Sanitizer isi ulang dan benda plastik sekitarnya. Petugas mengerahkan 1 Unit Ops Damkar.</t>
  </si>
  <si>
    <t>Senin, 10 Juni 2024</t>
  </si>
  <si>
    <t>19.54 s/d 20.50 Wita</t>
  </si>
  <si>
    <t>Menindaklanjuti laporan warga  perihal telah terjadi kebakaran bangunan rumah yang beralamat Jl. Trikora Komp. Berlina Jaya III RT. 17 RW. 02 Blok A No. 19 Kel. Guntung Manggis Kec. Landasan Ulin. Petugas menirima laporan pada Pukul 19.46 Wita. Petugaspun langsung menuju lokasi Kebakaran. Petugas melakukan pemadaman dan pendinginan. Adapun yang terdampak 1 Buah Rumah terbakar 80%  an. Bapak Sudaryanto 2 KK 7 Jiwa kerugian materil keurang lebih 80 juta rupiah. Petugas mengerahkan 1 Unit Ops Damkar.</t>
  </si>
  <si>
    <t xml:space="preserve"> Ibu Bibil No Hp. 087744507968</t>
  </si>
  <si>
    <t>19.46 Wita</t>
  </si>
  <si>
    <t>13.57 s/d 15.00 Wita</t>
  </si>
  <si>
    <t>13.47 Wita</t>
  </si>
  <si>
    <t>Menindaklanjuti laporan dari bahwa telah terjadi kebakaran bangunan (rumah) yang api masih membubuk di dalam. Laporan diterima pada Pukul 13.47 Wita Petugas langsung menuju lokasi terjadi kebakaran beralamat Komp. Sulung Residence Blok. A No. 19 RT.11 RW. 03 Kel. Landasan Ulin Tengah Kec. Liang Anggang. Api berhasil dipadamkan, terdampak peralatan rumah tangga terbakar, pemilik rumah an. Ali Yasin (disewakan), kerugian kurang lebih 10 juta rupiah, asal api masih dalam tahap penyelidikan Kepolisian. Petugas mengerahkan 1 Unit Ops Damkar Kajama Fire Truck.</t>
  </si>
  <si>
    <t xml:space="preserve">Grup WA emergency Kota Banjarbaru </t>
  </si>
  <si>
    <t>Jum`at, 9 Agustus 2024</t>
  </si>
  <si>
    <t>19.34 Wita</t>
  </si>
  <si>
    <t>19.49 s/d 21.10 Wita</t>
  </si>
  <si>
    <t>Menindaklanjuti laporan  tentang adanya Kebakaran Bangunan beralamat Jl. Suka Maju Komp. Citra Mandiri RT. 04 RW. 01 Kel. Landasan Ulin Utara Kec. Liang Anggang. Laporan diterima pada Pukul 19.34 Wita. Petugas melakukan persiapan dan menuju lokasi kejadian. Petugas sampai di lokasi pada Pukul 19.49 Wita. Petugas melakukan pemadaman dan pendinginan. Terdampak 2 Buah rumah terbakar 1 KK 4 Jiwa 1. Hermansyah 2. Hernawati Agustina 3. Caca 4. Hafid. Asal api masih dal penyelidikan Kepolisian. Petugas mengerahkan 1 Unit Ops Damkar Ton VII.</t>
  </si>
  <si>
    <t>15.20 s/d 15.50 Wita</t>
  </si>
  <si>
    <t xml:space="preserve">Menindaklanjuti laporan warga  bahwa telah terjadi kebakaran bangunan. Laporan diterima pada pukul 15.09 Wita. Beralamat Jl. Perjuangan Komp. Pesona Fitria Mandiri RT. 08 RW. 03 Kel. sungai Tiung Kec. Cempaka. Petugas sampai di lokasi kebakaran pukul 15.20 Wita. Petugas melakukan penyemprotan dan pendinginan untuk memastikan api sudah padam. Terdampak Luas Bangunan 6 x 4 Meter yang dihuni 1 KK 4 Jiwa an. Halifah kerugian diperkirakan 20 Juta Rupiah. Asal api masih dalam penyelidikan pihak Kepolisian. Petugas mengerahkan  2 Unit Ops Damkar Kajama Tangki 3500 dan 4000. </t>
  </si>
  <si>
    <t xml:space="preserve"> Bapak Fai No Hp. 082272701808 melalui Via Grup Emergency Kota Banjarbaru</t>
  </si>
  <si>
    <t xml:space="preserve"> 11 orang/2unit</t>
  </si>
  <si>
    <t>Kamis, 29 Agustus 2024</t>
  </si>
  <si>
    <t>06.37 s/d 08.04 Wita</t>
  </si>
  <si>
    <t xml:space="preserve">Menindaklanjuti laporan melaporkan bahwa telah terjadi kebakaran bangunan. Laporan diterima pada pukul 06.35 Wita. Beralamat Komp. Pesona Puri Banjar Asri Blok G No. 10 RT. 27 RW. 04 Kel. Guntung Manggis Kec. Landasan Ulin. Petugas sampai di lokasi kebakaran pukul 06.37 Wita. Petugas melakukan penyemprotan dan pendinginan untuk memastikan api sudah padam. Pemilik Rumah An.Karta Ismaya 1 KK 4 Jiwa (Alin, Maulita dan Sari). Terdampak bagian dapur rumah habis terbakar dan kerugian diperkirakan 30 Juta Rupiah. Asal api masih dalam penyelidikan pihak Kepolisian. Petugas mengerahkan  1 Unit Ops Damkar Kajama Tangki. </t>
  </si>
  <si>
    <t xml:space="preserve"> warga No Hp. 081253189990</t>
  </si>
  <si>
    <t>06.35 Wita</t>
  </si>
  <si>
    <t>11.03 s/d 11.58 Wita</t>
  </si>
  <si>
    <t>10.55 Wita</t>
  </si>
  <si>
    <t xml:space="preserve">Menindaklanjuti laporan warga  perihal telah terjadi kebakaran bangunan beralamat Komp. Mustika Indah Blok 33 RT. 04 RW. 06 Kel. Guntung Manggis Kec.Landasan Ulin. Laporan awal di terima pada pukul 10.55 Wita dan petugas sampai dilokasi pada pukul 11.03 Wita. Petugas sesampai dilokasi melakukan penyemprotan dan pendinginan untuk memastikan bahwa api benar-benar padam. Pemilik Rumah an. Ibu Winarti 1 KK 1 Jiwa telah menghanguskan 1 buah rumah bagian dapur. Kerugian diperkiran kurang lebih 30 Juta Rupiah. Asal api masih dalam tahap penyelidikan Kepolisian. Petugas mengerahkan 1 Unit Ops Damkar Kajama Tangki. </t>
  </si>
  <si>
    <t xml:space="preserve"> Bapak Bram No Hp. 081351999528</t>
  </si>
  <si>
    <t>Rabu, 11 September 2024</t>
  </si>
  <si>
    <t>09.20 s/d 10.10 Wita</t>
  </si>
  <si>
    <t>Menindaklanjuti laporan perihal telah terjadi kebakaran bangunan beralamat Jl. Irigasi RT. 01 RW. 03 Kel. Mentaos Kec. Banajarbaru Utara. Terdampak 1 area kamar tidur, kasur, baju dan lemari terbakar. Dihuni 1 KK 4 Jiwa an. Yulius Bonsaeli., luas bangunan 8 x 4 M. Kerugian diperkirakan kurang lebih 1 Juta Rupiah. Asal api masih dalam tahap penyelidikan Kepolisian. Petugas mengerahkan 1 Unit Ops Damkar Kajama Tangki.</t>
  </si>
  <si>
    <t xml:space="preserve"> Via Grup WA Emergency Banjarbaru an. Ahmad Rivaldi No Hp. 083105222973 </t>
  </si>
  <si>
    <t>06.46 s/d 07.35 Wita</t>
  </si>
  <si>
    <t>Menindaklanjuti laporan warga perihal telah terjadi kebakaran bangunan beralamat Jl. Bhayangkara Kel. Sungai Besar Kec. Banjarbaru Selatan. Petugas melakukan penyemprotan, pendinginan dan pengecekan. Terdampak bahan pengolahan gypsum berbahan dasar karet di gudang tempat usaha an. M. Syaifullah. Kerugian kurang lebih 5 Juta Rupiah. Petugas mengerahkan 1 Unit Ops Damkar Kajama Tangki.</t>
  </si>
  <si>
    <t>Via Call Center 112 an. Fahmi No Hp. 081528685710</t>
  </si>
  <si>
    <t>Sabtu, 21 September 2024</t>
  </si>
  <si>
    <t>14.06 s/d 15.40 Wita</t>
  </si>
  <si>
    <t>Menindaklanjuti laporan warga bahwa telah terjadi kebakaran bangunan rumah beralamat Jl. Sidomulyo Raya No. 74 RT. 03 RW. 09 Kel. Landasan Ulin Timur Kec, Landasan Ulin. Terdampak 1 Buah Rumah habis terbakar + 2 Unit Sepeda motor, pemilik rumah an. Suprapto 1 KK 5 Jiwa. Kerugian di diperkirakan Ratusan Juta Rupiah. Asal api masih dalam tahap penyelidikan Kepolisian. Petugas mengerahkan 1 Unit Ops Damkar Kajama Tangki.</t>
  </si>
  <si>
    <t xml:space="preserve"> Via Grup WA Emergency Banjarbaru</t>
  </si>
  <si>
    <t>05.16 s/d 06.40 Wita</t>
  </si>
  <si>
    <t>Menindaklanjuti laporan perihal telah terjadi kebakaran bangunan Pabrik Omah Es beralamat Jl. Trans Gunung Kupang RT. 01 RW. 39 Kel. Cempaka Kec. Cempaka. Petugas langsung meluncur ke lokasi kejadian dan melakukan pemadaman, pendinginan dan pengecekan kembali memastikan api sudah padam. Terdampak Pabri Es habis terbakar, pemilik an. Kelana Jaya. petugas mengerahkan 2 Unit Ops Damkar Kajama Tangki dan Ton VII.</t>
  </si>
  <si>
    <t>warga No Hp. 082255295234</t>
  </si>
  <si>
    <t>5 orang/2 unit</t>
  </si>
  <si>
    <t>Kamis, 10 Oktober 2024</t>
  </si>
  <si>
    <t>08.15 s/d 09.18 Wita</t>
  </si>
  <si>
    <t>Menindaklanjuti laporan warga telah terjadi kebakaran bangunan beralamat Jl. Gunung Permai Barat IV RT. 38 RW. 07 Kel. Sungai Besar Kec. Banjarbaru Selatan. Petugas menerima laporan pada Pukul 08.05 Wita dan sampai di lokasi kejadian 08.15 Wita. Terdampak bangunan rumah yang terbakar gudang dan atap. Kerugian puluhan juta rupiah dan asal api kertas telur yang dibakar untuk mengusir tawon. Petugas mengerahkan 2 Unit Ops Damkar Kajama Tangki dan Ton VII.</t>
  </si>
  <si>
    <t>Amalia Putri No hp. 087704273850</t>
  </si>
  <si>
    <t>08.05 Wita</t>
  </si>
  <si>
    <t>Rabu, 16 Oktober 2024</t>
  </si>
  <si>
    <t>09.12 Wita</t>
  </si>
  <si>
    <t>09.22 s/d 10.08 Wita</t>
  </si>
  <si>
    <t>Menindaklanjuti laporan telah terjadi kebakaran bangunan beralamat Jl. Trikora No. 96 RT. 06 RW. 06 Kel. Landasan Ulin Timur Kec. Landasan Ulin. Laporan diterima pada Pukul 09.12 Wita dan tiba doi lokasi 09.22 Wita. Petugas melakukan penyemprotan, pendinginan dan pengecekan ulang api benar-benar sudah padam. Terdampak pemilik an. Tiara 1 Buah Warung terbakar habis, total kerugian kurang lebih 90 Juta Rupiah. Asal api masih dalam tahap penyelidikan Kepolisian. Petugas mengerahkan 2 Unit Ops Damkar Kajama Tangki 3500 dan 4000.</t>
  </si>
  <si>
    <t>Grup WA Relawan Damkar</t>
  </si>
  <si>
    <t>Senin, 28 Oktober 2024</t>
  </si>
  <si>
    <t>Menindaklanjuti laporan telah terjadi kebakaran bangunan gudang Jl. A. Yani Km. 22 Jurusan Pleihari Kel. Landasan Ulin Selatan Kec. Liang Anggang. Laporan diterima pada pukul 13.29 Wita dan sampai dilokasi 13.46 Wita. Gudang PT. Fumakilla Indonesia terbakar Gudang Bahan Baku Pembuatan Obat Nyamuk kerugian kurang lebih 865 Juta Rupiah. Petugas melakukan penyemprotan, pendinginan dan pengecekan. Asal api masih dalam tahap penyelidikan Kepolisian. Petugas mengerahkan 2 Unit Ops Damkar Ton VII dan Kajama Tangki.</t>
  </si>
  <si>
    <t>Via WA Grup Emergency Banjarbaru</t>
  </si>
  <si>
    <t>13.29 Wita</t>
  </si>
  <si>
    <t>13.46 s/d 14.56 Wita</t>
  </si>
  <si>
    <t>Sabtu, 2 November 2024</t>
  </si>
  <si>
    <t>06.45  s/d 08.00 Wita</t>
  </si>
  <si>
    <t>kebocoran gas</t>
  </si>
  <si>
    <t>Menindaklanjuti laporan warga perihal telah telah terjadi kebakaran bangunan berlamat Jl. Angkasa Kurnia III RT. 04 RW. 03 No. C4 Kel. Landasan Ulin Utara Kec. Liang Anggang. Terdampak bagian dapur rumah terbakar. Pemilik rumah an. Khairuddin 1 KK 5 Jiwa. Asal api diperkirakan dari kebocoran gas saat pemilik rumah sedang memasak. Petugas mengerahkan 1 Unit Ops Damkar Mobil Hino Kajama Tangki.</t>
  </si>
  <si>
    <t>Umu Fathum No Hp. 085821866758</t>
  </si>
  <si>
    <t>kebocoran regulator gas</t>
  </si>
  <si>
    <t>12.37  s/d 13.15 Wita</t>
  </si>
  <si>
    <t>Menindaklanjuti laporan bahwa telah terjadi Kebakaran Bangunan di Warung Makan Hot Plate Bdj beralamat J. STM seberang Mini Market Pinus Kel. Komet Kec. Banjarbaru Utara. Pemilik an. Afian Noor Halid terdampak terbakar bagian dapur dan tempat kasir. Api berasal dari kebocoran regulator tabung gas. Kerugian diperkirakan kurang lebih 15 Juta Rupiah. Petugas mengerahkan 1 Unit Ops Damkar Truk Hino Kajama Tangki.</t>
  </si>
  <si>
    <t xml:space="preserve"> Grup WA Emergency Kota Banjarbaru</t>
  </si>
  <si>
    <t xml:space="preserve"> 6 orang/2 unit</t>
  </si>
  <si>
    <t>Kamis, 7 November 2024</t>
  </si>
  <si>
    <t>11.23 s/d 12.20 Wita</t>
  </si>
  <si>
    <t xml:space="preserve">menindaklanjuti laporan warga perihal adanya Kebakaran Bangunan beralamat Jl. Sungai sumba RT. 39 RW. 01Kel. Guntung Manggis Kec. Landasan Ulin. Terdampak 1 buah rumah terbakar 90% + 1 Unit Sepeda Motor an. Muhammad Nasyiri 1 KK 5 Jiwa. Asal api masih dalam tahap penyelidikan Kepolisian. Petugas mengerahkan 2 Unit Ops Damkar Truk Hino Kajama Tangki. </t>
  </si>
  <si>
    <t>Rabu, 4 Desember 2024</t>
  </si>
  <si>
    <t>13.25  s/d 14.15 Wita</t>
  </si>
  <si>
    <t>M. Hijrah Hasfiani No Hp. 082155641614</t>
  </si>
  <si>
    <t>Menindaklanjuti laporan warga perihal tentang adanya kebakaran bangunan di tempat makan Sonic Chicken beralamat Sonic Chicken RT. 13 RW. 02 Kel. Guntung Manggis Kec. Landasan Ulin. Terdampak Bagian dapur 10% terbakar dan 1 orang karyawan luka bakar 5%. Asal api dari kebocoran tabung gas. Petugas mengerahkan 1 Unit Ops Damkar Truk Hino Kajama Tangki.</t>
  </si>
  <si>
    <t xml:space="preserve"> Osmond Yaiba No Hp. 085249606121</t>
  </si>
  <si>
    <t>Rabu, 18 Desember 2024</t>
  </si>
  <si>
    <t>23.44  s/d 01.25 Wita</t>
  </si>
  <si>
    <t>23.35 Wita</t>
  </si>
  <si>
    <t>Menindaklanjuti laporan warga perihal telah terjadi kebakaran bangunan beralamat Jl. Manggis RT. 04 RW. 01 Kel. Guntung Paikat Kec. Banjarbaru Selatan. Laporan diterima pada Pukul 23.35 dan tiba dilokasi pada pukul 23.44 Wita. Terdampak 3 Buah rumah terbakar 5 KK An. Abdul Hamid 4 Jiwa, Abdul Rahman 2 Jiwa, Saiful Azam 4 Jiwa, Halim Matul 2 Jiwa, Rabiatul Rumah Kosong. 1 orang mengalami luka bakar an. Zulkifli. Kerugian diperkirakan 890 Juta Rupiah. Asal api masih dalam tahap penyelidikan Kepolisian. Petugas mengerahkan 3 Unit Ops Damkar Truk Hino Ton VII, Truk Tangki Kajama 3500 Liter 2 Unit.</t>
  </si>
  <si>
    <t xml:space="preserve"> Hamid No Hp. 082157346115</t>
  </si>
  <si>
    <t>Minggu, 22 Desember 2024</t>
  </si>
  <si>
    <t>Menindaklanjuti laporan telah terjadi kebakaran bangunan tempat usaha Rumah Makan Mama Aqila beralamat Jl. Bhayangkara RT. 29 RW. 05 Kel. Sungai Besar Kec. Banjarbaru Selatan. Laporan diterima pada pukul 23.52 dan tiba di lokasi pada pukul 00.00 Wita. Akibat yang ditimbulkan terbakar 50% bangunan bagian dapur. Asal api masih dalam tahap penyelidikan kepolisian. Petugas mengerahkan 2 Unit Ops Damkar Truk Tangki Kajama 3500 dan Truk Ton VII.</t>
  </si>
  <si>
    <t>Call Center 112 warga an. Fajri No Hp. 087786944715</t>
  </si>
  <si>
    <t>Kamis, 26 Desember 2024</t>
  </si>
  <si>
    <t>03.24  s/d 04.30 Wita</t>
  </si>
  <si>
    <t>Via Grup Emergency Banjarbaru an. Ijai No Hp. 081253198336</t>
  </si>
  <si>
    <t>Menindaklanjuti laporan perihal telah terjadi kebakaran bangunan Gudang PEMBAKARAN Aspal Milik PT. Multi Prasaranan Utama beralamat Jl. Pemasiran / Pembataan RT. 06 Kel. Landasan Ulin Selatan Kec. Liang Anggang. Akibat yang ditimbulkan terbakar peralatan produksi. Asal api berasal dari tungku pembakaran aspal yang sulit di kontrol. Petugas mengerahkan 1 Unit Ops Damkar Truk Tangki Kajama 3500 Liter.</t>
  </si>
  <si>
    <t>01.45Wita</t>
  </si>
  <si>
    <t>kandang ayam</t>
  </si>
  <si>
    <t>19.15 Wita</t>
  </si>
  <si>
    <t xml:space="preserve">lapak </t>
  </si>
  <si>
    <t>18.38 Wita</t>
  </si>
  <si>
    <t>22.21 s/d 23.55 Wita</t>
  </si>
  <si>
    <t>Menindaklanjuti laporan dari Grup WA Emergency Banjarbaru telah terjadi kebakaran pada pukul 18.38 Wita beralamat Jl. A. Yani Samping Radar Banjarmasin Kel. Landasan Ulin Timur Kec. Landasan Ulin. Petugas langsung menuju lokasi terdampak 1 buah lapak barang bekas ukuran 2 x 3 Meter yang terbakar. Petugas mengerahkan 1 Unit Ops damkar</t>
  </si>
  <si>
    <t>ruko</t>
  </si>
  <si>
    <t>rumah sewaan</t>
  </si>
  <si>
    <t>15.09 Wita</t>
  </si>
  <si>
    <t>09.07 Wita</t>
  </si>
  <si>
    <t>gudang</t>
  </si>
  <si>
    <t>06.36 Wita</t>
  </si>
  <si>
    <t>13.52 Wita</t>
  </si>
  <si>
    <t>05.09 Wita</t>
  </si>
  <si>
    <t>pabrik es</t>
  </si>
  <si>
    <t>06.31 Wita</t>
  </si>
  <si>
    <t>12.27 Wita</t>
  </si>
  <si>
    <t>warung makan</t>
  </si>
  <si>
    <t>11.13 Wita</t>
  </si>
  <si>
    <t>13.15 Wita</t>
  </si>
  <si>
    <t>restoran</t>
  </si>
  <si>
    <t>23.52 Wita</t>
  </si>
  <si>
    <t>00.00  s/d 01.45 Wita</t>
  </si>
  <si>
    <t>rumah makan</t>
  </si>
  <si>
    <t>03.09 Wita</t>
  </si>
  <si>
    <t>Via Grup WA Emergency Banjarbaru</t>
  </si>
  <si>
    <t xml:space="preserve"> penyemprotan jalan lumpur</t>
  </si>
  <si>
    <t>penyemprotan jalan lumpur</t>
  </si>
  <si>
    <t>penyemprotan jalan solar</t>
  </si>
  <si>
    <t>Cedera</t>
  </si>
  <si>
    <t>Jumlah Kegiatan</t>
  </si>
  <si>
    <t>Ular</t>
  </si>
  <si>
    <t>Kucing</t>
  </si>
  <si>
    <t>Anjing</t>
  </si>
  <si>
    <t>anak-anak terjepit tembok</t>
  </si>
  <si>
    <t>Jumlah Evakuasi Hewan</t>
  </si>
  <si>
    <t>Lebah</t>
  </si>
  <si>
    <t xml:space="preserve">Tawon </t>
  </si>
  <si>
    <t>Musang</t>
  </si>
  <si>
    <t>Monyet</t>
  </si>
  <si>
    <t>Biawak</t>
  </si>
  <si>
    <t>Burung</t>
  </si>
  <si>
    <t>Tikus</t>
  </si>
  <si>
    <t>Cicak</t>
  </si>
  <si>
    <t>Januari</t>
  </si>
  <si>
    <t>Februari</t>
  </si>
  <si>
    <t>Mei</t>
  </si>
  <si>
    <t>Maret</t>
  </si>
  <si>
    <t>April</t>
  </si>
  <si>
    <t>Juni</t>
  </si>
  <si>
    <t>Juli</t>
  </si>
  <si>
    <t>Agustus</t>
  </si>
  <si>
    <t>September</t>
  </si>
  <si>
    <t>Oktober</t>
  </si>
  <si>
    <t>November</t>
  </si>
  <si>
    <t>Desember</t>
  </si>
  <si>
    <t>Jumlah</t>
  </si>
  <si>
    <t>Jumlah Evakuasi lain-lain Non Hewan</t>
  </si>
  <si>
    <t>Pohon</t>
  </si>
  <si>
    <t>Cincin</t>
  </si>
  <si>
    <t>Handphone</t>
  </si>
  <si>
    <t>Kunci Sepeda Motor</t>
  </si>
  <si>
    <t>Mobil</t>
  </si>
  <si>
    <t>Neon Box</t>
  </si>
  <si>
    <t>Banjir</t>
  </si>
  <si>
    <t>Penyemprotan Jalan</t>
  </si>
  <si>
    <t>Drone</t>
  </si>
  <si>
    <t>Lansia</t>
  </si>
  <si>
    <t>Senggung</t>
  </si>
  <si>
    <t>Pintu Rumah</t>
  </si>
  <si>
    <t>Mesin Pompa Air</t>
  </si>
  <si>
    <t>Bekantan</t>
  </si>
  <si>
    <t>Orang Tertimbun Longsor</t>
  </si>
  <si>
    <t>Orang Tenggelam</t>
  </si>
  <si>
    <t>Orang Tercebur Sumur</t>
  </si>
  <si>
    <t>Orang Terjepit Tembok</t>
  </si>
  <si>
    <t>Pagar Tembok Runtuh</t>
  </si>
  <si>
    <t xml:space="preserve">Orang Kecelakan </t>
  </si>
  <si>
    <t>Jumlah Response Time Penanganan Kebakaran</t>
  </si>
  <si>
    <t>P.157/116/TU/DAMKAR/MPBK/2024</t>
  </si>
  <si>
    <t>19.25 s/d 20.20 Wita</t>
  </si>
  <si>
    <t>Menindaklanjuti laporan warga a/n. Bapak Doni No Hp. 085754319778 perihal meminta bantuan evakuasi kucing yang tercebur ke dalam sumur yang beralamat Jl. Bukit Lentera Komplek Vila Cahaya Insan Kel. Sungai besar Kec. Banjarbaru Selatan. Kucing berhasil di evakuasi. Petugas mengerahkan 1 Unit Ops Damkar</t>
  </si>
  <si>
    <t>mobil ban bocor</t>
  </si>
  <si>
    <t>Menindaklanjuti laporan warga perihal meminta bantuan evakuasi binatang yang berada di belakang AC dinding rumah beliau beralamat Komp. Griya Berkah Inferium Blok M No. 5 Kel. Cempaka Kec. Cempaka. Petugas menuju lokasi dan melakukan pencarian. Setelah melakukan pencarian petugas hanya menemukan cicak besar yang berada dibelakang AC. Petugas mengerahkan 1 Unit Ops Damkar</t>
  </si>
  <si>
    <t>TAHUN DIKLAT</t>
  </si>
  <si>
    <t>Tidak Baik</t>
  </si>
  <si>
    <t>Kamis, 22 Agustus 2024</t>
  </si>
  <si>
    <t>Menindaklanjuti laporan warga perihal meminta bantuan evakuasi kucing yang terkunci di dalam rumah kosong beralamat Jl. Karang Rejo No. III RT. 5 RW. 01 Kel. Guntung Manggis Kec. Landasan Ulin. Kucing berhasil di evakuai dengan selamat. Petugas mengerahkan 1 Unit Ops Damkar Kajam Rescue.</t>
  </si>
  <si>
    <t>Panggih Puguh Guntoro No Hp.085386237771</t>
  </si>
  <si>
    <t>JUMLAH PENINGKATAN KAPASITAS APARATUR PEMADAM KEBAKARAN</t>
  </si>
  <si>
    <t>`</t>
  </si>
  <si>
    <t>Tahun</t>
  </si>
  <si>
    <t>Respon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</si>
</sst>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0"/>
      <color rgb="FF000000"/>
      <name val="Times New Roman"/>
      <charset val="204"/>
    </font>
    <font>
      <sz val="11"/>
      <color theme="1"/>
      <name val="Calibri"/>
      <family val="2"/>
      <scheme val="minor"/>
    </font>
    <font>
      <sz val="11"/>
      <color rgb="FF000000"/>
      <name val="Times New Roman"/>
      <family val="1"/>
    </font>
    <font>
      <b/>
      <sz val="11"/>
      <color rgb="FF000000"/>
      <name val="Times New Roman"/>
      <family val="1"/>
    </font>
    <font>
      <b/>
      <sz val="13.5"/>
      <color theme="1"/>
      <name val="Arial"/>
      <family val="2"/>
    </font>
    <font>
      <b/>
      <sz val="18"/>
      <color theme="1"/>
      <name val="Arial"/>
      <family val="2"/>
    </font>
    <font>
      <sz val="11"/>
      <color theme="1"/>
      <name val="Arial"/>
      <family val="2"/>
    </font>
    <font>
      <b/>
      <sz val="12"/>
      <color theme="1"/>
      <name val="Times New Roman"/>
      <family val="1"/>
    </font>
    <font>
      <b/>
      <sz val="10"/>
      <color rgb="FF000000"/>
      <name val="Times New Roman"/>
      <family val="1"/>
    </font>
    <font>
      <u/>
      <sz val="11"/>
      <color rgb="FF000000"/>
      <name val="Times New Roman"/>
      <family val="1"/>
    </font>
    <font>
      <sz val="9"/>
      <name val="Calibri"/>
      <family val="2"/>
      <scheme val="minor"/>
    </font>
    <font>
      <sz val="11"/>
      <name val="Calibri"/>
      <family val="2"/>
      <scheme val="minor"/>
    </font>
    <font>
      <sz val="9"/>
      <color theme="1"/>
      <name val="Calibri"/>
      <family val="2"/>
      <scheme val="minor"/>
    </font>
    <font>
      <b/>
      <sz val="11"/>
      <name val="Calibri"/>
      <family val="2"/>
      <scheme val="minor"/>
    </font>
    <font>
      <b/>
      <sz val="11"/>
      <color theme="1"/>
      <name val="Times New Roman"/>
      <family val="1"/>
    </font>
    <font>
      <b/>
      <sz val="10"/>
      <name val="Calibri"/>
      <family val="2"/>
      <scheme val="minor"/>
    </font>
    <font>
      <b/>
      <sz val="12"/>
      <name val="Calibri"/>
      <family val="2"/>
      <scheme val="minor"/>
    </font>
    <font>
      <b/>
      <sz val="9"/>
      <name val="Calibri"/>
      <family val="2"/>
      <scheme val="minor"/>
    </font>
    <font>
      <sz val="8"/>
      <name val="Calibri"/>
      <family val="2"/>
      <scheme val="minor"/>
    </font>
    <font>
      <sz val="6"/>
      <name val="Calibri"/>
      <family val="2"/>
      <scheme val="minor"/>
    </font>
    <font>
      <b/>
      <sz val="8"/>
      <name val="Calibri"/>
      <family val="2"/>
      <scheme val="minor"/>
    </font>
    <font>
      <sz val="8"/>
      <color theme="1"/>
      <name val="Calibri"/>
      <family val="2"/>
      <scheme val="minor"/>
    </font>
    <font>
      <sz val="10"/>
      <color rgb="FF000000"/>
      <name val="Times New Roman"/>
      <family val="1"/>
    </font>
    <font>
      <sz val="12"/>
      <color rgb="FF000000"/>
      <name val="Times New Roman"/>
      <family val="1"/>
    </font>
    <font>
      <sz val="12"/>
      <name val="Times New Roman"/>
      <family val="1"/>
    </font>
    <font>
      <sz val="8"/>
      <name val="Times New Roman"/>
      <charset val="204"/>
    </font>
    <font>
      <sz val="7"/>
      <color theme="1"/>
      <name val="Calibri"/>
      <family val="2"/>
      <scheme val="minor"/>
    </font>
    <font>
      <sz val="10"/>
      <name val="Times New Roman"/>
      <family val="1"/>
    </font>
    <font>
      <b/>
      <sz val="12"/>
      <color rgb="FF000000"/>
      <name val="Times New Roman"/>
      <family val="1"/>
    </font>
  </fonts>
  <fills count="2">
    <fill>
      <patternFill patternType="none"/>
    </fill>
    <fill>
      <patternFill patternType="gray125"/>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s>
  <cellStyleXfs count="2">
    <xf numFmtId="0" fontId="0" fillId="0" borderId="0"/>
    <xf numFmtId="0" fontId="1" fillId="0" borderId="0"/>
  </cellStyleXfs>
  <cellXfs count="287">
    <xf numFmtId="0" fontId="0" fillId="0" borderId="0" xfId="0" applyAlignment="1">
      <alignment horizontal="left" vertical="top"/>
    </xf>
    <xf numFmtId="0" fontId="2" fillId="0" borderId="0" xfId="0" applyFont="1" applyAlignment="1">
      <alignment horizontal="left" vertical="top"/>
    </xf>
    <xf numFmtId="0" fontId="2" fillId="0" borderId="2" xfId="0" applyFont="1" applyBorder="1" applyAlignment="1">
      <alignment horizontal="center" vertical="center"/>
    </xf>
    <xf numFmtId="0" fontId="3" fillId="0" borderId="2" xfId="0" applyFont="1" applyBorder="1" applyAlignment="1">
      <alignment horizontal="center" vertical="center"/>
    </xf>
    <xf numFmtId="0" fontId="7" fillId="0" borderId="3" xfId="0" applyFont="1" applyBorder="1" applyAlignment="1">
      <alignment horizontal="center" vertical="center"/>
    </xf>
    <xf numFmtId="0" fontId="0" fillId="0" borderId="0" xfId="0" applyAlignment="1">
      <alignment vertical="top" wrapText="1"/>
    </xf>
    <xf numFmtId="0" fontId="4" fillId="0" borderId="0" xfId="0" applyFont="1" applyAlignment="1">
      <alignment vertical="center" wrapText="1"/>
    </xf>
    <xf numFmtId="0" fontId="5" fillId="0" borderId="0" xfId="0" applyFont="1" applyAlignment="1">
      <alignment vertical="center"/>
    </xf>
    <xf numFmtId="0" fontId="6" fillId="0" borderId="0" xfId="0" applyFont="1"/>
    <xf numFmtId="0" fontId="2" fillId="0" borderId="3" xfId="0" applyFont="1" applyBorder="1" applyAlignment="1">
      <alignment horizontal="left" vertical="top"/>
    </xf>
    <xf numFmtId="0" fontId="8" fillId="0" borderId="0" xfId="0" applyFont="1" applyAlignment="1">
      <alignment horizontal="left" vertical="top"/>
    </xf>
    <xf numFmtId="0" fontId="3" fillId="0" borderId="0" xfId="0" applyFont="1" applyAlignment="1">
      <alignment horizontal="center" vertical="top" wrapText="1"/>
    </xf>
    <xf numFmtId="0" fontId="3" fillId="0" borderId="0" xfId="0" applyFont="1" applyAlignment="1">
      <alignment horizontal="center" vertical="top"/>
    </xf>
    <xf numFmtId="0" fontId="3" fillId="0" borderId="2" xfId="0" applyFont="1" applyBorder="1" applyAlignment="1">
      <alignment vertical="center"/>
    </xf>
    <xf numFmtId="0" fontId="3" fillId="0" borderId="0" xfId="0" applyFont="1" applyAlignment="1">
      <alignment vertical="center"/>
    </xf>
    <xf numFmtId="0" fontId="2" fillId="0" borderId="0" xfId="0" applyFont="1" applyAlignment="1">
      <alignment vertical="center"/>
    </xf>
    <xf numFmtId="0" fontId="2" fillId="0" borderId="0" xfId="0" applyFont="1" applyAlignment="1">
      <alignment vertical="top"/>
    </xf>
    <xf numFmtId="0" fontId="2" fillId="0" borderId="0" xfId="0" applyFont="1" applyAlignment="1">
      <alignment horizontal="center" vertical="center"/>
    </xf>
    <xf numFmtId="0" fontId="0" fillId="0" borderId="0" xfId="0" applyAlignment="1">
      <alignment horizontal="left" vertical="center"/>
    </xf>
    <xf numFmtId="0" fontId="9" fillId="0" borderId="0" xfId="0" applyFont="1" applyAlignment="1">
      <alignment vertical="top"/>
    </xf>
    <xf numFmtId="0" fontId="9" fillId="0" borderId="0" xfId="0" applyFont="1" applyAlignment="1">
      <alignment horizontal="center" vertical="center"/>
    </xf>
    <xf numFmtId="0" fontId="11" fillId="0" borderId="0" xfId="1" applyFont="1"/>
    <xf numFmtId="0" fontId="12" fillId="0" borderId="12" xfId="1" applyFont="1" applyBorder="1" applyAlignment="1">
      <alignment horizontal="center" vertical="center"/>
    </xf>
    <xf numFmtId="0" fontId="12" fillId="0" borderId="12" xfId="1" applyFont="1" applyBorder="1" applyAlignment="1">
      <alignment horizontal="left" vertical="center" wrapText="1"/>
    </xf>
    <xf numFmtId="0" fontId="12" fillId="0" borderId="11" xfId="1" applyFont="1" applyBorder="1" applyAlignment="1">
      <alignment horizontal="center" vertical="center" wrapText="1"/>
    </xf>
    <xf numFmtId="0" fontId="12" fillId="0" borderId="2" xfId="1" applyFont="1" applyBorder="1" applyAlignment="1">
      <alignment horizontal="left" vertical="center" wrapText="1"/>
    </xf>
    <xf numFmtId="0" fontId="12" fillId="0" borderId="8" xfId="1" applyFont="1" applyBorder="1" applyAlignment="1">
      <alignment horizontal="center" vertical="center" wrapText="1"/>
    </xf>
    <xf numFmtId="0" fontId="12" fillId="0" borderId="7" xfId="1" applyFont="1" applyBorder="1" applyAlignment="1">
      <alignment horizontal="center" vertical="center" wrapText="1"/>
    </xf>
    <xf numFmtId="0" fontId="12" fillId="0" borderId="7" xfId="1" applyFont="1" applyBorder="1" applyAlignment="1">
      <alignment horizontal="center" vertical="center"/>
    </xf>
    <xf numFmtId="0" fontId="12" fillId="0" borderId="2" xfId="1" applyFont="1" applyBorder="1" applyAlignment="1">
      <alignment horizontal="center" vertical="center" wrapText="1"/>
    </xf>
    <xf numFmtId="0" fontId="12" fillId="0" borderId="0" xfId="1" applyFont="1"/>
    <xf numFmtId="0" fontId="12" fillId="0" borderId="4" xfId="1" applyFont="1" applyBorder="1" applyAlignment="1">
      <alignment horizontal="center" vertical="center"/>
    </xf>
    <xf numFmtId="20" fontId="12" fillId="0" borderId="2" xfId="1" applyNumberFormat="1" applyFont="1" applyBorder="1" applyAlignment="1">
      <alignment horizontal="center" vertical="center" wrapText="1"/>
    </xf>
    <xf numFmtId="0" fontId="12" fillId="0" borderId="2" xfId="1" applyFont="1" applyBorder="1" applyAlignment="1">
      <alignment horizontal="center" vertical="center"/>
    </xf>
    <xf numFmtId="0" fontId="1" fillId="0" borderId="0" xfId="1"/>
    <xf numFmtId="20" fontId="12" fillId="0" borderId="7" xfId="1" applyNumberFormat="1" applyFont="1" applyBorder="1" applyAlignment="1">
      <alignment horizontal="center" vertical="center" wrapText="1"/>
    </xf>
    <xf numFmtId="20" fontId="12" fillId="0" borderId="2" xfId="1" quotePrefix="1" applyNumberFormat="1" applyFont="1" applyBorder="1" applyAlignment="1">
      <alignment horizontal="center" vertical="center" wrapText="1"/>
    </xf>
    <xf numFmtId="0" fontId="12" fillId="0" borderId="11" xfId="1" applyFont="1" applyBorder="1" applyAlignment="1">
      <alignment horizontal="left" vertical="center" wrapText="1"/>
    </xf>
    <xf numFmtId="0" fontId="13" fillId="0" borderId="0" xfId="1" applyFont="1" applyAlignment="1">
      <alignment vertical="center"/>
    </xf>
    <xf numFmtId="0" fontId="12" fillId="0" borderId="15" xfId="1" applyFont="1" applyBorder="1" applyAlignment="1">
      <alignment horizontal="left" vertical="center" wrapText="1"/>
    </xf>
    <xf numFmtId="0" fontId="12" fillId="0" borderId="7" xfId="1" applyFont="1" applyBorder="1" applyAlignment="1">
      <alignment horizontal="left" vertical="center" wrapText="1"/>
    </xf>
    <xf numFmtId="0" fontId="12" fillId="0" borderId="4" xfId="1" applyFont="1" applyBorder="1" applyAlignment="1">
      <alignment horizontal="left" vertical="center" wrapText="1"/>
    </xf>
    <xf numFmtId="20" fontId="12" fillId="0" borderId="11" xfId="1" applyNumberFormat="1" applyFont="1" applyBorder="1" applyAlignment="1">
      <alignment horizontal="center" vertical="center" wrapText="1"/>
    </xf>
    <xf numFmtId="0" fontId="12" fillId="0" borderId="11" xfId="1" applyFont="1" applyBorder="1" applyAlignment="1">
      <alignment horizontal="center" vertical="center"/>
    </xf>
    <xf numFmtId="0" fontId="10" fillId="0" borderId="12" xfId="1" applyFont="1" applyBorder="1" applyAlignment="1">
      <alignment horizontal="left" vertical="center" wrapText="1"/>
    </xf>
    <xf numFmtId="0" fontId="10" fillId="0" borderId="11" xfId="1" applyFont="1" applyBorder="1" applyAlignment="1">
      <alignment horizontal="center" vertical="center" wrapText="1"/>
    </xf>
    <xf numFmtId="0" fontId="10" fillId="0" borderId="2" xfId="1" applyFont="1" applyBorder="1" applyAlignment="1">
      <alignment horizontal="left" vertical="center" wrapText="1"/>
    </xf>
    <xf numFmtId="0" fontId="10" fillId="0" borderId="8" xfId="1" applyFont="1" applyBorder="1" applyAlignment="1">
      <alignment horizontal="center" vertical="center" wrapText="1"/>
    </xf>
    <xf numFmtId="0" fontId="10" fillId="0" borderId="7" xfId="1" applyFont="1" applyBorder="1" applyAlignment="1">
      <alignment horizontal="center" vertical="center" wrapText="1"/>
    </xf>
    <xf numFmtId="0" fontId="10" fillId="0" borderId="7" xfId="1" applyFont="1" applyBorder="1" applyAlignment="1">
      <alignment horizontal="center" vertical="center"/>
    </xf>
    <xf numFmtId="0" fontId="10" fillId="0" borderId="2" xfId="1" applyFont="1" applyBorder="1" applyAlignment="1">
      <alignment horizontal="center" vertical="center" wrapText="1"/>
    </xf>
    <xf numFmtId="20" fontId="10" fillId="0" borderId="7" xfId="1" applyNumberFormat="1" applyFont="1" applyBorder="1" applyAlignment="1">
      <alignment horizontal="center" vertical="center" wrapText="1"/>
    </xf>
    <xf numFmtId="0" fontId="10" fillId="0" borderId="2" xfId="1" applyFont="1" applyBorder="1" applyAlignment="1">
      <alignment horizontal="center" vertical="center"/>
    </xf>
    <xf numFmtId="20" fontId="10" fillId="0" borderId="2" xfId="1" applyNumberFormat="1" applyFont="1" applyBorder="1" applyAlignment="1">
      <alignment horizontal="center" vertical="center" wrapText="1"/>
    </xf>
    <xf numFmtId="0" fontId="10" fillId="0" borderId="11" xfId="1" applyFont="1" applyBorder="1" applyAlignment="1">
      <alignment horizontal="left" vertical="center" wrapText="1"/>
    </xf>
    <xf numFmtId="0" fontId="11" fillId="0" borderId="0" xfId="1" applyFont="1" applyAlignment="1">
      <alignment vertical="center"/>
    </xf>
    <xf numFmtId="0" fontId="11" fillId="0" borderId="0" xfId="1" applyFont="1" applyAlignment="1">
      <alignment horizontal="left"/>
    </xf>
    <xf numFmtId="0" fontId="10" fillId="0" borderId="0" xfId="1" applyFont="1" applyAlignment="1">
      <alignment wrapText="1"/>
    </xf>
    <xf numFmtId="0" fontId="15" fillId="0" borderId="7" xfId="1" applyFont="1" applyBorder="1" applyAlignment="1">
      <alignment horizontal="center"/>
    </xf>
    <xf numFmtId="0" fontId="15" fillId="0" borderId="11" xfId="1" applyFont="1" applyBorder="1" applyAlignment="1">
      <alignment horizontal="center" vertical="center"/>
    </xf>
    <xf numFmtId="0" fontId="15" fillId="0" borderId="8" xfId="1" applyFont="1" applyBorder="1" applyAlignment="1">
      <alignment horizontal="center" vertical="center" wrapText="1"/>
    </xf>
    <xf numFmtId="0" fontId="15" fillId="0" borderId="7" xfId="1" applyFont="1" applyBorder="1" applyAlignment="1">
      <alignment horizontal="center" vertical="center"/>
    </xf>
    <xf numFmtId="0" fontId="0" fillId="0" borderId="0" xfId="0" applyAlignment="1">
      <alignment horizontal="center" vertical="top"/>
    </xf>
    <xf numFmtId="0" fontId="18" fillId="0" borderId="8" xfId="0" applyFont="1" applyBorder="1" applyAlignment="1">
      <alignment horizontal="center" vertical="center"/>
    </xf>
    <xf numFmtId="0" fontId="18" fillId="0" borderId="7" xfId="0" applyFont="1" applyBorder="1" applyAlignment="1">
      <alignment horizontal="center"/>
    </xf>
    <xf numFmtId="0" fontId="18" fillId="0" borderId="10" xfId="0" applyFont="1" applyBorder="1" applyAlignment="1">
      <alignment horizontal="center" vertical="center" wrapText="1"/>
    </xf>
    <xf numFmtId="0" fontId="18" fillId="0" borderId="12" xfId="0" applyFont="1" applyBorder="1" applyAlignment="1">
      <alignment horizontal="center" vertical="center" wrapText="1"/>
    </xf>
    <xf numFmtId="0" fontId="18" fillId="0" borderId="11" xfId="0" applyFont="1" applyBorder="1" applyAlignment="1">
      <alignment horizontal="center" vertical="center"/>
    </xf>
    <xf numFmtId="0" fontId="18" fillId="0" borderId="4" xfId="0" applyFont="1" applyBorder="1" applyAlignment="1">
      <alignment horizontal="center" vertical="center" wrapText="1"/>
    </xf>
    <xf numFmtId="0" fontId="18" fillId="0" borderId="8" xfId="0" applyFont="1" applyBorder="1" applyAlignment="1">
      <alignment horizontal="center" vertical="center" wrapText="1"/>
    </xf>
    <xf numFmtId="0" fontId="18" fillId="0" borderId="7" xfId="0" applyFont="1" applyBorder="1" applyAlignment="1">
      <alignment vertical="center" wrapText="1"/>
    </xf>
    <xf numFmtId="0" fontId="18" fillId="0" borderId="7" xfId="0" applyFont="1" applyBorder="1" applyAlignment="1">
      <alignment horizontal="center" vertical="center"/>
    </xf>
    <xf numFmtId="0" fontId="18" fillId="0" borderId="14" xfId="0" applyFont="1" applyBorder="1" applyAlignment="1">
      <alignment horizontal="center" vertical="center" wrapText="1"/>
    </xf>
    <xf numFmtId="0" fontId="12" fillId="0" borderId="12" xfId="0" applyFont="1" applyBorder="1" applyAlignment="1">
      <alignment horizontal="center" vertical="center"/>
    </xf>
    <xf numFmtId="0" fontId="12" fillId="0" borderId="12" xfId="0" applyFont="1" applyBorder="1" applyAlignment="1">
      <alignment horizontal="left" vertical="center" wrapText="1"/>
    </xf>
    <xf numFmtId="20" fontId="12" fillId="0" borderId="2" xfId="0" applyNumberFormat="1" applyFont="1" applyBorder="1" applyAlignment="1">
      <alignment horizontal="center" vertical="center" wrapText="1"/>
    </xf>
    <xf numFmtId="0" fontId="12" fillId="0" borderId="2" xfId="0" applyFont="1" applyBorder="1" applyAlignment="1">
      <alignment horizontal="left" vertical="center" wrapText="1"/>
    </xf>
    <xf numFmtId="0" fontId="12" fillId="0" borderId="2" xfId="0" applyFont="1" applyBorder="1" applyAlignment="1">
      <alignment horizontal="center" vertical="center"/>
    </xf>
    <xf numFmtId="0" fontId="12" fillId="0" borderId="4" xfId="0" applyFont="1" applyBorder="1" applyAlignment="1">
      <alignment horizontal="center" vertical="center" wrapText="1"/>
    </xf>
    <xf numFmtId="1" fontId="12" fillId="0" borderId="6" xfId="0" applyNumberFormat="1" applyFont="1" applyBorder="1" applyAlignment="1">
      <alignment horizontal="center" vertical="center" wrapText="1"/>
    </xf>
    <xf numFmtId="0" fontId="12" fillId="0" borderId="2" xfId="0" applyFont="1" applyBorder="1" applyAlignment="1">
      <alignment horizontal="center" vertical="center" wrapText="1"/>
    </xf>
    <xf numFmtId="0" fontId="12" fillId="0" borderId="6" xfId="0" applyFont="1" applyBorder="1" applyAlignment="1">
      <alignment horizontal="center" vertical="center" wrapText="1"/>
    </xf>
    <xf numFmtId="20" fontId="12" fillId="0" borderId="12" xfId="0" applyNumberFormat="1" applyFont="1" applyBorder="1" applyAlignment="1">
      <alignment horizontal="center" vertical="center" wrapText="1"/>
    </xf>
    <xf numFmtId="20" fontId="12" fillId="0" borderId="2" xfId="0" quotePrefix="1" applyNumberFormat="1" applyFont="1" applyBorder="1" applyAlignment="1">
      <alignment horizontal="center" vertical="center" wrapText="1"/>
    </xf>
    <xf numFmtId="0" fontId="21" fillId="0" borderId="12" xfId="0" applyFont="1" applyBorder="1" applyAlignment="1">
      <alignment horizontal="left" vertical="center" wrapText="1"/>
    </xf>
    <xf numFmtId="0" fontId="21" fillId="0" borderId="2" xfId="0" applyFont="1" applyBorder="1" applyAlignment="1">
      <alignment horizontal="left" vertical="center" wrapText="1"/>
    </xf>
    <xf numFmtId="0" fontId="21" fillId="0" borderId="4" xfId="0" applyFont="1" applyBorder="1" applyAlignment="1">
      <alignment horizontal="center" vertical="center" wrapText="1"/>
    </xf>
    <xf numFmtId="0" fontId="21" fillId="0" borderId="7" xfId="0" applyFont="1" applyBorder="1" applyAlignment="1">
      <alignment horizontal="center" vertical="center" wrapText="1"/>
    </xf>
    <xf numFmtId="0" fontId="21" fillId="0" borderId="8" xfId="0" applyFont="1" applyBorder="1" applyAlignment="1">
      <alignment horizontal="center" vertical="center" wrapText="1"/>
    </xf>
    <xf numFmtId="0" fontId="21" fillId="0" borderId="7" xfId="0" applyFont="1" applyBorder="1" applyAlignment="1">
      <alignment horizontal="center" vertical="center"/>
    </xf>
    <xf numFmtId="0" fontId="21" fillId="0" borderId="12" xfId="0" applyFont="1" applyBorder="1" applyAlignment="1">
      <alignment horizontal="center" vertical="center" wrapText="1"/>
    </xf>
    <xf numFmtId="0" fontId="21" fillId="0" borderId="6" xfId="0" applyFont="1" applyBorder="1" applyAlignment="1">
      <alignment horizontal="center" vertical="center" wrapText="1"/>
    </xf>
    <xf numFmtId="20" fontId="21" fillId="0" borderId="2" xfId="0" applyNumberFormat="1" applyFont="1" applyBorder="1" applyAlignment="1">
      <alignment horizontal="center" vertical="center" wrapText="1"/>
    </xf>
    <xf numFmtId="0" fontId="21" fillId="0" borderId="2" xfId="0" applyFont="1" applyBorder="1" applyAlignment="1">
      <alignment horizontal="center" vertical="center"/>
    </xf>
    <xf numFmtId="1" fontId="21" fillId="0" borderId="6" xfId="0" applyNumberFormat="1" applyFont="1" applyBorder="1" applyAlignment="1">
      <alignment horizontal="center" vertical="center" wrapText="1"/>
    </xf>
    <xf numFmtId="0" fontId="21" fillId="0" borderId="11" xfId="0" applyFont="1" applyBorder="1" applyAlignment="1">
      <alignment horizontal="left" vertical="center" wrapText="1"/>
    </xf>
    <xf numFmtId="20" fontId="21" fillId="0" borderId="2" xfId="0" quotePrefix="1" applyNumberFormat="1" applyFont="1" applyBorder="1" applyAlignment="1">
      <alignment horizontal="center" vertical="center" wrapText="1"/>
    </xf>
    <xf numFmtId="20" fontId="21" fillId="0" borderId="11" xfId="0" applyNumberFormat="1" applyFont="1" applyBorder="1" applyAlignment="1">
      <alignment horizontal="center" vertical="center" wrapText="1"/>
    </xf>
    <xf numFmtId="0" fontId="12" fillId="0" borderId="4" xfId="0" applyFont="1" applyBorder="1" applyAlignment="1">
      <alignment horizontal="center" vertical="center"/>
    </xf>
    <xf numFmtId="0" fontId="0" fillId="0" borderId="0" xfId="0" applyAlignment="1">
      <alignment horizontal="center" vertical="center"/>
    </xf>
    <xf numFmtId="0" fontId="8" fillId="0" borderId="2" xfId="0" applyFont="1" applyBorder="1" applyAlignment="1">
      <alignment horizontal="left" vertical="top"/>
    </xf>
    <xf numFmtId="0" fontId="8" fillId="0" borderId="2" xfId="0" applyFont="1" applyBorder="1" applyAlignment="1">
      <alignment horizontal="center" vertical="center"/>
    </xf>
    <xf numFmtId="0" fontId="22" fillId="0" borderId="2" xfId="0" applyFont="1" applyBorder="1" applyAlignment="1">
      <alignment horizontal="center" vertical="center"/>
    </xf>
    <xf numFmtId="0" fontId="0" fillId="0" borderId="3" xfId="0" applyBorder="1" applyAlignment="1">
      <alignment horizontal="left" vertical="top"/>
    </xf>
    <xf numFmtId="0" fontId="3" fillId="0" borderId="0" xfId="0" applyFont="1" applyAlignment="1">
      <alignment horizontal="center" vertical="center"/>
    </xf>
    <xf numFmtId="0" fontId="2" fillId="0" borderId="0" xfId="0" applyFont="1" applyAlignment="1">
      <alignment horizontal="left" vertical="center"/>
    </xf>
    <xf numFmtId="0" fontId="2" fillId="0" borderId="0" xfId="0" applyFont="1" applyAlignment="1">
      <alignment horizontal="center" vertical="center" wrapText="1"/>
    </xf>
    <xf numFmtId="0" fontId="24" fillId="0" borderId="1" xfId="0" applyFont="1" applyBorder="1" applyAlignment="1">
      <alignment horizontal="center" vertical="top" wrapText="1"/>
    </xf>
    <xf numFmtId="0" fontId="24" fillId="0" borderId="1" xfId="0" applyFont="1" applyBorder="1" applyAlignment="1">
      <alignment horizontal="left" vertical="top" wrapText="1"/>
    </xf>
    <xf numFmtId="1" fontId="23" fillId="0" borderId="1" xfId="0" applyNumberFormat="1" applyFont="1" applyBorder="1" applyAlignment="1">
      <alignment horizontal="center" vertical="top" shrinkToFit="1"/>
    </xf>
    <xf numFmtId="1" fontId="23" fillId="0" borderId="2" xfId="0" applyNumberFormat="1" applyFont="1" applyBorder="1" applyAlignment="1">
      <alignment horizontal="center" vertical="top" shrinkToFit="1"/>
    </xf>
    <xf numFmtId="0" fontId="20" fillId="0" borderId="7" xfId="1" applyFont="1" applyBorder="1" applyAlignment="1">
      <alignment vertical="center" wrapText="1"/>
    </xf>
    <xf numFmtId="0" fontId="2" fillId="0" borderId="4" xfId="0" applyFont="1" applyBorder="1" applyAlignment="1">
      <alignment horizontal="center" vertical="center"/>
    </xf>
    <xf numFmtId="0" fontId="0" fillId="0" borderId="2" xfId="0" applyBorder="1" applyAlignment="1">
      <alignment horizontal="center" vertical="top"/>
    </xf>
    <xf numFmtId="0" fontId="2" fillId="0" borderId="0" xfId="0" applyFont="1" applyAlignment="1">
      <alignment horizontal="center" vertical="top"/>
    </xf>
    <xf numFmtId="0" fontId="9" fillId="0" borderId="0" xfId="0" applyFont="1" applyAlignment="1">
      <alignment horizontal="center" vertical="top"/>
    </xf>
    <xf numFmtId="0" fontId="26" fillId="0" borderId="2" xfId="0" applyFont="1" applyBorder="1" applyAlignment="1">
      <alignment horizontal="left" vertical="center" wrapText="1"/>
    </xf>
    <xf numFmtId="0" fontId="11" fillId="0" borderId="2" xfId="1" applyFont="1" applyBorder="1" applyAlignment="1">
      <alignment horizontal="center" vertical="center"/>
    </xf>
    <xf numFmtId="0" fontId="11" fillId="0" borderId="0" xfId="1" applyFont="1" applyAlignment="1">
      <alignment horizontal="center"/>
    </xf>
    <xf numFmtId="0" fontId="11" fillId="0" borderId="2" xfId="1" applyFont="1" applyBorder="1" applyAlignment="1">
      <alignment horizontal="center"/>
    </xf>
    <xf numFmtId="0" fontId="12" fillId="0" borderId="0" xfId="1" applyFont="1" applyBorder="1" applyAlignment="1">
      <alignment horizontal="center" vertical="center"/>
    </xf>
    <xf numFmtId="0" fontId="12" fillId="0" borderId="0" xfId="1" applyFont="1" applyBorder="1" applyAlignment="1">
      <alignment horizontal="left" vertical="center" wrapText="1"/>
    </xf>
    <xf numFmtId="20" fontId="12" fillId="0" borderId="0" xfId="1" applyNumberFormat="1" applyFont="1" applyBorder="1" applyAlignment="1">
      <alignment horizontal="center" vertical="center"/>
    </xf>
    <xf numFmtId="20" fontId="12" fillId="0" borderId="0" xfId="1" applyNumberFormat="1" applyFont="1" applyBorder="1" applyAlignment="1">
      <alignment horizontal="center" vertical="center" wrapText="1"/>
    </xf>
    <xf numFmtId="1" fontId="12" fillId="0" borderId="0" xfId="1" applyNumberFormat="1" applyFont="1" applyBorder="1" applyAlignment="1">
      <alignment horizontal="center" vertical="center" wrapText="1"/>
    </xf>
    <xf numFmtId="0" fontId="12" fillId="0" borderId="0" xfId="1" applyFont="1" applyBorder="1" applyAlignment="1">
      <alignment horizontal="center" vertical="center" wrapText="1"/>
    </xf>
    <xf numFmtId="0" fontId="22" fillId="0" borderId="0" xfId="0" applyFont="1" applyAlignment="1">
      <alignment horizontal="left" vertical="top"/>
    </xf>
    <xf numFmtId="0" fontId="0" fillId="0" borderId="2" xfId="0" applyBorder="1" applyAlignment="1">
      <alignment horizontal="left" vertical="top"/>
    </xf>
    <xf numFmtId="0" fontId="0" fillId="0" borderId="2" xfId="0" applyBorder="1" applyAlignment="1">
      <alignment horizontal="center" vertical="center" wrapText="1"/>
    </xf>
    <xf numFmtId="0" fontId="22" fillId="0" borderId="2" xfId="0" applyFont="1" applyBorder="1" applyAlignment="1">
      <alignment horizontal="center" vertical="center" wrapText="1"/>
    </xf>
    <xf numFmtId="0" fontId="0" fillId="0" borderId="2" xfId="0" applyBorder="1" applyAlignment="1">
      <alignment horizontal="center" vertical="center"/>
    </xf>
    <xf numFmtId="0" fontId="8" fillId="0" borderId="2" xfId="0" applyFont="1" applyBorder="1" applyAlignment="1">
      <alignment horizontal="center" vertical="top"/>
    </xf>
    <xf numFmtId="0" fontId="22" fillId="0" borderId="2" xfId="0" applyFont="1" applyBorder="1" applyAlignment="1">
      <alignment horizontal="left" vertical="top"/>
    </xf>
    <xf numFmtId="2" fontId="22" fillId="0" borderId="6" xfId="0" applyNumberFormat="1" applyFont="1" applyBorder="1" applyAlignment="1">
      <alignment vertical="center"/>
    </xf>
    <xf numFmtId="2" fontId="2" fillId="0" borderId="4" xfId="0" applyNumberFormat="1" applyFont="1" applyBorder="1" applyAlignment="1">
      <alignment horizontal="center" vertical="center"/>
    </xf>
    <xf numFmtId="0" fontId="27" fillId="0" borderId="4" xfId="0" applyFont="1" applyBorder="1" applyAlignment="1">
      <alignment horizontal="center" vertical="center" wrapText="1"/>
    </xf>
    <xf numFmtId="0" fontId="27" fillId="0" borderId="2" xfId="0" applyFont="1" applyBorder="1" applyAlignment="1">
      <alignment horizontal="center" vertical="center" wrapText="1"/>
    </xf>
    <xf numFmtId="0" fontId="27" fillId="0" borderId="8" xfId="0" applyFont="1" applyBorder="1" applyAlignment="1">
      <alignment horizontal="center" vertical="center" wrapText="1"/>
    </xf>
    <xf numFmtId="0" fontId="27" fillId="0" borderId="7" xfId="0" applyFont="1" applyBorder="1" applyAlignment="1">
      <alignment horizontal="center" vertical="center" wrapText="1"/>
    </xf>
    <xf numFmtId="0" fontId="27" fillId="0" borderId="7" xfId="0" applyFont="1" applyBorder="1" applyAlignment="1">
      <alignment horizontal="center" vertical="center"/>
    </xf>
    <xf numFmtId="0" fontId="28" fillId="0" borderId="0" xfId="0" applyFont="1" applyAlignment="1">
      <alignment horizontal="left" vertical="top"/>
    </xf>
    <xf numFmtId="0" fontId="3" fillId="0" borderId="0" xfId="0" applyFont="1" applyAlignment="1">
      <alignment horizontal="center" vertical="top" wrapText="1"/>
    </xf>
    <xf numFmtId="0" fontId="3" fillId="0" borderId="2" xfId="0" applyFont="1" applyBorder="1" applyAlignment="1">
      <alignment horizontal="center" vertical="center"/>
    </xf>
    <xf numFmtId="0" fontId="2" fillId="0" borderId="2" xfId="0" applyFont="1" applyBorder="1" applyAlignment="1">
      <alignment horizontal="center" vertical="center"/>
    </xf>
    <xf numFmtId="0" fontId="12" fillId="0" borderId="0" xfId="1" applyFont="1" applyAlignment="1">
      <alignment horizontal="center" vertical="center"/>
    </xf>
    <xf numFmtId="0" fontId="1" fillId="0" borderId="0" xfId="1" applyAlignment="1">
      <alignment horizontal="center" vertical="center"/>
    </xf>
    <xf numFmtId="0" fontId="18" fillId="0" borderId="8" xfId="0" applyFont="1" applyBorder="1" applyAlignment="1">
      <alignment horizontal="center" vertical="center" wrapText="1"/>
    </xf>
    <xf numFmtId="0" fontId="18" fillId="0" borderId="10" xfId="0" applyFont="1" applyBorder="1" applyAlignment="1">
      <alignment horizontal="center" vertical="center" wrapText="1"/>
    </xf>
    <xf numFmtId="0" fontId="18" fillId="0" borderId="12" xfId="0" applyFont="1" applyBorder="1" applyAlignment="1">
      <alignment horizontal="center" vertical="center" wrapText="1"/>
    </xf>
    <xf numFmtId="0" fontId="18" fillId="0" borderId="14" xfId="0" applyFont="1" applyBorder="1" applyAlignment="1">
      <alignment horizontal="center" vertical="center" wrapText="1"/>
    </xf>
    <xf numFmtId="0" fontId="18" fillId="0" borderId="7" xfId="0" applyFont="1" applyBorder="1" applyAlignment="1">
      <alignment horizontal="center" vertical="center"/>
    </xf>
    <xf numFmtId="0" fontId="18" fillId="0" borderId="11" xfId="0" applyFont="1" applyBorder="1" applyAlignment="1">
      <alignment horizontal="center" vertical="center"/>
    </xf>
    <xf numFmtId="0" fontId="18" fillId="0" borderId="8" xfId="0" applyFont="1" applyBorder="1" applyAlignment="1">
      <alignment horizontal="center" vertical="center"/>
    </xf>
    <xf numFmtId="0" fontId="18" fillId="0" borderId="4" xfId="0" applyFont="1" applyBorder="1" applyAlignment="1">
      <alignment horizontal="center" vertical="center" wrapText="1"/>
    </xf>
    <xf numFmtId="1" fontId="21" fillId="0" borderId="6" xfId="0" applyNumberFormat="1" applyFont="1" applyBorder="1" applyAlignment="1">
      <alignment horizontal="center" vertical="center" wrapText="1"/>
    </xf>
    <xf numFmtId="0" fontId="12" fillId="0" borderId="4" xfId="0" applyFont="1" applyBorder="1" applyAlignment="1">
      <alignment horizontal="center" vertical="center" wrapText="1"/>
    </xf>
    <xf numFmtId="0" fontId="12" fillId="0" borderId="6" xfId="0" applyFont="1" applyBorder="1" applyAlignment="1">
      <alignment horizontal="center" vertical="center" wrapText="1"/>
    </xf>
    <xf numFmtId="1" fontId="12" fillId="0" borderId="6" xfId="0" applyNumberFormat="1" applyFont="1" applyBorder="1" applyAlignment="1">
      <alignment horizontal="center" vertical="center" wrapText="1"/>
    </xf>
    <xf numFmtId="0" fontId="21" fillId="0" borderId="4" xfId="0" applyFont="1" applyBorder="1" applyAlignment="1">
      <alignment horizontal="center" vertical="center" wrapText="1"/>
    </xf>
    <xf numFmtId="0" fontId="21" fillId="0" borderId="6" xfId="0" applyFont="1" applyBorder="1" applyAlignment="1">
      <alignment horizontal="center" vertical="center" wrapText="1"/>
    </xf>
    <xf numFmtId="2" fontId="0" fillId="0" borderId="0" xfId="0" applyNumberFormat="1" applyAlignment="1">
      <alignment horizontal="left" vertical="top"/>
    </xf>
    <xf numFmtId="0" fontId="3" fillId="0" borderId="0" xfId="0" applyFont="1" applyAlignment="1">
      <alignment horizontal="center" vertical="top"/>
    </xf>
    <xf numFmtId="0" fontId="4" fillId="0" borderId="0" xfId="0" applyFont="1" applyAlignment="1">
      <alignment horizontal="center" vertical="center" wrapText="1"/>
    </xf>
    <xf numFmtId="0" fontId="5" fillId="0" borderId="0" xfId="0" applyFont="1" applyAlignment="1">
      <alignment horizontal="center" vertical="center"/>
    </xf>
    <xf numFmtId="0" fontId="6" fillId="0" borderId="0" xfId="0" applyFont="1" applyAlignment="1">
      <alignment horizontal="center"/>
    </xf>
    <xf numFmtId="0" fontId="6" fillId="0" borderId="3" xfId="0" applyFont="1" applyBorder="1" applyAlignment="1">
      <alignment horizontal="center"/>
    </xf>
    <xf numFmtId="0" fontId="3" fillId="0" borderId="0" xfId="0" applyFont="1" applyAlignment="1">
      <alignment horizontal="center" vertical="top" wrapText="1"/>
    </xf>
    <xf numFmtId="0" fontId="23" fillId="0" borderId="2" xfId="0" applyFont="1" applyBorder="1" applyAlignment="1">
      <alignment horizontal="center" vertical="center"/>
    </xf>
    <xf numFmtId="0" fontId="2" fillId="0" borderId="0" xfId="0" applyFont="1" applyAlignment="1">
      <alignment horizontal="center" vertical="top"/>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9" fillId="0" borderId="0" xfId="0" applyFont="1" applyAlignment="1">
      <alignment horizontal="center" vertical="top"/>
    </xf>
    <xf numFmtId="0" fontId="23" fillId="0" borderId="2" xfId="0" applyFont="1" applyBorder="1" applyAlignment="1">
      <alignment horizontal="center" vertical="center"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6" xfId="0" applyFont="1" applyBorder="1" applyAlignment="1">
      <alignment horizontal="left" vertical="center"/>
    </xf>
    <xf numFmtId="0" fontId="0" fillId="0" borderId="5" xfId="0" applyBorder="1" applyAlignment="1">
      <alignment horizontal="center" vertical="center"/>
    </xf>
    <xf numFmtId="0" fontId="0" fillId="0" borderId="6" xfId="0" applyBorder="1" applyAlignment="1">
      <alignment horizontal="center" vertical="center"/>
    </xf>
    <xf numFmtId="0" fontId="3" fillId="0" borderId="2" xfId="0" applyFont="1" applyBorder="1" applyAlignment="1">
      <alignment horizontal="center" vertical="top" wrapText="1"/>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2" fillId="0" borderId="2" xfId="0" applyFont="1" applyBorder="1" applyAlignment="1">
      <alignment horizontal="center" vertical="center"/>
    </xf>
    <xf numFmtId="0" fontId="12" fillId="0" borderId="4" xfId="1" applyFont="1" applyBorder="1" applyAlignment="1">
      <alignment horizontal="center" vertical="center" wrapText="1"/>
    </xf>
    <xf numFmtId="0" fontId="12" fillId="0" borderId="5" xfId="1" applyFont="1" applyBorder="1" applyAlignment="1">
      <alignment horizontal="center" vertical="center" wrapText="1"/>
    </xf>
    <xf numFmtId="0" fontId="12" fillId="0" borderId="6" xfId="1" applyFont="1" applyBorder="1" applyAlignment="1">
      <alignment horizontal="center" vertical="center" wrapText="1"/>
    </xf>
    <xf numFmtId="1" fontId="12" fillId="0" borderId="4" xfId="1" applyNumberFormat="1" applyFont="1" applyBorder="1" applyAlignment="1">
      <alignment horizontal="center" vertical="center" wrapText="1"/>
    </xf>
    <xf numFmtId="1" fontId="12" fillId="0" borderId="5" xfId="1" applyNumberFormat="1" applyFont="1" applyBorder="1" applyAlignment="1">
      <alignment horizontal="center" vertical="center" wrapText="1"/>
    </xf>
    <xf numFmtId="1" fontId="12" fillId="0" borderId="6" xfId="1" applyNumberFormat="1" applyFont="1" applyBorder="1" applyAlignment="1">
      <alignment horizontal="center" vertical="center" wrapText="1"/>
    </xf>
    <xf numFmtId="20" fontId="12" fillId="0" borderId="4" xfId="1" applyNumberFormat="1" applyFont="1" applyBorder="1" applyAlignment="1">
      <alignment horizontal="center" vertical="center"/>
    </xf>
    <xf numFmtId="20" fontId="12" fillId="0" borderId="5" xfId="1" applyNumberFormat="1" applyFont="1" applyBorder="1" applyAlignment="1">
      <alignment horizontal="center" vertical="center"/>
    </xf>
    <xf numFmtId="20" fontId="12" fillId="0" borderId="6" xfId="1" applyNumberFormat="1" applyFont="1" applyBorder="1" applyAlignment="1">
      <alignment horizontal="center" vertical="center"/>
    </xf>
    <xf numFmtId="0" fontId="14" fillId="0" borderId="0" xfId="1" applyFont="1" applyAlignment="1">
      <alignment horizontal="center"/>
    </xf>
    <xf numFmtId="0" fontId="10" fillId="0" borderId="4" xfId="1" applyFont="1" applyBorder="1" applyAlignment="1">
      <alignment horizontal="center" vertical="center" wrapText="1"/>
    </xf>
    <xf numFmtId="0" fontId="10" fillId="0" borderId="5" xfId="1" applyFont="1" applyBorder="1" applyAlignment="1">
      <alignment horizontal="center" vertical="center" wrapText="1"/>
    </xf>
    <xf numFmtId="0" fontId="10" fillId="0" borderId="6" xfId="1" applyFont="1" applyBorder="1" applyAlignment="1">
      <alignment horizontal="center" vertical="center" wrapText="1"/>
    </xf>
    <xf numFmtId="1" fontId="10" fillId="0" borderId="4" xfId="1" applyNumberFormat="1" applyFont="1" applyBorder="1" applyAlignment="1">
      <alignment horizontal="center" vertical="center" wrapText="1"/>
    </xf>
    <xf numFmtId="1" fontId="10" fillId="0" borderId="5" xfId="1" applyNumberFormat="1" applyFont="1" applyBorder="1" applyAlignment="1">
      <alignment horizontal="center" vertical="center" wrapText="1"/>
    </xf>
    <xf numFmtId="1" fontId="10" fillId="0" borderId="6" xfId="1" applyNumberFormat="1" applyFont="1" applyBorder="1" applyAlignment="1">
      <alignment horizontal="center" vertical="center" wrapText="1"/>
    </xf>
    <xf numFmtId="0" fontId="15" fillId="0" borderId="4" xfId="1" applyFont="1" applyBorder="1" applyAlignment="1">
      <alignment horizontal="center" vertical="center"/>
    </xf>
    <xf numFmtId="0" fontId="15" fillId="0" borderId="6" xfId="1" applyFont="1" applyBorder="1" applyAlignment="1">
      <alignment horizontal="center" vertical="center"/>
    </xf>
    <xf numFmtId="0" fontId="15" fillId="0" borderId="8" xfId="1" applyFont="1" applyBorder="1" applyAlignment="1">
      <alignment horizontal="center" vertical="center" wrapText="1"/>
    </xf>
    <xf numFmtId="0" fontId="15" fillId="0" borderId="9" xfId="1" applyFont="1" applyBorder="1" applyAlignment="1">
      <alignment horizontal="center" vertical="center" wrapText="1"/>
    </xf>
    <xf numFmtId="0" fontId="15" fillId="0" borderId="10" xfId="1" applyFont="1" applyBorder="1" applyAlignment="1">
      <alignment horizontal="center" vertical="center" wrapText="1"/>
    </xf>
    <xf numFmtId="0" fontId="15" fillId="0" borderId="12" xfId="1" applyFont="1" applyBorder="1" applyAlignment="1">
      <alignment horizontal="center" vertical="center" wrapText="1"/>
    </xf>
    <xf numFmtId="0" fontId="15" fillId="0" borderId="13" xfId="1" applyFont="1" applyBorder="1" applyAlignment="1">
      <alignment horizontal="center" vertical="center" wrapText="1"/>
    </xf>
    <xf numFmtId="0" fontId="15" fillId="0" borderId="14" xfId="1" applyFont="1" applyBorder="1" applyAlignment="1">
      <alignment horizontal="center" vertical="center" wrapText="1"/>
    </xf>
    <xf numFmtId="0" fontId="17" fillId="0" borderId="7" xfId="1" applyFont="1" applyBorder="1" applyAlignment="1">
      <alignment horizontal="center" vertical="center" wrapText="1"/>
    </xf>
    <xf numFmtId="0" fontId="17" fillId="0" borderId="11" xfId="1" applyFont="1" applyBorder="1" applyAlignment="1">
      <alignment horizontal="center" vertical="center" wrapText="1"/>
    </xf>
    <xf numFmtId="0" fontId="15" fillId="0" borderId="7" xfId="1" applyFont="1" applyBorder="1" applyAlignment="1">
      <alignment horizontal="center" vertical="center"/>
    </xf>
    <xf numFmtId="0" fontId="15" fillId="0" borderId="11" xfId="1" applyFont="1" applyBorder="1" applyAlignment="1">
      <alignment horizontal="center" vertical="center"/>
    </xf>
    <xf numFmtId="0" fontId="15" fillId="0" borderId="8" xfId="1" applyFont="1" applyBorder="1" applyAlignment="1">
      <alignment horizontal="center" vertical="center"/>
    </xf>
    <xf numFmtId="0" fontId="15" fillId="0" borderId="9" xfId="1" applyFont="1" applyBorder="1" applyAlignment="1">
      <alignment horizontal="center" vertical="center"/>
    </xf>
    <xf numFmtId="0" fontId="15" fillId="0" borderId="10" xfId="1" applyFont="1" applyBorder="1" applyAlignment="1">
      <alignment horizontal="center" vertical="center"/>
    </xf>
    <xf numFmtId="0" fontId="15" fillId="0" borderId="12" xfId="1" applyFont="1" applyBorder="1" applyAlignment="1">
      <alignment horizontal="center" vertical="center"/>
    </xf>
    <xf numFmtId="0" fontId="15" fillId="0" borderId="13" xfId="1" applyFont="1" applyBorder="1" applyAlignment="1">
      <alignment horizontal="center" vertical="center"/>
    </xf>
    <xf numFmtId="0" fontId="15" fillId="0" borderId="14" xfId="1" applyFont="1" applyBorder="1" applyAlignment="1">
      <alignment horizontal="center" vertical="center"/>
    </xf>
    <xf numFmtId="0" fontId="16" fillId="0" borderId="7" xfId="1" applyFont="1" applyBorder="1" applyAlignment="1">
      <alignment horizontal="center" vertical="center"/>
    </xf>
    <xf numFmtId="0" fontId="16" fillId="0" borderId="11" xfId="1" applyFont="1" applyBorder="1" applyAlignment="1">
      <alignment horizontal="center" vertical="center"/>
    </xf>
    <xf numFmtId="0" fontId="15" fillId="0" borderId="7" xfId="1" applyFont="1" applyBorder="1" applyAlignment="1">
      <alignment horizontal="center" vertical="center" textRotation="90" wrapText="1"/>
    </xf>
    <xf numFmtId="0" fontId="15" fillId="0" borderId="11" xfId="1" applyFont="1" applyBorder="1" applyAlignment="1">
      <alignment horizontal="center" vertical="center" textRotation="90" wrapText="1"/>
    </xf>
    <xf numFmtId="0" fontId="15" fillId="0" borderId="2" xfId="1" applyFont="1" applyBorder="1" applyAlignment="1">
      <alignment horizontal="center" vertical="center" textRotation="90" wrapText="1"/>
    </xf>
    <xf numFmtId="0" fontId="15" fillId="0" borderId="5" xfId="1" applyFont="1" applyBorder="1" applyAlignment="1">
      <alignment horizontal="center" vertical="center"/>
    </xf>
    <xf numFmtId="0" fontId="11" fillId="0" borderId="4" xfId="1" applyFont="1" applyBorder="1" applyAlignment="1">
      <alignment horizontal="center" vertical="center"/>
    </xf>
    <xf numFmtId="0" fontId="11" fillId="0" borderId="5" xfId="1" applyFont="1" applyBorder="1" applyAlignment="1">
      <alignment horizontal="center" vertical="center"/>
    </xf>
    <xf numFmtId="0" fontId="11" fillId="0" borderId="6" xfId="1" applyFont="1" applyBorder="1" applyAlignment="1">
      <alignment horizontal="center" vertical="center"/>
    </xf>
    <xf numFmtId="0" fontId="15" fillId="0" borderId="4" xfId="1" applyFont="1" applyBorder="1" applyAlignment="1">
      <alignment horizontal="center" vertical="center" wrapText="1"/>
    </xf>
    <xf numFmtId="0" fontId="15" fillId="0" borderId="5" xfId="1" applyFont="1" applyBorder="1" applyAlignment="1">
      <alignment horizontal="center" vertical="center" wrapText="1"/>
    </xf>
    <xf numFmtId="0" fontId="15" fillId="0" borderId="6" xfId="1" applyFont="1" applyBorder="1" applyAlignment="1">
      <alignment horizontal="center" vertical="center" wrapText="1"/>
    </xf>
    <xf numFmtId="0" fontId="18" fillId="0" borderId="4" xfId="0" applyFont="1" applyBorder="1" applyAlignment="1">
      <alignment horizontal="center" vertical="center"/>
    </xf>
    <xf numFmtId="0" fontId="18" fillId="0" borderId="6" xfId="0" applyFont="1" applyBorder="1" applyAlignment="1">
      <alignment horizontal="center" vertical="center"/>
    </xf>
    <xf numFmtId="0" fontId="18" fillId="0" borderId="7" xfId="0" applyFont="1" applyBorder="1" applyAlignment="1">
      <alignment horizontal="center" vertical="center" wrapText="1"/>
    </xf>
    <xf numFmtId="0" fontId="18" fillId="0" borderId="11" xfId="0" applyFont="1" applyBorder="1" applyAlignment="1">
      <alignment horizontal="center" vertical="center" wrapText="1"/>
    </xf>
    <xf numFmtId="0" fontId="18" fillId="0" borderId="8" xfId="0" applyFont="1" applyBorder="1" applyAlignment="1">
      <alignment horizontal="center" vertical="center" wrapText="1"/>
    </xf>
    <xf numFmtId="0" fontId="18" fillId="0" borderId="9" xfId="0" applyFont="1" applyBorder="1" applyAlignment="1">
      <alignment horizontal="center" vertical="center" wrapText="1"/>
    </xf>
    <xf numFmtId="0" fontId="18" fillId="0" borderId="10" xfId="0" applyFont="1" applyBorder="1" applyAlignment="1">
      <alignment horizontal="center" vertical="center" wrapText="1"/>
    </xf>
    <xf numFmtId="0" fontId="18" fillId="0" borderId="12" xfId="0" applyFont="1" applyBorder="1" applyAlignment="1">
      <alignment horizontal="center" vertical="center" wrapText="1"/>
    </xf>
    <xf numFmtId="0" fontId="18" fillId="0" borderId="13" xfId="0" applyFont="1" applyBorder="1" applyAlignment="1">
      <alignment horizontal="center" vertical="center" wrapText="1"/>
    </xf>
    <xf numFmtId="0" fontId="18" fillId="0" borderId="14" xfId="0" applyFont="1" applyBorder="1" applyAlignment="1">
      <alignment horizontal="center" vertical="center" wrapText="1"/>
    </xf>
    <xf numFmtId="0" fontId="19" fillId="0" borderId="7" xfId="0" applyFont="1" applyBorder="1" applyAlignment="1">
      <alignment horizontal="center" vertical="center" wrapText="1"/>
    </xf>
    <xf numFmtId="0" fontId="19" fillId="0" borderId="11" xfId="0" applyFont="1" applyBorder="1" applyAlignment="1">
      <alignment horizontal="center" vertical="center" wrapText="1"/>
    </xf>
    <xf numFmtId="0" fontId="18" fillId="0" borderId="7" xfId="0" applyFont="1" applyBorder="1" applyAlignment="1">
      <alignment horizontal="center" vertical="center"/>
    </xf>
    <xf numFmtId="0" fontId="18" fillId="0" borderId="11" xfId="0" applyFont="1" applyBorder="1" applyAlignment="1">
      <alignment horizontal="center" vertical="center"/>
    </xf>
    <xf numFmtId="0" fontId="18" fillId="0" borderId="8"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18" fillId="0" borderId="12" xfId="0" applyFont="1" applyBorder="1" applyAlignment="1">
      <alignment horizontal="center" vertical="center"/>
    </xf>
    <xf numFmtId="0" fontId="18" fillId="0" borderId="13" xfId="0" applyFont="1" applyBorder="1" applyAlignment="1">
      <alignment horizontal="center" vertical="center"/>
    </xf>
    <xf numFmtId="0" fontId="18" fillId="0" borderId="14" xfId="0" applyFont="1" applyBorder="1" applyAlignment="1">
      <alignment horizontal="center" vertical="center"/>
    </xf>
    <xf numFmtId="0" fontId="18" fillId="0" borderId="4" xfId="0" applyFont="1" applyBorder="1" applyAlignment="1">
      <alignment horizontal="center" vertical="center" wrapText="1"/>
    </xf>
    <xf numFmtId="0" fontId="18" fillId="0" borderId="5" xfId="0" applyFont="1" applyBorder="1" applyAlignment="1">
      <alignment horizontal="center" vertical="center" wrapText="1"/>
    </xf>
    <xf numFmtId="1" fontId="21" fillId="0" borderId="4" xfId="0" applyNumberFormat="1" applyFont="1" applyBorder="1" applyAlignment="1">
      <alignment horizontal="center" vertical="center" wrapText="1"/>
    </xf>
    <xf numFmtId="1" fontId="21" fillId="0" borderId="5" xfId="0" applyNumberFormat="1" applyFont="1" applyBorder="1" applyAlignment="1">
      <alignment horizontal="center" vertical="center" wrapText="1"/>
    </xf>
    <xf numFmtId="1" fontId="21" fillId="0" borderId="6" xfId="0" applyNumberFormat="1" applyFont="1" applyBorder="1" applyAlignment="1">
      <alignment horizontal="center" vertical="center" wrapText="1"/>
    </xf>
    <xf numFmtId="20" fontId="12" fillId="0" borderId="4" xfId="0" applyNumberFormat="1" applyFont="1" applyBorder="1" applyAlignment="1">
      <alignment horizontal="center" vertical="center"/>
    </xf>
    <xf numFmtId="20" fontId="12" fillId="0" borderId="5" xfId="0" applyNumberFormat="1" applyFont="1" applyBorder="1" applyAlignment="1">
      <alignment horizontal="center" vertical="center"/>
    </xf>
    <xf numFmtId="20" fontId="12" fillId="0" borderId="6" xfId="0" applyNumberFormat="1" applyFont="1" applyBorder="1" applyAlignment="1">
      <alignment horizontal="center" vertical="center"/>
    </xf>
    <xf numFmtId="0" fontId="12" fillId="0" borderId="4"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6" xfId="0" applyFont="1" applyBorder="1" applyAlignment="1">
      <alignment horizontal="center" vertical="center" wrapText="1"/>
    </xf>
    <xf numFmtId="1" fontId="12" fillId="0" borderId="4" xfId="0" applyNumberFormat="1" applyFont="1" applyBorder="1" applyAlignment="1">
      <alignment horizontal="center" vertical="center" wrapText="1"/>
    </xf>
    <xf numFmtId="1" fontId="12" fillId="0" borderId="5" xfId="0" applyNumberFormat="1" applyFont="1" applyBorder="1" applyAlignment="1">
      <alignment horizontal="center" vertical="center" wrapText="1"/>
    </xf>
    <xf numFmtId="1" fontId="12" fillId="0" borderId="6" xfId="0" applyNumberFormat="1" applyFont="1" applyBorder="1" applyAlignment="1">
      <alignment horizontal="center" vertical="center" wrapText="1"/>
    </xf>
    <xf numFmtId="0" fontId="21" fillId="0" borderId="4" xfId="0" applyFont="1" applyBorder="1" applyAlignment="1">
      <alignment horizontal="center" vertical="center" wrapText="1"/>
    </xf>
    <xf numFmtId="0" fontId="21" fillId="0" borderId="5" xfId="0" applyFont="1" applyBorder="1" applyAlignment="1">
      <alignment horizontal="center" vertical="center" wrapText="1"/>
    </xf>
    <xf numFmtId="0" fontId="21" fillId="0" borderId="6" xfId="0" applyFont="1" applyBorder="1" applyAlignment="1">
      <alignment horizontal="center" vertical="center" wrapText="1"/>
    </xf>
    <xf numFmtId="0" fontId="18" fillId="0" borderId="7" xfId="0" applyFont="1" applyBorder="1" applyAlignment="1">
      <alignment horizontal="center" vertical="center" textRotation="90" wrapText="1"/>
    </xf>
    <xf numFmtId="0" fontId="18" fillId="0" borderId="11" xfId="0" applyFont="1" applyBorder="1" applyAlignment="1">
      <alignment horizontal="center" vertical="center" textRotation="90" wrapText="1"/>
    </xf>
    <xf numFmtId="0" fontId="22" fillId="0" borderId="7" xfId="0" applyFont="1" applyBorder="1" applyAlignment="1">
      <alignment horizontal="center" vertical="center" wrapText="1"/>
    </xf>
    <xf numFmtId="0" fontId="22" fillId="0" borderId="11" xfId="0" applyFont="1" applyBorder="1" applyAlignment="1">
      <alignment horizontal="center" vertical="center" wrapText="1"/>
    </xf>
    <xf numFmtId="0" fontId="22" fillId="0" borderId="4" xfId="0" applyFont="1" applyBorder="1" applyAlignment="1">
      <alignment horizontal="center" vertical="center" wrapText="1"/>
    </xf>
    <xf numFmtId="0" fontId="22" fillId="0" borderId="6" xfId="0" applyFont="1" applyBorder="1" applyAlignment="1">
      <alignment horizontal="center" vertical="center" wrapText="1"/>
    </xf>
    <xf numFmtId="0" fontId="22" fillId="0" borderId="4" xfId="0" applyFont="1" applyBorder="1" applyAlignment="1">
      <alignment horizontal="center" vertical="center"/>
    </xf>
    <xf numFmtId="0" fontId="22" fillId="0" borderId="6" xfId="0" applyFont="1" applyBorder="1" applyAlignment="1">
      <alignment horizontal="center" vertical="center"/>
    </xf>
    <xf numFmtId="0" fontId="27" fillId="0" borderId="4" xfId="0" applyFont="1" applyBorder="1" applyAlignment="1">
      <alignment horizontal="center" vertical="center" wrapText="1"/>
    </xf>
    <xf numFmtId="0" fontId="27" fillId="0" borderId="6" xfId="0" applyFont="1" applyBorder="1" applyAlignment="1">
      <alignment horizontal="center" vertical="center" wrapText="1"/>
    </xf>
    <xf numFmtId="0" fontId="27" fillId="0" borderId="7" xfId="0" applyFont="1" applyBorder="1" applyAlignment="1">
      <alignment horizontal="center" vertical="center" wrapText="1"/>
    </xf>
    <xf numFmtId="0" fontId="27" fillId="0" borderId="11" xfId="0" applyFont="1" applyBorder="1" applyAlignment="1">
      <alignment horizontal="center" vertical="center" wrapText="1"/>
    </xf>
    <xf numFmtId="0" fontId="27" fillId="0" borderId="7" xfId="0" applyFont="1" applyBorder="1" applyAlignment="1">
      <alignment horizontal="center" vertical="center" textRotation="90" wrapText="1"/>
    </xf>
    <xf numFmtId="0" fontId="27" fillId="0" borderId="11" xfId="0" applyFont="1" applyBorder="1" applyAlignment="1">
      <alignment horizontal="center" vertical="center" textRotation="90" wrapText="1"/>
    </xf>
    <xf numFmtId="0" fontId="27" fillId="0" borderId="4" xfId="0" applyFont="1" applyBorder="1" applyAlignment="1">
      <alignment horizontal="center" vertical="center"/>
    </xf>
    <xf numFmtId="0" fontId="27" fillId="0" borderId="6" xfId="0"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xdr:colOff>
      <xdr:row>1</xdr:row>
      <xdr:rowOff>19050</xdr:rowOff>
    </xdr:from>
    <xdr:to>
      <xdr:col>2</xdr:col>
      <xdr:colOff>171451</xdr:colOff>
      <xdr:row>5</xdr:row>
      <xdr:rowOff>0</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5961" r="17264"/>
        <a:stretch>
          <a:fillRect/>
        </a:stretch>
      </xdr:blipFill>
      <xdr:spPr bwMode="auto">
        <a:xfrm>
          <a:off x="1" y="19050"/>
          <a:ext cx="704850" cy="74295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0</xdr:row>
      <xdr:rowOff>19050</xdr:rowOff>
    </xdr:from>
    <xdr:to>
      <xdr:col>2</xdr:col>
      <xdr:colOff>180976</xdr:colOff>
      <xdr:row>4</xdr:row>
      <xdr:rowOff>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5961" r="17264"/>
        <a:stretch>
          <a:fillRect/>
        </a:stretch>
      </xdr:blipFill>
      <xdr:spPr bwMode="auto">
        <a:xfrm>
          <a:off x="1" y="19050"/>
          <a:ext cx="704850" cy="74295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xdr:colOff>
      <xdr:row>0</xdr:row>
      <xdr:rowOff>19050</xdr:rowOff>
    </xdr:from>
    <xdr:to>
      <xdr:col>2</xdr:col>
      <xdr:colOff>180976</xdr:colOff>
      <xdr:row>4</xdr:row>
      <xdr:rowOff>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5961" r="17264"/>
        <a:stretch>
          <a:fillRect/>
        </a:stretch>
      </xdr:blipFill>
      <xdr:spPr bwMode="auto">
        <a:xfrm>
          <a:off x="1" y="19050"/>
          <a:ext cx="704850" cy="74295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0</xdr:row>
      <xdr:rowOff>19050</xdr:rowOff>
    </xdr:from>
    <xdr:to>
      <xdr:col>2</xdr:col>
      <xdr:colOff>38101</xdr:colOff>
      <xdr:row>4</xdr:row>
      <xdr:rowOff>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5961" r="17264"/>
        <a:stretch>
          <a:fillRect/>
        </a:stretch>
      </xdr:blipFill>
      <xdr:spPr bwMode="auto">
        <a:xfrm>
          <a:off x="1" y="19050"/>
          <a:ext cx="704850" cy="742950"/>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xdr:colOff>
      <xdr:row>1</xdr:row>
      <xdr:rowOff>95249</xdr:rowOff>
    </xdr:from>
    <xdr:to>
      <xdr:col>3</xdr:col>
      <xdr:colOff>85725</xdr:colOff>
      <xdr:row>4</xdr:row>
      <xdr:rowOff>180975</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5961" r="17264"/>
        <a:stretch>
          <a:fillRect/>
        </a:stretch>
      </xdr:blipFill>
      <xdr:spPr bwMode="auto">
        <a:xfrm>
          <a:off x="533401" y="257174"/>
          <a:ext cx="752474" cy="781051"/>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431005</xdr:colOff>
      <xdr:row>3</xdr:row>
      <xdr:rowOff>161926</xdr:rowOff>
    </xdr:to>
    <xdr:pic>
      <xdr:nvPicPr>
        <xdr:cNvPr id="5" name="Picture 4">
          <a:extLst>
            <a:ext uri="{FF2B5EF4-FFF2-40B4-BE49-F238E27FC236}">
              <a16:creationId xmlns:a16="http://schemas.microsoft.com/office/drawing/2014/main" id="{00000000-0008-0000-0500-000005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5961" r="17264"/>
        <a:stretch>
          <a:fillRect/>
        </a:stretch>
      </xdr:blipFill>
      <xdr:spPr bwMode="auto">
        <a:xfrm>
          <a:off x="0" y="19050"/>
          <a:ext cx="838199" cy="847726"/>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257176</xdr:colOff>
      <xdr:row>1</xdr:row>
      <xdr:rowOff>104774</xdr:rowOff>
    </xdr:from>
    <xdr:to>
      <xdr:col>6</xdr:col>
      <xdr:colOff>210111</xdr:colOff>
      <xdr:row>4</xdr:row>
      <xdr:rowOff>190500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5961" r="17264"/>
        <a:stretch>
          <a:fillRect/>
        </a:stretch>
      </xdr:blipFill>
      <xdr:spPr bwMode="auto">
        <a:xfrm>
          <a:off x="2628901" y="266699"/>
          <a:ext cx="752474" cy="781051"/>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257176</xdr:colOff>
      <xdr:row>1</xdr:row>
      <xdr:rowOff>104774</xdr:rowOff>
    </xdr:from>
    <xdr:to>
      <xdr:col>6</xdr:col>
      <xdr:colOff>210111</xdr:colOff>
      <xdr:row>4</xdr:row>
      <xdr:rowOff>190500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5961" r="17264"/>
        <a:stretch>
          <a:fillRect/>
        </a:stretch>
      </xdr:blipFill>
      <xdr:spPr bwMode="auto">
        <a:xfrm>
          <a:off x="2085976" y="266699"/>
          <a:ext cx="753035" cy="781051"/>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M290"/>
  <sheetViews>
    <sheetView topLeftCell="A4" workbookViewId="0">
      <selection activeCell="J14" sqref="J14"/>
    </sheetView>
  </sheetViews>
  <sheetFormatPr defaultRowHeight="15" x14ac:dyDescent="0.2"/>
  <cols>
    <col min="3" max="3" width="5.83203125" style="1" customWidth="1"/>
    <col min="4" max="4" width="35.83203125" style="1" customWidth="1"/>
    <col min="5" max="5" width="49.5" style="1" customWidth="1"/>
    <col min="6" max="6" width="6.33203125" customWidth="1"/>
    <col min="7" max="7" width="2.5" customWidth="1"/>
  </cols>
  <sheetData>
    <row r="2" spans="2:13" ht="15" customHeight="1" x14ac:dyDescent="0.2">
      <c r="B2" s="5"/>
      <c r="C2" s="162" t="s">
        <v>3</v>
      </c>
      <c r="D2" s="162"/>
      <c r="E2" s="162"/>
      <c r="F2" s="162"/>
      <c r="G2" s="162"/>
      <c r="H2" s="6"/>
      <c r="I2" s="6"/>
      <c r="J2" s="6"/>
      <c r="K2" s="6"/>
      <c r="L2" s="6"/>
      <c r="M2" s="6"/>
    </row>
    <row r="3" spans="2:13" ht="15" customHeight="1" x14ac:dyDescent="0.2">
      <c r="B3" s="5"/>
      <c r="C3" s="163" t="s">
        <v>4</v>
      </c>
      <c r="D3" s="163"/>
      <c r="E3" s="163"/>
      <c r="F3" s="163"/>
      <c r="G3" s="163"/>
      <c r="H3" s="7"/>
      <c r="I3" s="7"/>
      <c r="J3" s="7"/>
      <c r="K3" s="7"/>
      <c r="L3" s="7"/>
      <c r="M3" s="7"/>
    </row>
    <row r="4" spans="2:13" ht="15" customHeight="1" x14ac:dyDescent="0.2">
      <c r="B4" s="5"/>
      <c r="C4" s="164" t="s">
        <v>6</v>
      </c>
      <c r="D4" s="164"/>
      <c r="E4" s="164"/>
      <c r="F4" s="164"/>
      <c r="G4" s="164"/>
      <c r="H4" s="8"/>
      <c r="I4" s="8"/>
      <c r="J4" s="8"/>
      <c r="K4" s="8"/>
      <c r="L4" s="8"/>
      <c r="M4" s="8"/>
    </row>
    <row r="5" spans="2:13" ht="15" customHeight="1" thickBot="1" x14ac:dyDescent="0.25">
      <c r="B5" s="4"/>
      <c r="C5" s="165" t="s">
        <v>5</v>
      </c>
      <c r="D5" s="165"/>
      <c r="E5" s="165"/>
      <c r="F5" s="165"/>
      <c r="G5" s="165"/>
      <c r="H5" s="8"/>
      <c r="I5" s="8"/>
      <c r="J5" s="8"/>
      <c r="K5" s="8"/>
      <c r="L5" s="8"/>
      <c r="M5" s="8"/>
    </row>
    <row r="6" spans="2:13" ht="15" customHeight="1" thickTop="1" x14ac:dyDescent="0.2"/>
    <row r="7" spans="2:13" ht="15" customHeight="1" x14ac:dyDescent="0.2">
      <c r="C7" s="161" t="s">
        <v>9</v>
      </c>
      <c r="D7" s="161"/>
      <c r="E7" s="161"/>
      <c r="F7" s="161"/>
    </row>
    <row r="8" spans="2:13" ht="16.5" customHeight="1" x14ac:dyDescent="0.2">
      <c r="C8" s="166" t="s">
        <v>7</v>
      </c>
      <c r="D8" s="166"/>
      <c r="E8" s="166"/>
      <c r="F8" s="166"/>
    </row>
    <row r="9" spans="2:13" ht="15" customHeight="1" x14ac:dyDescent="0.2">
      <c r="C9" s="161" t="s">
        <v>8</v>
      </c>
      <c r="D9" s="161"/>
      <c r="E9" s="161"/>
      <c r="F9" s="10"/>
    </row>
    <row r="10" spans="2:13" ht="15" customHeight="1" x14ac:dyDescent="0.2"/>
    <row r="11" spans="2:13" ht="21" customHeight="1" x14ac:dyDescent="0.2">
      <c r="C11" s="3" t="s">
        <v>2</v>
      </c>
      <c r="D11" s="3" t="s">
        <v>0</v>
      </c>
      <c r="E11" s="3" t="s">
        <v>1</v>
      </c>
    </row>
    <row r="12" spans="2:13" ht="15" customHeight="1" x14ac:dyDescent="0.2">
      <c r="C12" s="110">
        <v>1</v>
      </c>
      <c r="D12" s="107" t="s">
        <v>113</v>
      </c>
      <c r="E12" s="108" t="s">
        <v>114</v>
      </c>
    </row>
    <row r="13" spans="2:13" ht="15" customHeight="1" x14ac:dyDescent="0.2">
      <c r="C13" s="110">
        <v>2</v>
      </c>
      <c r="D13" s="107" t="s">
        <v>115</v>
      </c>
      <c r="E13" s="108" t="s">
        <v>116</v>
      </c>
    </row>
    <row r="14" spans="2:13" ht="15" customHeight="1" x14ac:dyDescent="0.2">
      <c r="C14" s="110">
        <v>3</v>
      </c>
      <c r="D14" s="107" t="s">
        <v>117</v>
      </c>
      <c r="E14" s="108" t="s">
        <v>118</v>
      </c>
    </row>
    <row r="15" spans="2:13" ht="15" customHeight="1" x14ac:dyDescent="0.2">
      <c r="C15" s="110">
        <v>4</v>
      </c>
      <c r="D15" s="107" t="s">
        <v>119</v>
      </c>
      <c r="E15" s="108" t="s">
        <v>120</v>
      </c>
    </row>
    <row r="16" spans="2:13" ht="15" customHeight="1" x14ac:dyDescent="0.2">
      <c r="C16" s="110">
        <v>5</v>
      </c>
      <c r="D16" s="107" t="s">
        <v>121</v>
      </c>
      <c r="E16" s="108" t="s">
        <v>122</v>
      </c>
    </row>
    <row r="17" spans="3:5" ht="15" customHeight="1" x14ac:dyDescent="0.2">
      <c r="C17" s="110">
        <v>6</v>
      </c>
      <c r="D17" s="107" t="s">
        <v>123</v>
      </c>
      <c r="E17" s="108" t="s">
        <v>124</v>
      </c>
    </row>
    <row r="18" spans="3:5" ht="15" customHeight="1" x14ac:dyDescent="0.2">
      <c r="C18" s="110">
        <v>7</v>
      </c>
      <c r="D18" s="107" t="s">
        <v>125</v>
      </c>
      <c r="E18" s="108" t="s">
        <v>126</v>
      </c>
    </row>
    <row r="19" spans="3:5" ht="15" customHeight="1" x14ac:dyDescent="0.2">
      <c r="C19" s="110">
        <v>8</v>
      </c>
      <c r="D19" s="107" t="s">
        <v>127</v>
      </c>
      <c r="E19" s="108" t="s">
        <v>128</v>
      </c>
    </row>
    <row r="20" spans="3:5" ht="15" customHeight="1" x14ac:dyDescent="0.2">
      <c r="C20" s="110">
        <v>9</v>
      </c>
      <c r="D20" s="107" t="s">
        <v>129</v>
      </c>
      <c r="E20" s="108" t="s">
        <v>130</v>
      </c>
    </row>
    <row r="21" spans="3:5" ht="15" customHeight="1" x14ac:dyDescent="0.2">
      <c r="C21" s="110">
        <v>10</v>
      </c>
      <c r="D21" s="107" t="s">
        <v>131</v>
      </c>
      <c r="E21" s="108" t="s">
        <v>132</v>
      </c>
    </row>
    <row r="22" spans="3:5" ht="15" customHeight="1" x14ac:dyDescent="0.2">
      <c r="C22" s="110">
        <v>11</v>
      </c>
      <c r="D22" s="107" t="s">
        <v>133</v>
      </c>
      <c r="E22" s="108" t="s">
        <v>134</v>
      </c>
    </row>
    <row r="23" spans="3:5" ht="15" customHeight="1" x14ac:dyDescent="0.2">
      <c r="C23" s="110">
        <v>12</v>
      </c>
      <c r="D23" s="107" t="s">
        <v>135</v>
      </c>
      <c r="E23" s="108" t="s">
        <v>136</v>
      </c>
    </row>
    <row r="24" spans="3:5" ht="15" customHeight="1" x14ac:dyDescent="0.2">
      <c r="C24" s="110">
        <v>13</v>
      </c>
      <c r="D24" s="107" t="s">
        <v>137</v>
      </c>
      <c r="E24" s="108" t="s">
        <v>138</v>
      </c>
    </row>
    <row r="25" spans="3:5" ht="15" customHeight="1" x14ac:dyDescent="0.2">
      <c r="C25" s="110">
        <v>14</v>
      </c>
      <c r="D25" s="107" t="s">
        <v>139</v>
      </c>
      <c r="E25" s="108" t="s">
        <v>140</v>
      </c>
    </row>
    <row r="26" spans="3:5" ht="15" customHeight="1" x14ac:dyDescent="0.2">
      <c r="C26" s="110">
        <v>15</v>
      </c>
      <c r="D26" s="107" t="s">
        <v>141</v>
      </c>
      <c r="E26" s="108" t="s">
        <v>142</v>
      </c>
    </row>
    <row r="27" spans="3:5" ht="15" customHeight="1" x14ac:dyDescent="0.2">
      <c r="C27" s="110">
        <v>16</v>
      </c>
      <c r="D27" s="107" t="s">
        <v>143</v>
      </c>
      <c r="E27" s="108" t="s">
        <v>144</v>
      </c>
    </row>
    <row r="28" spans="3:5" ht="15" customHeight="1" x14ac:dyDescent="0.2">
      <c r="C28" s="110">
        <v>17</v>
      </c>
      <c r="D28" s="107" t="s">
        <v>145</v>
      </c>
      <c r="E28" s="108" t="s">
        <v>146</v>
      </c>
    </row>
    <row r="29" spans="3:5" ht="15" customHeight="1" x14ac:dyDescent="0.2">
      <c r="C29" s="110">
        <v>18</v>
      </c>
      <c r="D29" s="107" t="s">
        <v>147</v>
      </c>
      <c r="E29" s="108" t="s">
        <v>148</v>
      </c>
    </row>
    <row r="30" spans="3:5" ht="15" customHeight="1" x14ac:dyDescent="0.2">
      <c r="C30" s="110">
        <v>19</v>
      </c>
      <c r="D30" s="107" t="s">
        <v>149</v>
      </c>
      <c r="E30" s="108" t="s">
        <v>150</v>
      </c>
    </row>
    <row r="31" spans="3:5" ht="15" customHeight="1" x14ac:dyDescent="0.2">
      <c r="C31" s="110">
        <v>20</v>
      </c>
      <c r="D31" s="107" t="s">
        <v>151</v>
      </c>
      <c r="E31" s="108" t="s">
        <v>152</v>
      </c>
    </row>
    <row r="32" spans="3:5" ht="15" customHeight="1" x14ac:dyDescent="0.2">
      <c r="C32" s="110">
        <v>21</v>
      </c>
      <c r="D32" s="107" t="s">
        <v>153</v>
      </c>
      <c r="E32" s="108" t="s">
        <v>154</v>
      </c>
    </row>
    <row r="33" spans="3:5" ht="15" customHeight="1" x14ac:dyDescent="0.2">
      <c r="C33" s="110">
        <v>22</v>
      </c>
      <c r="D33" s="107" t="s">
        <v>155</v>
      </c>
      <c r="E33" s="108" t="s">
        <v>156</v>
      </c>
    </row>
    <row r="34" spans="3:5" ht="15" customHeight="1" x14ac:dyDescent="0.2">
      <c r="C34" s="110">
        <v>23</v>
      </c>
      <c r="D34" s="107" t="s">
        <v>157</v>
      </c>
      <c r="E34" s="108" t="s">
        <v>158</v>
      </c>
    </row>
    <row r="35" spans="3:5" ht="15" customHeight="1" x14ac:dyDescent="0.2">
      <c r="C35" s="110">
        <v>24</v>
      </c>
      <c r="D35" s="107" t="s">
        <v>159</v>
      </c>
      <c r="E35" s="108" t="s">
        <v>160</v>
      </c>
    </row>
    <row r="36" spans="3:5" ht="15" customHeight="1" x14ac:dyDescent="0.2">
      <c r="C36" s="110">
        <v>25</v>
      </c>
      <c r="D36" s="107" t="s">
        <v>161</v>
      </c>
      <c r="E36" s="108" t="s">
        <v>162</v>
      </c>
    </row>
    <row r="37" spans="3:5" ht="15" customHeight="1" x14ac:dyDescent="0.2">
      <c r="C37" s="110">
        <v>26</v>
      </c>
      <c r="D37" s="107" t="s">
        <v>163</v>
      </c>
      <c r="E37" s="108" t="s">
        <v>164</v>
      </c>
    </row>
    <row r="38" spans="3:5" ht="15" customHeight="1" x14ac:dyDescent="0.2">
      <c r="C38" s="110">
        <v>27</v>
      </c>
      <c r="D38" s="107" t="s">
        <v>165</v>
      </c>
      <c r="E38" s="108" t="s">
        <v>166</v>
      </c>
    </row>
    <row r="39" spans="3:5" ht="15" customHeight="1" x14ac:dyDescent="0.2">
      <c r="C39" s="110">
        <v>28</v>
      </c>
      <c r="D39" s="107" t="s">
        <v>167</v>
      </c>
      <c r="E39" s="108" t="s">
        <v>168</v>
      </c>
    </row>
    <row r="40" spans="3:5" ht="15" customHeight="1" x14ac:dyDescent="0.2">
      <c r="C40" s="110">
        <v>29</v>
      </c>
      <c r="D40" s="107" t="s">
        <v>169</v>
      </c>
      <c r="E40" s="108" t="s">
        <v>170</v>
      </c>
    </row>
    <row r="41" spans="3:5" ht="15" customHeight="1" x14ac:dyDescent="0.2">
      <c r="C41" s="110">
        <v>30</v>
      </c>
      <c r="D41" s="107" t="s">
        <v>171</v>
      </c>
      <c r="E41" s="108" t="s">
        <v>172</v>
      </c>
    </row>
    <row r="42" spans="3:5" ht="15" customHeight="1" x14ac:dyDescent="0.2">
      <c r="C42" s="110">
        <v>31</v>
      </c>
      <c r="D42" s="107" t="s">
        <v>173</v>
      </c>
      <c r="E42" s="108" t="s">
        <v>174</v>
      </c>
    </row>
    <row r="43" spans="3:5" ht="15" customHeight="1" x14ac:dyDescent="0.2">
      <c r="C43" s="110">
        <v>32</v>
      </c>
      <c r="D43" s="107" t="s">
        <v>175</v>
      </c>
      <c r="E43" s="108" t="s">
        <v>176</v>
      </c>
    </row>
    <row r="44" spans="3:5" ht="15" customHeight="1" x14ac:dyDescent="0.2">
      <c r="C44" s="110">
        <v>33</v>
      </c>
      <c r="D44" s="107" t="s">
        <v>177</v>
      </c>
      <c r="E44" s="108" t="s">
        <v>178</v>
      </c>
    </row>
    <row r="45" spans="3:5" ht="15" customHeight="1" x14ac:dyDescent="0.2">
      <c r="C45" s="110">
        <v>34</v>
      </c>
      <c r="D45" s="107" t="s">
        <v>179</v>
      </c>
      <c r="E45" s="108" t="s">
        <v>180</v>
      </c>
    </row>
    <row r="46" spans="3:5" ht="15" customHeight="1" x14ac:dyDescent="0.2">
      <c r="C46" s="110">
        <v>35</v>
      </c>
      <c r="D46" s="107" t="s">
        <v>181</v>
      </c>
      <c r="E46" s="108" t="s">
        <v>182</v>
      </c>
    </row>
    <row r="47" spans="3:5" ht="15" customHeight="1" x14ac:dyDescent="0.2">
      <c r="C47" s="110">
        <v>36</v>
      </c>
      <c r="D47" s="107" t="s">
        <v>183</v>
      </c>
      <c r="E47" s="108" t="s">
        <v>184</v>
      </c>
    </row>
    <row r="48" spans="3:5" ht="15" customHeight="1" x14ac:dyDescent="0.2">
      <c r="C48" s="110">
        <v>37</v>
      </c>
      <c r="D48" s="107" t="s">
        <v>185</v>
      </c>
      <c r="E48" s="108" t="s">
        <v>186</v>
      </c>
    </row>
    <row r="49" spans="3:5" ht="15" customHeight="1" x14ac:dyDescent="0.2">
      <c r="C49" s="110">
        <v>38</v>
      </c>
      <c r="D49" s="107" t="s">
        <v>187</v>
      </c>
      <c r="E49" s="108" t="s">
        <v>188</v>
      </c>
    </row>
    <row r="50" spans="3:5" ht="15" customHeight="1" x14ac:dyDescent="0.2">
      <c r="C50" s="110">
        <v>39</v>
      </c>
      <c r="D50" s="107" t="s">
        <v>189</v>
      </c>
      <c r="E50" s="108" t="s">
        <v>190</v>
      </c>
    </row>
    <row r="51" spans="3:5" ht="15" customHeight="1" x14ac:dyDescent="0.2">
      <c r="C51" s="110">
        <v>40</v>
      </c>
      <c r="D51" s="107" t="s">
        <v>191</v>
      </c>
      <c r="E51" s="108" t="s">
        <v>192</v>
      </c>
    </row>
    <row r="52" spans="3:5" ht="15" customHeight="1" x14ac:dyDescent="0.2">
      <c r="C52" s="110">
        <v>41</v>
      </c>
      <c r="D52" s="107" t="s">
        <v>193</v>
      </c>
      <c r="E52" s="108" t="s">
        <v>194</v>
      </c>
    </row>
    <row r="53" spans="3:5" ht="15" customHeight="1" x14ac:dyDescent="0.2">
      <c r="C53" s="110">
        <v>42</v>
      </c>
      <c r="D53" s="107" t="s">
        <v>195</v>
      </c>
      <c r="E53" s="108" t="s">
        <v>196</v>
      </c>
    </row>
    <row r="54" spans="3:5" ht="15" customHeight="1" x14ac:dyDescent="0.2">
      <c r="C54" s="110">
        <v>43</v>
      </c>
      <c r="D54" s="107" t="s">
        <v>197</v>
      </c>
      <c r="E54" s="108" t="s">
        <v>198</v>
      </c>
    </row>
    <row r="55" spans="3:5" ht="15" customHeight="1" x14ac:dyDescent="0.2">
      <c r="C55" s="110">
        <v>44</v>
      </c>
      <c r="D55" s="107" t="s">
        <v>199</v>
      </c>
      <c r="E55" s="108" t="s">
        <v>200</v>
      </c>
    </row>
    <row r="56" spans="3:5" ht="15" customHeight="1" x14ac:dyDescent="0.2">
      <c r="C56" s="110">
        <v>45</v>
      </c>
      <c r="D56" s="107" t="s">
        <v>201</v>
      </c>
      <c r="E56" s="108" t="s">
        <v>202</v>
      </c>
    </row>
    <row r="57" spans="3:5" ht="15" customHeight="1" x14ac:dyDescent="0.2">
      <c r="C57" s="110">
        <v>46</v>
      </c>
      <c r="D57" s="107" t="s">
        <v>203</v>
      </c>
      <c r="E57" s="108" t="s">
        <v>204</v>
      </c>
    </row>
    <row r="58" spans="3:5" ht="15" customHeight="1" x14ac:dyDescent="0.2">
      <c r="C58" s="110">
        <v>47</v>
      </c>
      <c r="D58" s="107" t="s">
        <v>205</v>
      </c>
      <c r="E58" s="108" t="s">
        <v>206</v>
      </c>
    </row>
    <row r="59" spans="3:5" ht="15" customHeight="1" x14ac:dyDescent="0.2">
      <c r="C59" s="110">
        <v>48</v>
      </c>
      <c r="D59" s="107" t="s">
        <v>207</v>
      </c>
      <c r="E59" s="108" t="s">
        <v>208</v>
      </c>
    </row>
    <row r="60" spans="3:5" ht="15" customHeight="1" x14ac:dyDescent="0.2">
      <c r="C60" s="110">
        <v>49</v>
      </c>
      <c r="D60" s="107" t="s">
        <v>209</v>
      </c>
      <c r="E60" s="108" t="s">
        <v>210</v>
      </c>
    </row>
    <row r="61" spans="3:5" ht="15" customHeight="1" x14ac:dyDescent="0.2">
      <c r="C61" s="110">
        <v>50</v>
      </c>
      <c r="D61" s="107" t="s">
        <v>211</v>
      </c>
      <c r="E61" s="108" t="s">
        <v>212</v>
      </c>
    </row>
    <row r="62" spans="3:5" ht="15" customHeight="1" x14ac:dyDescent="0.2">
      <c r="C62" s="110">
        <v>51</v>
      </c>
      <c r="D62" s="107" t="s">
        <v>213</v>
      </c>
      <c r="E62" s="108" t="s">
        <v>214</v>
      </c>
    </row>
    <row r="63" spans="3:5" ht="15" customHeight="1" x14ac:dyDescent="0.2">
      <c r="C63" s="110">
        <v>52</v>
      </c>
      <c r="D63" s="107" t="s">
        <v>215</v>
      </c>
      <c r="E63" s="108" t="s">
        <v>216</v>
      </c>
    </row>
    <row r="64" spans="3:5" ht="15" customHeight="1" x14ac:dyDescent="0.2">
      <c r="C64" s="110">
        <v>53</v>
      </c>
      <c r="D64" s="107" t="s">
        <v>217</v>
      </c>
      <c r="E64" s="108" t="s">
        <v>218</v>
      </c>
    </row>
    <row r="65" spans="3:5" ht="15" customHeight="1" x14ac:dyDescent="0.2">
      <c r="C65" s="110">
        <v>54</v>
      </c>
      <c r="D65" s="107" t="s">
        <v>219</v>
      </c>
      <c r="E65" s="108" t="s">
        <v>220</v>
      </c>
    </row>
    <row r="66" spans="3:5" ht="15" customHeight="1" x14ac:dyDescent="0.2">
      <c r="C66" s="110">
        <v>55</v>
      </c>
      <c r="D66" s="107" t="s">
        <v>221</v>
      </c>
      <c r="E66" s="108" t="s">
        <v>222</v>
      </c>
    </row>
    <row r="67" spans="3:5" ht="15" customHeight="1" x14ac:dyDescent="0.2">
      <c r="C67" s="110">
        <v>56</v>
      </c>
      <c r="D67" s="107" t="s">
        <v>223</v>
      </c>
      <c r="E67" s="108" t="s">
        <v>224</v>
      </c>
    </row>
    <row r="68" spans="3:5" ht="15" customHeight="1" x14ac:dyDescent="0.2">
      <c r="C68" s="110">
        <v>57</v>
      </c>
      <c r="D68" s="107" t="s">
        <v>225</v>
      </c>
      <c r="E68" s="108" t="s">
        <v>226</v>
      </c>
    </row>
    <row r="69" spans="3:5" ht="15" customHeight="1" x14ac:dyDescent="0.2">
      <c r="C69" s="110">
        <v>58</v>
      </c>
      <c r="D69" s="107" t="s">
        <v>227</v>
      </c>
      <c r="E69" s="108" t="s">
        <v>228</v>
      </c>
    </row>
    <row r="70" spans="3:5" ht="15" customHeight="1" x14ac:dyDescent="0.2">
      <c r="C70" s="110">
        <v>59</v>
      </c>
      <c r="D70" s="107" t="s">
        <v>229</v>
      </c>
      <c r="E70" s="108" t="s">
        <v>230</v>
      </c>
    </row>
    <row r="71" spans="3:5" ht="15" customHeight="1" x14ac:dyDescent="0.2">
      <c r="C71" s="110">
        <v>60</v>
      </c>
      <c r="D71" s="107" t="s">
        <v>231</v>
      </c>
      <c r="E71" s="108" t="s">
        <v>232</v>
      </c>
    </row>
    <row r="72" spans="3:5" ht="15" customHeight="1" x14ac:dyDescent="0.2">
      <c r="C72" s="110">
        <v>61</v>
      </c>
      <c r="D72" s="107" t="s">
        <v>233</v>
      </c>
      <c r="E72" s="108" t="s">
        <v>234</v>
      </c>
    </row>
    <row r="73" spans="3:5" ht="15" customHeight="1" x14ac:dyDescent="0.2">
      <c r="C73" s="110">
        <v>62</v>
      </c>
      <c r="D73" s="107" t="s">
        <v>235</v>
      </c>
      <c r="E73" s="108" t="s">
        <v>236</v>
      </c>
    </row>
    <row r="74" spans="3:5" ht="15" customHeight="1" x14ac:dyDescent="0.2">
      <c r="C74" s="110">
        <v>63</v>
      </c>
      <c r="D74" s="107" t="s">
        <v>237</v>
      </c>
      <c r="E74" s="108" t="s">
        <v>238</v>
      </c>
    </row>
    <row r="75" spans="3:5" ht="15" customHeight="1" x14ac:dyDescent="0.2">
      <c r="C75" s="110">
        <v>64</v>
      </c>
      <c r="D75" s="107" t="s">
        <v>239</v>
      </c>
      <c r="E75" s="108" t="s">
        <v>240</v>
      </c>
    </row>
    <row r="76" spans="3:5" ht="15" customHeight="1" x14ac:dyDescent="0.2">
      <c r="C76" s="110">
        <v>65</v>
      </c>
      <c r="D76" s="107" t="s">
        <v>241</v>
      </c>
      <c r="E76" s="108" t="s">
        <v>242</v>
      </c>
    </row>
    <row r="77" spans="3:5" ht="15" customHeight="1" x14ac:dyDescent="0.2">
      <c r="C77" s="110">
        <v>66</v>
      </c>
      <c r="D77" s="107" t="s">
        <v>243</v>
      </c>
      <c r="E77" s="108" t="s">
        <v>244</v>
      </c>
    </row>
    <row r="78" spans="3:5" ht="15" customHeight="1" x14ac:dyDescent="0.2">
      <c r="C78" s="110">
        <v>67</v>
      </c>
      <c r="D78" s="107" t="s">
        <v>245</v>
      </c>
      <c r="E78" s="108" t="s">
        <v>246</v>
      </c>
    </row>
    <row r="79" spans="3:5" ht="15" customHeight="1" x14ac:dyDescent="0.2">
      <c r="C79" s="110">
        <v>68</v>
      </c>
      <c r="D79" s="107" t="s">
        <v>247</v>
      </c>
      <c r="E79" s="108" t="s">
        <v>248</v>
      </c>
    </row>
    <row r="80" spans="3:5" ht="15" customHeight="1" x14ac:dyDescent="0.2">
      <c r="C80" s="110">
        <v>69</v>
      </c>
      <c r="D80" s="107" t="s">
        <v>249</v>
      </c>
      <c r="E80" s="108" t="s">
        <v>250</v>
      </c>
    </row>
    <row r="81" spans="3:5" ht="15" customHeight="1" x14ac:dyDescent="0.2">
      <c r="C81" s="110">
        <v>70</v>
      </c>
      <c r="D81" s="107" t="s">
        <v>251</v>
      </c>
      <c r="E81" s="108" t="s">
        <v>252</v>
      </c>
    </row>
    <row r="82" spans="3:5" ht="15" customHeight="1" x14ac:dyDescent="0.2">
      <c r="C82" s="110">
        <v>71</v>
      </c>
      <c r="D82" s="107" t="s">
        <v>253</v>
      </c>
      <c r="E82" s="108" t="s">
        <v>254</v>
      </c>
    </row>
    <row r="83" spans="3:5" ht="15" customHeight="1" x14ac:dyDescent="0.2">
      <c r="C83" s="110">
        <v>72</v>
      </c>
      <c r="D83" s="107" t="s">
        <v>255</v>
      </c>
      <c r="E83" s="108" t="s">
        <v>256</v>
      </c>
    </row>
    <row r="84" spans="3:5" ht="15" customHeight="1" x14ac:dyDescent="0.2">
      <c r="C84" s="110">
        <v>73</v>
      </c>
      <c r="D84" s="107" t="s">
        <v>257</v>
      </c>
      <c r="E84" s="108" t="s">
        <v>258</v>
      </c>
    </row>
    <row r="85" spans="3:5" ht="15" customHeight="1" x14ac:dyDescent="0.2">
      <c r="C85" s="110">
        <v>74</v>
      </c>
      <c r="D85" s="107" t="s">
        <v>259</v>
      </c>
      <c r="E85" s="108" t="s">
        <v>260</v>
      </c>
    </row>
    <row r="86" spans="3:5" ht="15" customHeight="1" x14ac:dyDescent="0.2">
      <c r="C86" s="110">
        <v>75</v>
      </c>
      <c r="D86" s="107" t="s">
        <v>261</v>
      </c>
      <c r="E86" s="108" t="s">
        <v>262</v>
      </c>
    </row>
    <row r="87" spans="3:5" ht="15" customHeight="1" x14ac:dyDescent="0.2">
      <c r="C87" s="110">
        <v>76</v>
      </c>
      <c r="D87" s="107" t="s">
        <v>263</v>
      </c>
      <c r="E87" s="108" t="s">
        <v>264</v>
      </c>
    </row>
    <row r="88" spans="3:5" ht="15" customHeight="1" x14ac:dyDescent="0.2">
      <c r="C88" s="110">
        <v>77</v>
      </c>
      <c r="D88" s="107" t="s">
        <v>265</v>
      </c>
      <c r="E88" s="108" t="s">
        <v>266</v>
      </c>
    </row>
    <row r="89" spans="3:5" ht="15" customHeight="1" x14ac:dyDescent="0.2">
      <c r="C89" s="110">
        <v>78</v>
      </c>
      <c r="D89" s="107" t="s">
        <v>267</v>
      </c>
      <c r="E89" s="108" t="s">
        <v>268</v>
      </c>
    </row>
    <row r="90" spans="3:5" ht="15" customHeight="1" x14ac:dyDescent="0.2">
      <c r="C90" s="110">
        <v>79</v>
      </c>
      <c r="D90" s="107" t="s">
        <v>269</v>
      </c>
      <c r="E90" s="108" t="s">
        <v>270</v>
      </c>
    </row>
    <row r="91" spans="3:5" ht="15" customHeight="1" x14ac:dyDescent="0.2">
      <c r="C91" s="110">
        <v>80</v>
      </c>
      <c r="D91" s="107" t="s">
        <v>271</v>
      </c>
      <c r="E91" s="108" t="s">
        <v>272</v>
      </c>
    </row>
    <row r="92" spans="3:5" ht="15" customHeight="1" x14ac:dyDescent="0.2">
      <c r="C92" s="110">
        <v>81</v>
      </c>
      <c r="D92" s="107" t="s">
        <v>273</v>
      </c>
      <c r="E92" s="108" t="s">
        <v>274</v>
      </c>
    </row>
    <row r="93" spans="3:5" ht="15" customHeight="1" x14ac:dyDescent="0.2">
      <c r="C93" s="110">
        <v>82</v>
      </c>
      <c r="D93" s="107" t="s">
        <v>275</v>
      </c>
      <c r="E93" s="108" t="s">
        <v>276</v>
      </c>
    </row>
    <row r="94" spans="3:5" ht="15" customHeight="1" x14ac:dyDescent="0.2">
      <c r="C94" s="110">
        <v>83</v>
      </c>
      <c r="D94" s="107" t="s">
        <v>277</v>
      </c>
      <c r="E94" s="108" t="s">
        <v>278</v>
      </c>
    </row>
    <row r="95" spans="3:5" ht="15" customHeight="1" x14ac:dyDescent="0.2">
      <c r="C95" s="110">
        <v>84</v>
      </c>
      <c r="D95" s="107" t="s">
        <v>279</v>
      </c>
      <c r="E95" s="108" t="s">
        <v>280</v>
      </c>
    </row>
    <row r="96" spans="3:5" ht="15" customHeight="1" x14ac:dyDescent="0.2">
      <c r="C96" s="110">
        <v>85</v>
      </c>
      <c r="D96" s="107" t="s">
        <v>281</v>
      </c>
      <c r="E96" s="108" t="s">
        <v>282</v>
      </c>
    </row>
    <row r="97" spans="3:5" ht="15" customHeight="1" x14ac:dyDescent="0.2">
      <c r="C97" s="110">
        <v>86</v>
      </c>
      <c r="D97" s="107" t="s">
        <v>283</v>
      </c>
      <c r="E97" s="108" t="s">
        <v>284</v>
      </c>
    </row>
    <row r="98" spans="3:5" ht="15" customHeight="1" x14ac:dyDescent="0.2">
      <c r="C98" s="110">
        <v>87</v>
      </c>
      <c r="D98" s="107" t="s">
        <v>285</v>
      </c>
      <c r="E98" s="108" t="s">
        <v>286</v>
      </c>
    </row>
    <row r="99" spans="3:5" ht="15" customHeight="1" x14ac:dyDescent="0.2">
      <c r="C99" s="110">
        <v>88</v>
      </c>
      <c r="D99" s="107" t="s">
        <v>287</v>
      </c>
      <c r="E99" s="108" t="s">
        <v>288</v>
      </c>
    </row>
    <row r="100" spans="3:5" ht="15" customHeight="1" x14ac:dyDescent="0.2">
      <c r="C100" s="110">
        <v>89</v>
      </c>
      <c r="D100" s="107" t="s">
        <v>289</v>
      </c>
      <c r="E100" s="108" t="s">
        <v>290</v>
      </c>
    </row>
    <row r="101" spans="3:5" ht="15" customHeight="1" x14ac:dyDescent="0.2">
      <c r="C101" s="110">
        <v>90</v>
      </c>
      <c r="D101" s="107" t="s">
        <v>291</v>
      </c>
      <c r="E101" s="108" t="s">
        <v>292</v>
      </c>
    </row>
    <row r="102" spans="3:5" ht="15" customHeight="1" x14ac:dyDescent="0.2">
      <c r="C102" s="110">
        <v>91</v>
      </c>
      <c r="D102" s="107" t="s">
        <v>293</v>
      </c>
      <c r="E102" s="108" t="s">
        <v>294</v>
      </c>
    </row>
    <row r="103" spans="3:5" ht="15" customHeight="1" x14ac:dyDescent="0.2">
      <c r="C103" s="110">
        <v>92</v>
      </c>
      <c r="D103" s="107" t="s">
        <v>295</v>
      </c>
      <c r="E103" s="108" t="s">
        <v>296</v>
      </c>
    </row>
    <row r="104" spans="3:5" ht="15" customHeight="1" x14ac:dyDescent="0.2">
      <c r="C104" s="110">
        <v>93</v>
      </c>
      <c r="D104" s="107" t="s">
        <v>297</v>
      </c>
      <c r="E104" s="108" t="s">
        <v>298</v>
      </c>
    </row>
    <row r="105" spans="3:5" ht="15" customHeight="1" x14ac:dyDescent="0.2">
      <c r="C105" s="110">
        <v>94</v>
      </c>
      <c r="D105" s="107" t="s">
        <v>299</v>
      </c>
      <c r="E105" s="108" t="s">
        <v>300</v>
      </c>
    </row>
    <row r="106" spans="3:5" ht="15" customHeight="1" x14ac:dyDescent="0.2">
      <c r="C106" s="110">
        <v>95</v>
      </c>
      <c r="D106" s="107" t="s">
        <v>301</v>
      </c>
      <c r="E106" s="108" t="s">
        <v>302</v>
      </c>
    </row>
    <row r="107" spans="3:5" ht="15" customHeight="1" x14ac:dyDescent="0.2">
      <c r="C107" s="110">
        <v>96</v>
      </c>
      <c r="D107" s="107" t="s">
        <v>303</v>
      </c>
      <c r="E107" s="108" t="s">
        <v>304</v>
      </c>
    </row>
    <row r="108" spans="3:5" ht="15" customHeight="1" x14ac:dyDescent="0.2">
      <c r="C108" s="110">
        <v>97</v>
      </c>
      <c r="D108" s="107" t="s">
        <v>305</v>
      </c>
      <c r="E108" s="108" t="s">
        <v>306</v>
      </c>
    </row>
    <row r="109" spans="3:5" ht="15" customHeight="1" x14ac:dyDescent="0.2">
      <c r="C109" s="110">
        <v>98</v>
      </c>
      <c r="D109" s="107" t="s">
        <v>307</v>
      </c>
      <c r="E109" s="108" t="s">
        <v>308</v>
      </c>
    </row>
    <row r="110" spans="3:5" ht="15" customHeight="1" x14ac:dyDescent="0.2">
      <c r="C110" s="110">
        <v>99</v>
      </c>
      <c r="D110" s="107" t="s">
        <v>309</v>
      </c>
      <c r="E110" s="108" t="s">
        <v>310</v>
      </c>
    </row>
    <row r="111" spans="3:5" ht="15" customHeight="1" x14ac:dyDescent="0.2">
      <c r="C111" s="110">
        <v>100</v>
      </c>
      <c r="D111" s="107" t="s">
        <v>311</v>
      </c>
      <c r="E111" s="108" t="s">
        <v>312</v>
      </c>
    </row>
    <row r="112" spans="3:5" ht="15" customHeight="1" x14ac:dyDescent="0.2">
      <c r="C112" s="110">
        <v>101</v>
      </c>
      <c r="D112" s="107" t="s">
        <v>313</v>
      </c>
      <c r="E112" s="108" t="s">
        <v>314</v>
      </c>
    </row>
    <row r="113" spans="3:5" ht="15" customHeight="1" x14ac:dyDescent="0.2">
      <c r="C113" s="110">
        <v>102</v>
      </c>
      <c r="D113" s="107" t="s">
        <v>315</v>
      </c>
      <c r="E113" s="108" t="s">
        <v>316</v>
      </c>
    </row>
    <row r="114" spans="3:5" ht="15" customHeight="1" x14ac:dyDescent="0.2">
      <c r="C114" s="110">
        <v>103</v>
      </c>
      <c r="D114" s="107" t="s">
        <v>317</v>
      </c>
      <c r="E114" s="108" t="s">
        <v>318</v>
      </c>
    </row>
    <row r="115" spans="3:5" ht="15" customHeight="1" x14ac:dyDescent="0.2">
      <c r="C115" s="110">
        <v>104</v>
      </c>
      <c r="D115" s="107" t="s">
        <v>319</v>
      </c>
      <c r="E115" s="108" t="s">
        <v>320</v>
      </c>
    </row>
    <row r="116" spans="3:5" ht="15" customHeight="1" x14ac:dyDescent="0.2">
      <c r="C116" s="110">
        <v>105</v>
      </c>
      <c r="D116" s="107" t="s">
        <v>321</v>
      </c>
      <c r="E116" s="108" t="s">
        <v>322</v>
      </c>
    </row>
    <row r="117" spans="3:5" ht="15" customHeight="1" x14ac:dyDescent="0.2">
      <c r="C117" s="110">
        <v>106</v>
      </c>
      <c r="D117" s="107" t="s">
        <v>323</v>
      </c>
      <c r="E117" s="108" t="s">
        <v>324</v>
      </c>
    </row>
    <row r="118" spans="3:5" ht="15" customHeight="1" x14ac:dyDescent="0.2">
      <c r="C118" s="110">
        <v>107</v>
      </c>
      <c r="D118" s="107" t="s">
        <v>325</v>
      </c>
      <c r="E118" s="108" t="s">
        <v>326</v>
      </c>
    </row>
    <row r="119" spans="3:5" ht="15" customHeight="1" x14ac:dyDescent="0.2">
      <c r="C119" s="110">
        <v>108</v>
      </c>
      <c r="D119" s="107" t="s">
        <v>327</v>
      </c>
      <c r="E119" s="108" t="s">
        <v>328</v>
      </c>
    </row>
    <row r="120" spans="3:5" ht="15" customHeight="1" x14ac:dyDescent="0.2">
      <c r="C120" s="110">
        <v>109</v>
      </c>
      <c r="D120" s="107" t="s">
        <v>329</v>
      </c>
      <c r="E120" s="108" t="s">
        <v>330</v>
      </c>
    </row>
    <row r="121" spans="3:5" ht="15" customHeight="1" x14ac:dyDescent="0.2">
      <c r="C121" s="110">
        <v>110</v>
      </c>
      <c r="D121" s="107" t="s">
        <v>331</v>
      </c>
      <c r="E121" s="108" t="s">
        <v>332</v>
      </c>
    </row>
    <row r="122" spans="3:5" ht="15" customHeight="1" x14ac:dyDescent="0.2">
      <c r="C122" s="110">
        <v>111</v>
      </c>
      <c r="D122" s="107" t="s">
        <v>333</v>
      </c>
      <c r="E122" s="108" t="s">
        <v>334</v>
      </c>
    </row>
    <row r="123" spans="3:5" ht="15" customHeight="1" x14ac:dyDescent="0.2">
      <c r="C123" s="110">
        <v>112</v>
      </c>
      <c r="D123" s="107" t="s">
        <v>335</v>
      </c>
      <c r="E123" s="108" t="s">
        <v>336</v>
      </c>
    </row>
    <row r="124" spans="3:5" ht="15" customHeight="1" x14ac:dyDescent="0.2">
      <c r="C124" s="110">
        <v>113</v>
      </c>
      <c r="D124" s="107" t="s">
        <v>337</v>
      </c>
      <c r="E124" s="108" t="s">
        <v>338</v>
      </c>
    </row>
    <row r="125" spans="3:5" ht="15" customHeight="1" x14ac:dyDescent="0.2">
      <c r="C125" s="110">
        <v>114</v>
      </c>
      <c r="D125" s="107" t="s">
        <v>339</v>
      </c>
      <c r="E125" s="108" t="s">
        <v>340</v>
      </c>
    </row>
    <row r="126" spans="3:5" ht="15" customHeight="1" x14ac:dyDescent="0.2">
      <c r="C126" s="110">
        <v>115</v>
      </c>
      <c r="D126" s="107" t="s">
        <v>341</v>
      </c>
      <c r="E126" s="108" t="s">
        <v>342</v>
      </c>
    </row>
    <row r="127" spans="3:5" ht="15" customHeight="1" x14ac:dyDescent="0.2">
      <c r="C127" s="110">
        <v>116</v>
      </c>
      <c r="D127" s="107" t="s">
        <v>343</v>
      </c>
      <c r="E127" s="108" t="s">
        <v>344</v>
      </c>
    </row>
    <row r="128" spans="3:5" ht="15" customHeight="1" x14ac:dyDescent="0.2">
      <c r="C128" s="110">
        <v>117</v>
      </c>
      <c r="D128" s="107" t="s">
        <v>345</v>
      </c>
      <c r="E128" s="108" t="s">
        <v>346</v>
      </c>
    </row>
    <row r="129" spans="3:5" ht="15" customHeight="1" x14ac:dyDescent="0.2">
      <c r="C129" s="110">
        <v>118</v>
      </c>
      <c r="D129" s="107" t="s">
        <v>347</v>
      </c>
      <c r="E129" s="108" t="s">
        <v>348</v>
      </c>
    </row>
    <row r="130" spans="3:5" ht="15" customHeight="1" x14ac:dyDescent="0.2">
      <c r="C130" s="110">
        <v>119</v>
      </c>
      <c r="D130" s="107" t="s">
        <v>349</v>
      </c>
      <c r="E130" s="108" t="s">
        <v>350</v>
      </c>
    </row>
    <row r="131" spans="3:5" ht="15" customHeight="1" x14ac:dyDescent="0.2">
      <c r="C131" s="110">
        <v>120</v>
      </c>
      <c r="D131" s="107" t="s">
        <v>351</v>
      </c>
      <c r="E131" s="108" t="s">
        <v>352</v>
      </c>
    </row>
    <row r="132" spans="3:5" ht="15" customHeight="1" x14ac:dyDescent="0.2">
      <c r="C132" s="110">
        <v>121</v>
      </c>
      <c r="D132" s="107" t="s">
        <v>353</v>
      </c>
      <c r="E132" s="108" t="s">
        <v>354</v>
      </c>
    </row>
    <row r="133" spans="3:5" ht="15" customHeight="1" x14ac:dyDescent="0.2">
      <c r="C133" s="110">
        <v>122</v>
      </c>
      <c r="D133" s="107" t="s">
        <v>355</v>
      </c>
      <c r="E133" s="108" t="s">
        <v>356</v>
      </c>
    </row>
    <row r="134" spans="3:5" ht="15" customHeight="1" x14ac:dyDescent="0.2">
      <c r="C134" s="110">
        <v>123</v>
      </c>
      <c r="D134" s="107" t="s">
        <v>357</v>
      </c>
      <c r="E134" s="108" t="s">
        <v>358</v>
      </c>
    </row>
    <row r="135" spans="3:5" ht="15" customHeight="1" x14ac:dyDescent="0.2">
      <c r="C135" s="110">
        <v>124</v>
      </c>
      <c r="D135" s="107" t="s">
        <v>359</v>
      </c>
      <c r="E135" s="108" t="s">
        <v>360</v>
      </c>
    </row>
    <row r="136" spans="3:5" ht="15" customHeight="1" x14ac:dyDescent="0.2">
      <c r="C136" s="110">
        <v>125</v>
      </c>
      <c r="D136" s="107" t="s">
        <v>361</v>
      </c>
      <c r="E136" s="108" t="s">
        <v>362</v>
      </c>
    </row>
    <row r="137" spans="3:5" ht="15" customHeight="1" x14ac:dyDescent="0.2">
      <c r="C137" s="110">
        <v>126</v>
      </c>
      <c r="D137" s="107" t="s">
        <v>363</v>
      </c>
      <c r="E137" s="108" t="s">
        <v>364</v>
      </c>
    </row>
    <row r="138" spans="3:5" ht="15" customHeight="1" x14ac:dyDescent="0.2">
      <c r="C138" s="110">
        <v>127</v>
      </c>
      <c r="D138" s="107" t="s">
        <v>365</v>
      </c>
      <c r="E138" s="108" t="s">
        <v>366</v>
      </c>
    </row>
    <row r="139" spans="3:5" ht="15" customHeight="1" x14ac:dyDescent="0.2">
      <c r="C139" s="110">
        <v>128</v>
      </c>
      <c r="D139" s="107" t="s">
        <v>367</v>
      </c>
      <c r="E139" s="108" t="s">
        <v>368</v>
      </c>
    </row>
    <row r="140" spans="3:5" ht="15" customHeight="1" x14ac:dyDescent="0.2">
      <c r="C140" s="110">
        <v>129</v>
      </c>
      <c r="D140" s="107" t="s">
        <v>369</v>
      </c>
      <c r="E140" s="108" t="s">
        <v>370</v>
      </c>
    </row>
    <row r="141" spans="3:5" ht="15" customHeight="1" x14ac:dyDescent="0.2">
      <c r="C141" s="110">
        <v>130</v>
      </c>
      <c r="D141" s="107" t="s">
        <v>371</v>
      </c>
      <c r="E141" s="108" t="s">
        <v>372</v>
      </c>
    </row>
    <row r="142" spans="3:5" ht="15" customHeight="1" x14ac:dyDescent="0.2">
      <c r="C142" s="110">
        <v>131</v>
      </c>
      <c r="D142" s="107" t="s">
        <v>373</v>
      </c>
      <c r="E142" s="108" t="s">
        <v>374</v>
      </c>
    </row>
    <row r="143" spans="3:5" ht="15" customHeight="1" x14ac:dyDescent="0.2">
      <c r="C143" s="110">
        <v>132</v>
      </c>
      <c r="D143" s="107" t="s">
        <v>375</v>
      </c>
      <c r="E143" s="108" t="s">
        <v>376</v>
      </c>
    </row>
    <row r="144" spans="3:5" ht="15" customHeight="1" x14ac:dyDescent="0.2">
      <c r="C144" s="110">
        <v>133</v>
      </c>
      <c r="D144" s="107" t="s">
        <v>377</v>
      </c>
      <c r="E144" s="108" t="s">
        <v>378</v>
      </c>
    </row>
    <row r="145" spans="3:5" ht="15" customHeight="1" x14ac:dyDescent="0.2">
      <c r="C145" s="110">
        <v>134</v>
      </c>
      <c r="D145" s="107" t="s">
        <v>379</v>
      </c>
      <c r="E145" s="108" t="s">
        <v>380</v>
      </c>
    </row>
    <row r="146" spans="3:5" ht="15" customHeight="1" x14ac:dyDescent="0.2">
      <c r="C146" s="110">
        <v>135</v>
      </c>
      <c r="D146" s="107" t="s">
        <v>381</v>
      </c>
      <c r="E146" s="108" t="s">
        <v>382</v>
      </c>
    </row>
    <row r="147" spans="3:5" ht="15" customHeight="1" x14ac:dyDescent="0.2">
      <c r="C147" s="110">
        <v>136</v>
      </c>
      <c r="D147" s="107" t="s">
        <v>383</v>
      </c>
      <c r="E147" s="108" t="s">
        <v>384</v>
      </c>
    </row>
    <row r="148" spans="3:5" ht="15" customHeight="1" x14ac:dyDescent="0.2">
      <c r="C148" s="110">
        <v>137</v>
      </c>
      <c r="D148" s="107" t="s">
        <v>385</v>
      </c>
      <c r="E148" s="108" t="s">
        <v>386</v>
      </c>
    </row>
    <row r="149" spans="3:5" ht="15" customHeight="1" x14ac:dyDescent="0.2">
      <c r="C149" s="110">
        <v>138</v>
      </c>
      <c r="D149" s="107" t="s">
        <v>387</v>
      </c>
      <c r="E149" s="108" t="s">
        <v>388</v>
      </c>
    </row>
    <row r="150" spans="3:5" ht="15" customHeight="1" x14ac:dyDescent="0.2">
      <c r="C150" s="110">
        <v>139</v>
      </c>
      <c r="D150" s="107" t="s">
        <v>389</v>
      </c>
      <c r="E150" s="108" t="s">
        <v>390</v>
      </c>
    </row>
    <row r="151" spans="3:5" ht="15" customHeight="1" x14ac:dyDescent="0.2">
      <c r="C151" s="110">
        <v>140</v>
      </c>
      <c r="D151" s="107" t="s">
        <v>391</v>
      </c>
      <c r="E151" s="108" t="s">
        <v>392</v>
      </c>
    </row>
    <row r="152" spans="3:5" ht="15" customHeight="1" x14ac:dyDescent="0.2">
      <c r="C152" s="110">
        <v>141</v>
      </c>
      <c r="D152" s="107" t="s">
        <v>393</v>
      </c>
      <c r="E152" s="108" t="s">
        <v>394</v>
      </c>
    </row>
    <row r="153" spans="3:5" ht="15" customHeight="1" x14ac:dyDescent="0.2">
      <c r="C153" s="110">
        <v>142</v>
      </c>
      <c r="D153" s="107" t="s">
        <v>395</v>
      </c>
      <c r="E153" s="108" t="s">
        <v>396</v>
      </c>
    </row>
    <row r="154" spans="3:5" ht="15" customHeight="1" x14ac:dyDescent="0.2">
      <c r="C154" s="110">
        <v>143</v>
      </c>
      <c r="D154" s="107" t="s">
        <v>397</v>
      </c>
      <c r="E154" s="108" t="s">
        <v>398</v>
      </c>
    </row>
    <row r="155" spans="3:5" ht="15" customHeight="1" x14ac:dyDescent="0.2">
      <c r="C155" s="110">
        <v>144</v>
      </c>
      <c r="D155" s="107" t="s">
        <v>399</v>
      </c>
      <c r="E155" s="108" t="s">
        <v>400</v>
      </c>
    </row>
    <row r="156" spans="3:5" ht="15" customHeight="1" x14ac:dyDescent="0.2">
      <c r="C156" s="110">
        <v>145</v>
      </c>
      <c r="D156" s="107" t="s">
        <v>401</v>
      </c>
      <c r="E156" s="108" t="s">
        <v>402</v>
      </c>
    </row>
    <row r="157" spans="3:5" ht="15" customHeight="1" x14ac:dyDescent="0.2">
      <c r="C157" s="110">
        <v>146</v>
      </c>
      <c r="D157" s="107" t="s">
        <v>403</v>
      </c>
      <c r="E157" s="108" t="s">
        <v>404</v>
      </c>
    </row>
    <row r="158" spans="3:5" ht="15" customHeight="1" x14ac:dyDescent="0.2">
      <c r="C158" s="110">
        <v>147</v>
      </c>
      <c r="D158" s="107" t="s">
        <v>405</v>
      </c>
      <c r="E158" s="108" t="s">
        <v>406</v>
      </c>
    </row>
    <row r="159" spans="3:5" ht="15" customHeight="1" x14ac:dyDescent="0.2">
      <c r="C159" s="110">
        <v>148</v>
      </c>
      <c r="D159" s="107" t="s">
        <v>407</v>
      </c>
      <c r="E159" s="108" t="s">
        <v>408</v>
      </c>
    </row>
    <row r="160" spans="3:5" ht="15" customHeight="1" x14ac:dyDescent="0.2">
      <c r="C160" s="110">
        <v>149</v>
      </c>
      <c r="D160" s="107" t="s">
        <v>409</v>
      </c>
      <c r="E160" s="108" t="s">
        <v>410</v>
      </c>
    </row>
    <row r="161" spans="3:5" ht="15" customHeight="1" x14ac:dyDescent="0.2">
      <c r="C161" s="110">
        <v>150</v>
      </c>
      <c r="D161" s="107" t="s">
        <v>411</v>
      </c>
      <c r="E161" s="108" t="s">
        <v>412</v>
      </c>
    </row>
    <row r="162" spans="3:5" ht="15" customHeight="1" x14ac:dyDescent="0.2">
      <c r="C162" s="110">
        <v>151</v>
      </c>
      <c r="D162" s="107" t="s">
        <v>413</v>
      </c>
      <c r="E162" s="108" t="s">
        <v>414</v>
      </c>
    </row>
    <row r="163" spans="3:5" ht="15" customHeight="1" x14ac:dyDescent="0.2">
      <c r="C163" s="110">
        <v>152</v>
      </c>
      <c r="D163" s="107" t="s">
        <v>415</v>
      </c>
      <c r="E163" s="108" t="s">
        <v>416</v>
      </c>
    </row>
    <row r="164" spans="3:5" ht="15" customHeight="1" x14ac:dyDescent="0.2">
      <c r="C164" s="110">
        <v>153</v>
      </c>
      <c r="D164" s="107" t="s">
        <v>417</v>
      </c>
      <c r="E164" s="108" t="s">
        <v>418</v>
      </c>
    </row>
    <row r="165" spans="3:5" ht="15" customHeight="1" x14ac:dyDescent="0.2">
      <c r="C165" s="110">
        <v>154</v>
      </c>
      <c r="D165" s="107" t="s">
        <v>419</v>
      </c>
      <c r="E165" s="108" t="s">
        <v>420</v>
      </c>
    </row>
    <row r="166" spans="3:5" ht="15" customHeight="1" x14ac:dyDescent="0.2">
      <c r="C166" s="110">
        <v>155</v>
      </c>
      <c r="D166" s="107" t="s">
        <v>421</v>
      </c>
      <c r="E166" s="108" t="s">
        <v>422</v>
      </c>
    </row>
    <row r="167" spans="3:5" ht="15" customHeight="1" x14ac:dyDescent="0.2">
      <c r="C167" s="110">
        <v>156</v>
      </c>
      <c r="D167" s="107" t="s">
        <v>423</v>
      </c>
      <c r="E167" s="108" t="s">
        <v>424</v>
      </c>
    </row>
    <row r="168" spans="3:5" ht="15" customHeight="1" x14ac:dyDescent="0.2">
      <c r="C168" s="110">
        <v>157</v>
      </c>
      <c r="D168" s="107" t="s">
        <v>425</v>
      </c>
      <c r="E168" s="108" t="s">
        <v>426</v>
      </c>
    </row>
    <row r="169" spans="3:5" ht="15" customHeight="1" x14ac:dyDescent="0.2">
      <c r="C169" s="110">
        <v>158</v>
      </c>
      <c r="D169" s="107" t="s">
        <v>427</v>
      </c>
      <c r="E169" s="108" t="s">
        <v>428</v>
      </c>
    </row>
    <row r="170" spans="3:5" ht="15" customHeight="1" x14ac:dyDescent="0.2">
      <c r="C170" s="110">
        <v>159</v>
      </c>
      <c r="D170" s="107" t="s">
        <v>429</v>
      </c>
      <c r="E170" s="108" t="s">
        <v>430</v>
      </c>
    </row>
    <row r="171" spans="3:5" ht="15" customHeight="1" x14ac:dyDescent="0.2">
      <c r="C171" s="110">
        <v>160</v>
      </c>
      <c r="D171" s="107" t="s">
        <v>431</v>
      </c>
      <c r="E171" s="108" t="s">
        <v>432</v>
      </c>
    </row>
    <row r="172" spans="3:5" ht="15" customHeight="1" x14ac:dyDescent="0.2">
      <c r="C172" s="110">
        <v>161</v>
      </c>
      <c r="D172" s="107" t="s">
        <v>433</v>
      </c>
      <c r="E172" s="108" t="s">
        <v>434</v>
      </c>
    </row>
    <row r="173" spans="3:5" ht="15" customHeight="1" x14ac:dyDescent="0.2">
      <c r="C173" s="110">
        <v>162</v>
      </c>
      <c r="D173" s="107" t="s">
        <v>435</v>
      </c>
      <c r="E173" s="108" t="s">
        <v>436</v>
      </c>
    </row>
    <row r="174" spans="3:5" ht="15" customHeight="1" x14ac:dyDescent="0.2">
      <c r="C174" s="110">
        <v>163</v>
      </c>
      <c r="D174" s="107" t="s">
        <v>437</v>
      </c>
      <c r="E174" s="108" t="s">
        <v>438</v>
      </c>
    </row>
    <row r="175" spans="3:5" ht="15" customHeight="1" x14ac:dyDescent="0.2">
      <c r="C175" s="110">
        <v>164</v>
      </c>
      <c r="D175" s="107" t="s">
        <v>439</v>
      </c>
      <c r="E175" s="108" t="s">
        <v>440</v>
      </c>
    </row>
    <row r="176" spans="3:5" ht="15" customHeight="1" x14ac:dyDescent="0.2">
      <c r="C176" s="110">
        <v>165</v>
      </c>
      <c r="D176" s="109">
        <v>6371040405840010</v>
      </c>
      <c r="E176" s="108" t="s">
        <v>441</v>
      </c>
    </row>
    <row r="177" spans="3:5" ht="15" customHeight="1" x14ac:dyDescent="0.2">
      <c r="C177" s="110">
        <v>166</v>
      </c>
      <c r="D177" s="107" t="s">
        <v>442</v>
      </c>
      <c r="E177" s="108" t="s">
        <v>443</v>
      </c>
    </row>
    <row r="178" spans="3:5" ht="15" customHeight="1" x14ac:dyDescent="0.2">
      <c r="C178" s="110">
        <v>167</v>
      </c>
      <c r="D178" s="107" t="s">
        <v>444</v>
      </c>
      <c r="E178" s="108" t="s">
        <v>445</v>
      </c>
    </row>
    <row r="179" spans="3:5" ht="15" customHeight="1" x14ac:dyDescent="0.2">
      <c r="C179" s="110">
        <v>168</v>
      </c>
      <c r="D179" s="107" t="s">
        <v>446</v>
      </c>
      <c r="E179" s="108" t="s">
        <v>447</v>
      </c>
    </row>
    <row r="180" spans="3:5" ht="15" customHeight="1" x14ac:dyDescent="0.2">
      <c r="C180" s="110">
        <v>169</v>
      </c>
      <c r="D180" s="107" t="s">
        <v>448</v>
      </c>
      <c r="E180" s="108" t="s">
        <v>449</v>
      </c>
    </row>
    <row r="181" spans="3:5" ht="15" customHeight="1" x14ac:dyDescent="0.2">
      <c r="C181" s="110">
        <v>170</v>
      </c>
      <c r="D181" s="107" t="s">
        <v>450</v>
      </c>
      <c r="E181" s="108" t="s">
        <v>451</v>
      </c>
    </row>
    <row r="182" spans="3:5" ht="15" customHeight="1" x14ac:dyDescent="0.2">
      <c r="C182" s="110">
        <v>171</v>
      </c>
      <c r="D182" s="107" t="s">
        <v>452</v>
      </c>
      <c r="E182" s="108" t="s">
        <v>453</v>
      </c>
    </row>
    <row r="183" spans="3:5" ht="15" customHeight="1" x14ac:dyDescent="0.2">
      <c r="C183" s="110">
        <v>172</v>
      </c>
      <c r="D183" s="107" t="s">
        <v>454</v>
      </c>
      <c r="E183" s="108" t="s">
        <v>455</v>
      </c>
    </row>
    <row r="184" spans="3:5" ht="15" customHeight="1" x14ac:dyDescent="0.2">
      <c r="C184" s="110">
        <v>173</v>
      </c>
      <c r="D184" s="107" t="s">
        <v>456</v>
      </c>
      <c r="E184" s="108" t="s">
        <v>457</v>
      </c>
    </row>
    <row r="185" spans="3:5" ht="15" customHeight="1" x14ac:dyDescent="0.2">
      <c r="C185" s="110">
        <v>174</v>
      </c>
      <c r="D185" s="107" t="s">
        <v>458</v>
      </c>
      <c r="E185" s="108" t="s">
        <v>459</v>
      </c>
    </row>
    <row r="186" spans="3:5" ht="15" customHeight="1" x14ac:dyDescent="0.2">
      <c r="C186" s="110">
        <v>175</v>
      </c>
      <c r="D186" s="107" t="s">
        <v>460</v>
      </c>
      <c r="E186" s="108" t="s">
        <v>461</v>
      </c>
    </row>
    <row r="187" spans="3:5" ht="15" customHeight="1" x14ac:dyDescent="0.2">
      <c r="C187" s="110">
        <v>176</v>
      </c>
      <c r="D187" s="107" t="s">
        <v>462</v>
      </c>
      <c r="E187" s="108" t="s">
        <v>463</v>
      </c>
    </row>
    <row r="188" spans="3:5" ht="15" customHeight="1" x14ac:dyDescent="0.2">
      <c r="C188" s="110">
        <v>177</v>
      </c>
      <c r="D188" s="107" t="s">
        <v>464</v>
      </c>
      <c r="E188" s="108" t="s">
        <v>465</v>
      </c>
    </row>
    <row r="189" spans="3:5" ht="15" customHeight="1" x14ac:dyDescent="0.2">
      <c r="C189" s="110">
        <v>178</v>
      </c>
      <c r="D189" s="107" t="s">
        <v>466</v>
      </c>
      <c r="E189" s="108" t="s">
        <v>467</v>
      </c>
    </row>
    <row r="190" spans="3:5" ht="15" customHeight="1" x14ac:dyDescent="0.2">
      <c r="C190" s="110">
        <v>179</v>
      </c>
      <c r="D190" s="107" t="s">
        <v>468</v>
      </c>
      <c r="E190" s="108" t="s">
        <v>469</v>
      </c>
    </row>
    <row r="191" spans="3:5" ht="15" customHeight="1" x14ac:dyDescent="0.2">
      <c r="C191" s="110">
        <v>180</v>
      </c>
      <c r="D191" s="107" t="s">
        <v>470</v>
      </c>
      <c r="E191" s="108" t="s">
        <v>471</v>
      </c>
    </row>
    <row r="192" spans="3:5" ht="15" customHeight="1" x14ac:dyDescent="0.2">
      <c r="C192" s="110">
        <v>181</v>
      </c>
      <c r="D192" s="107" t="s">
        <v>472</v>
      </c>
      <c r="E192" s="108" t="s">
        <v>473</v>
      </c>
    </row>
    <row r="193" spans="3:5" ht="15" customHeight="1" x14ac:dyDescent="0.2">
      <c r="C193" s="110">
        <v>182</v>
      </c>
      <c r="D193" s="107" t="s">
        <v>474</v>
      </c>
      <c r="E193" s="108" t="s">
        <v>475</v>
      </c>
    </row>
    <row r="194" spans="3:5" ht="15" customHeight="1" x14ac:dyDescent="0.2">
      <c r="C194" s="110">
        <v>183</v>
      </c>
      <c r="D194" s="107" t="s">
        <v>476</v>
      </c>
      <c r="E194" s="108" t="s">
        <v>477</v>
      </c>
    </row>
    <row r="195" spans="3:5" ht="15" customHeight="1" x14ac:dyDescent="0.2">
      <c r="C195" s="110">
        <v>184</v>
      </c>
      <c r="D195" s="107" t="s">
        <v>478</v>
      </c>
      <c r="E195" s="108" t="s">
        <v>479</v>
      </c>
    </row>
    <row r="196" spans="3:5" ht="15" customHeight="1" x14ac:dyDescent="0.2">
      <c r="C196" s="110">
        <v>185</v>
      </c>
      <c r="D196" s="107" t="s">
        <v>480</v>
      </c>
      <c r="E196" s="108" t="s">
        <v>481</v>
      </c>
    </row>
    <row r="197" spans="3:5" ht="15" customHeight="1" x14ac:dyDescent="0.2">
      <c r="C197" s="110">
        <v>186</v>
      </c>
      <c r="D197" s="107" t="s">
        <v>482</v>
      </c>
      <c r="E197" s="108" t="s">
        <v>483</v>
      </c>
    </row>
    <row r="198" spans="3:5" ht="15" customHeight="1" x14ac:dyDescent="0.2">
      <c r="C198" s="110">
        <v>187</v>
      </c>
      <c r="D198" s="107" t="s">
        <v>484</v>
      </c>
      <c r="E198" s="108" t="s">
        <v>485</v>
      </c>
    </row>
    <row r="199" spans="3:5" ht="15" customHeight="1" x14ac:dyDescent="0.2">
      <c r="C199" s="110">
        <v>188</v>
      </c>
      <c r="D199" s="107" t="s">
        <v>486</v>
      </c>
      <c r="E199" s="108" t="s">
        <v>487</v>
      </c>
    </row>
    <row r="200" spans="3:5" ht="15" customHeight="1" x14ac:dyDescent="0.2">
      <c r="C200" s="110">
        <v>189</v>
      </c>
      <c r="D200" s="107" t="s">
        <v>488</v>
      </c>
      <c r="E200" s="108" t="s">
        <v>489</v>
      </c>
    </row>
    <row r="201" spans="3:5" ht="15" customHeight="1" x14ac:dyDescent="0.2">
      <c r="C201" s="110">
        <v>190</v>
      </c>
      <c r="D201" s="107" t="s">
        <v>490</v>
      </c>
      <c r="E201" s="108" t="s">
        <v>491</v>
      </c>
    </row>
    <row r="202" spans="3:5" ht="15" customHeight="1" x14ac:dyDescent="0.2">
      <c r="C202" s="110">
        <v>191</v>
      </c>
      <c r="D202" s="107" t="s">
        <v>492</v>
      </c>
      <c r="E202" s="108" t="s">
        <v>493</v>
      </c>
    </row>
    <row r="203" spans="3:5" ht="15" customHeight="1" x14ac:dyDescent="0.2">
      <c r="C203" s="110">
        <v>192</v>
      </c>
      <c r="D203" s="107" t="s">
        <v>494</v>
      </c>
      <c r="E203" s="108" t="s">
        <v>495</v>
      </c>
    </row>
    <row r="204" spans="3:5" ht="15" customHeight="1" x14ac:dyDescent="0.2">
      <c r="C204" s="110">
        <v>193</v>
      </c>
      <c r="D204" s="107" t="s">
        <v>496</v>
      </c>
      <c r="E204" s="108" t="s">
        <v>497</v>
      </c>
    </row>
    <row r="205" spans="3:5" ht="15" customHeight="1" x14ac:dyDescent="0.2">
      <c r="C205" s="110">
        <v>194</v>
      </c>
      <c r="D205" s="107" t="s">
        <v>498</v>
      </c>
      <c r="E205" s="108" t="s">
        <v>499</v>
      </c>
    </row>
    <row r="206" spans="3:5" ht="15" customHeight="1" x14ac:dyDescent="0.2">
      <c r="C206" s="110">
        <v>195</v>
      </c>
      <c r="D206" s="107" t="s">
        <v>500</v>
      </c>
      <c r="E206" s="108" t="s">
        <v>501</v>
      </c>
    </row>
    <row r="207" spans="3:5" ht="15" customHeight="1" x14ac:dyDescent="0.2">
      <c r="C207" s="110">
        <v>196</v>
      </c>
      <c r="D207" s="107" t="s">
        <v>502</v>
      </c>
      <c r="E207" s="108" t="s">
        <v>503</v>
      </c>
    </row>
    <row r="208" spans="3:5" ht="15" customHeight="1" x14ac:dyDescent="0.2">
      <c r="C208" s="110">
        <v>197</v>
      </c>
      <c r="D208" s="107" t="s">
        <v>504</v>
      </c>
      <c r="E208" s="108" t="s">
        <v>505</v>
      </c>
    </row>
    <row r="209" spans="3:5" ht="15" customHeight="1" x14ac:dyDescent="0.2">
      <c r="C209" s="110">
        <v>198</v>
      </c>
      <c r="D209" s="107" t="s">
        <v>506</v>
      </c>
      <c r="E209" s="108" t="s">
        <v>507</v>
      </c>
    </row>
    <row r="210" spans="3:5" ht="15" customHeight="1" x14ac:dyDescent="0.2">
      <c r="C210" s="110">
        <v>199</v>
      </c>
      <c r="D210" s="107" t="s">
        <v>508</v>
      </c>
      <c r="E210" s="108" t="s">
        <v>509</v>
      </c>
    </row>
    <row r="211" spans="3:5" ht="15" customHeight="1" x14ac:dyDescent="0.2">
      <c r="C211" s="110">
        <v>200</v>
      </c>
      <c r="D211" s="107" t="s">
        <v>510</v>
      </c>
      <c r="E211" s="108" t="s">
        <v>511</v>
      </c>
    </row>
    <row r="212" spans="3:5" ht="15" customHeight="1" x14ac:dyDescent="0.2">
      <c r="C212" s="110">
        <v>201</v>
      </c>
      <c r="D212" s="107" t="s">
        <v>512</v>
      </c>
      <c r="E212" s="108" t="s">
        <v>513</v>
      </c>
    </row>
    <row r="213" spans="3:5" ht="15" customHeight="1" x14ac:dyDescent="0.2">
      <c r="C213" s="110">
        <v>202</v>
      </c>
      <c r="D213" s="107" t="s">
        <v>514</v>
      </c>
      <c r="E213" s="108" t="s">
        <v>515</v>
      </c>
    </row>
    <row r="214" spans="3:5" ht="15" customHeight="1" x14ac:dyDescent="0.2">
      <c r="C214" s="110">
        <v>203</v>
      </c>
      <c r="D214" s="107" t="s">
        <v>516</v>
      </c>
      <c r="E214" s="108" t="s">
        <v>517</v>
      </c>
    </row>
    <row r="215" spans="3:5" ht="15" customHeight="1" x14ac:dyDescent="0.2">
      <c r="C215" s="110">
        <v>204</v>
      </c>
      <c r="D215" s="107" t="s">
        <v>518</v>
      </c>
      <c r="E215" s="108" t="s">
        <v>519</v>
      </c>
    </row>
    <row r="216" spans="3:5" ht="15" customHeight="1" x14ac:dyDescent="0.2">
      <c r="C216" s="110">
        <v>205</v>
      </c>
      <c r="D216" s="107" t="s">
        <v>520</v>
      </c>
      <c r="E216" s="108" t="s">
        <v>521</v>
      </c>
    </row>
    <row r="217" spans="3:5" ht="15" customHeight="1" x14ac:dyDescent="0.2">
      <c r="C217" s="110">
        <v>206</v>
      </c>
      <c r="D217" s="107" t="s">
        <v>522</v>
      </c>
      <c r="E217" s="108" t="s">
        <v>523</v>
      </c>
    </row>
    <row r="218" spans="3:5" ht="15" customHeight="1" x14ac:dyDescent="0.2">
      <c r="C218" s="110">
        <v>207</v>
      </c>
      <c r="D218" s="107" t="s">
        <v>524</v>
      </c>
      <c r="E218" s="108" t="s">
        <v>525</v>
      </c>
    </row>
    <row r="219" spans="3:5" ht="15" customHeight="1" x14ac:dyDescent="0.2">
      <c r="C219" s="110">
        <v>208</v>
      </c>
      <c r="D219" s="107" t="s">
        <v>526</v>
      </c>
      <c r="E219" s="108" t="s">
        <v>527</v>
      </c>
    </row>
    <row r="220" spans="3:5" ht="15" customHeight="1" x14ac:dyDescent="0.2">
      <c r="C220" s="110">
        <v>209</v>
      </c>
      <c r="D220" s="107" t="s">
        <v>528</v>
      </c>
      <c r="E220" s="108" t="s">
        <v>529</v>
      </c>
    </row>
    <row r="221" spans="3:5" ht="15" customHeight="1" x14ac:dyDescent="0.2">
      <c r="C221" s="110">
        <v>210</v>
      </c>
      <c r="D221" s="107" t="s">
        <v>530</v>
      </c>
      <c r="E221" s="108" t="s">
        <v>531</v>
      </c>
    </row>
    <row r="222" spans="3:5" ht="15" customHeight="1" x14ac:dyDescent="0.2">
      <c r="C222" s="110">
        <v>211</v>
      </c>
      <c r="D222" s="107" t="s">
        <v>532</v>
      </c>
      <c r="E222" s="108" t="s">
        <v>533</v>
      </c>
    </row>
    <row r="223" spans="3:5" ht="15" customHeight="1" x14ac:dyDescent="0.2">
      <c r="C223" s="110">
        <v>212</v>
      </c>
      <c r="D223" s="107" t="s">
        <v>534</v>
      </c>
      <c r="E223" s="108" t="s">
        <v>535</v>
      </c>
    </row>
    <row r="224" spans="3:5" ht="15" customHeight="1" x14ac:dyDescent="0.2">
      <c r="C224" s="110">
        <v>213</v>
      </c>
      <c r="D224" s="107" t="s">
        <v>536</v>
      </c>
      <c r="E224" s="108" t="s">
        <v>338</v>
      </c>
    </row>
    <row r="225" spans="3:5" ht="15" customHeight="1" x14ac:dyDescent="0.2">
      <c r="C225" s="110">
        <v>214</v>
      </c>
      <c r="D225" s="107" t="s">
        <v>537</v>
      </c>
      <c r="E225" s="108" t="s">
        <v>538</v>
      </c>
    </row>
    <row r="226" spans="3:5" ht="15" customHeight="1" x14ac:dyDescent="0.2">
      <c r="C226" s="110">
        <v>215</v>
      </c>
      <c r="D226" s="107" t="s">
        <v>539</v>
      </c>
      <c r="E226" s="108" t="s">
        <v>540</v>
      </c>
    </row>
    <row r="227" spans="3:5" ht="15" customHeight="1" x14ac:dyDescent="0.2">
      <c r="C227" s="110">
        <v>216</v>
      </c>
      <c r="D227" s="107" t="s">
        <v>541</v>
      </c>
      <c r="E227" s="108" t="s">
        <v>542</v>
      </c>
    </row>
    <row r="228" spans="3:5" ht="15" customHeight="1" x14ac:dyDescent="0.2">
      <c r="C228" s="110">
        <v>217</v>
      </c>
      <c r="D228" s="107" t="s">
        <v>543</v>
      </c>
      <c r="E228" s="108" t="s">
        <v>544</v>
      </c>
    </row>
    <row r="229" spans="3:5" ht="15" customHeight="1" x14ac:dyDescent="0.2">
      <c r="C229" s="110">
        <v>218</v>
      </c>
      <c r="D229" s="107" t="s">
        <v>545</v>
      </c>
      <c r="E229" s="108" t="s">
        <v>546</v>
      </c>
    </row>
    <row r="230" spans="3:5" ht="15" customHeight="1" x14ac:dyDescent="0.2">
      <c r="C230" s="110">
        <v>219</v>
      </c>
      <c r="D230" s="107" t="s">
        <v>547</v>
      </c>
      <c r="E230" s="108" t="s">
        <v>548</v>
      </c>
    </row>
    <row r="231" spans="3:5" ht="15" customHeight="1" x14ac:dyDescent="0.2">
      <c r="C231" s="110">
        <v>220</v>
      </c>
      <c r="D231" s="107" t="s">
        <v>549</v>
      </c>
      <c r="E231" s="108" t="s">
        <v>550</v>
      </c>
    </row>
    <row r="232" spans="3:5" ht="15" customHeight="1" x14ac:dyDescent="0.2">
      <c r="C232" s="110">
        <v>221</v>
      </c>
      <c r="D232" s="107" t="s">
        <v>551</v>
      </c>
      <c r="E232" s="108" t="s">
        <v>552</v>
      </c>
    </row>
    <row r="233" spans="3:5" ht="15" customHeight="1" x14ac:dyDescent="0.2">
      <c r="C233" s="110">
        <v>222</v>
      </c>
      <c r="D233" s="107" t="s">
        <v>553</v>
      </c>
      <c r="E233" s="108" t="s">
        <v>554</v>
      </c>
    </row>
    <row r="234" spans="3:5" ht="15" customHeight="1" x14ac:dyDescent="0.2">
      <c r="C234" s="110">
        <v>223</v>
      </c>
      <c r="D234" s="107" t="s">
        <v>555</v>
      </c>
      <c r="E234" s="108" t="s">
        <v>556</v>
      </c>
    </row>
    <row r="235" spans="3:5" ht="15" customHeight="1" x14ac:dyDescent="0.2">
      <c r="C235" s="110">
        <v>224</v>
      </c>
      <c r="D235" s="107" t="s">
        <v>557</v>
      </c>
      <c r="E235" s="108" t="s">
        <v>558</v>
      </c>
    </row>
    <row r="236" spans="3:5" ht="15" customHeight="1" x14ac:dyDescent="0.2">
      <c r="C236" s="110">
        <v>225</v>
      </c>
      <c r="D236" s="107" t="s">
        <v>559</v>
      </c>
      <c r="E236" s="108" t="s">
        <v>560</v>
      </c>
    </row>
    <row r="237" spans="3:5" ht="15" customHeight="1" x14ac:dyDescent="0.2">
      <c r="C237" s="110">
        <v>226</v>
      </c>
      <c r="D237" s="107" t="s">
        <v>561</v>
      </c>
      <c r="E237" s="108" t="s">
        <v>562</v>
      </c>
    </row>
    <row r="238" spans="3:5" ht="15" customHeight="1" x14ac:dyDescent="0.2">
      <c r="C238" s="110">
        <v>227</v>
      </c>
      <c r="D238" s="107" t="s">
        <v>563</v>
      </c>
      <c r="E238" s="108" t="s">
        <v>564</v>
      </c>
    </row>
    <row r="239" spans="3:5" ht="15" customHeight="1" x14ac:dyDescent="0.2">
      <c r="C239" s="110">
        <v>228</v>
      </c>
      <c r="D239" s="107" t="s">
        <v>565</v>
      </c>
      <c r="E239" s="108" t="s">
        <v>566</v>
      </c>
    </row>
    <row r="240" spans="3:5" ht="15" customHeight="1" x14ac:dyDescent="0.2">
      <c r="C240" s="110">
        <v>229</v>
      </c>
      <c r="D240" s="107" t="s">
        <v>567</v>
      </c>
      <c r="E240" s="108" t="s">
        <v>568</v>
      </c>
    </row>
    <row r="241" spans="3:5" ht="15" customHeight="1" x14ac:dyDescent="0.2">
      <c r="C241" s="110">
        <v>230</v>
      </c>
      <c r="D241" s="107" t="s">
        <v>569</v>
      </c>
      <c r="E241" s="108" t="s">
        <v>570</v>
      </c>
    </row>
    <row r="242" spans="3:5" ht="15" customHeight="1" x14ac:dyDescent="0.2">
      <c r="C242" s="110">
        <v>231</v>
      </c>
      <c r="D242" s="107" t="s">
        <v>571</v>
      </c>
      <c r="E242" s="108" t="s">
        <v>572</v>
      </c>
    </row>
    <row r="243" spans="3:5" ht="15" customHeight="1" x14ac:dyDescent="0.2">
      <c r="C243" s="110">
        <v>232</v>
      </c>
      <c r="D243" s="107" t="s">
        <v>573</v>
      </c>
      <c r="E243" s="108" t="s">
        <v>574</v>
      </c>
    </row>
    <row r="244" spans="3:5" ht="15" customHeight="1" x14ac:dyDescent="0.2">
      <c r="C244" s="110">
        <v>233</v>
      </c>
      <c r="D244" s="107" t="s">
        <v>575</v>
      </c>
      <c r="E244" s="108" t="s">
        <v>576</v>
      </c>
    </row>
    <row r="245" spans="3:5" ht="15" customHeight="1" x14ac:dyDescent="0.2">
      <c r="C245" s="110">
        <v>234</v>
      </c>
      <c r="D245" s="107" t="s">
        <v>577</v>
      </c>
      <c r="E245" s="108" t="s">
        <v>578</v>
      </c>
    </row>
    <row r="246" spans="3:5" ht="15" customHeight="1" x14ac:dyDescent="0.2">
      <c r="C246" s="110">
        <v>235</v>
      </c>
      <c r="D246" s="107" t="s">
        <v>579</v>
      </c>
      <c r="E246" s="108" t="s">
        <v>580</v>
      </c>
    </row>
    <row r="247" spans="3:5" ht="15" customHeight="1" x14ac:dyDescent="0.2">
      <c r="C247" s="110">
        <v>236</v>
      </c>
      <c r="D247" s="107" t="s">
        <v>581</v>
      </c>
      <c r="E247" s="108" t="s">
        <v>582</v>
      </c>
    </row>
    <row r="248" spans="3:5" ht="15" customHeight="1" x14ac:dyDescent="0.2">
      <c r="C248" s="110">
        <v>237</v>
      </c>
      <c r="D248" s="107" t="s">
        <v>583</v>
      </c>
      <c r="E248" s="108" t="s">
        <v>584</v>
      </c>
    </row>
    <row r="249" spans="3:5" ht="15" customHeight="1" x14ac:dyDescent="0.2">
      <c r="C249" s="110">
        <v>238</v>
      </c>
      <c r="D249" s="107" t="s">
        <v>585</v>
      </c>
      <c r="E249" s="108" t="s">
        <v>586</v>
      </c>
    </row>
    <row r="250" spans="3:5" ht="15" customHeight="1" x14ac:dyDescent="0.2">
      <c r="C250" s="110">
        <v>239</v>
      </c>
      <c r="D250" s="107" t="s">
        <v>587</v>
      </c>
      <c r="E250" s="108" t="s">
        <v>588</v>
      </c>
    </row>
    <row r="251" spans="3:5" ht="15" customHeight="1" x14ac:dyDescent="0.2">
      <c r="C251" s="110">
        <v>240</v>
      </c>
      <c r="D251" s="107" t="s">
        <v>589</v>
      </c>
      <c r="E251" s="108" t="s">
        <v>590</v>
      </c>
    </row>
    <row r="252" spans="3:5" ht="15" customHeight="1" x14ac:dyDescent="0.2">
      <c r="C252" s="110">
        <v>241</v>
      </c>
      <c r="D252" s="107" t="s">
        <v>591</v>
      </c>
      <c r="E252" s="108" t="s">
        <v>592</v>
      </c>
    </row>
    <row r="253" spans="3:5" ht="15" customHeight="1" x14ac:dyDescent="0.2">
      <c r="C253" s="110">
        <v>242</v>
      </c>
      <c r="D253" s="107" t="s">
        <v>593</v>
      </c>
      <c r="E253" s="108" t="s">
        <v>594</v>
      </c>
    </row>
    <row r="254" spans="3:5" ht="15" customHeight="1" x14ac:dyDescent="0.2">
      <c r="C254" s="110">
        <v>243</v>
      </c>
      <c r="D254" s="107" t="s">
        <v>595</v>
      </c>
      <c r="E254" s="108" t="s">
        <v>596</v>
      </c>
    </row>
    <row r="255" spans="3:5" ht="15" customHeight="1" x14ac:dyDescent="0.2">
      <c r="C255" s="110">
        <v>244</v>
      </c>
      <c r="D255" s="107" t="s">
        <v>597</v>
      </c>
      <c r="E255" s="108" t="s">
        <v>598</v>
      </c>
    </row>
    <row r="256" spans="3:5" ht="15" customHeight="1" x14ac:dyDescent="0.2">
      <c r="C256" s="110">
        <v>245</v>
      </c>
      <c r="D256" s="107" t="s">
        <v>599</v>
      </c>
      <c r="E256" s="108" t="s">
        <v>600</v>
      </c>
    </row>
    <row r="257" spans="3:5" ht="15" customHeight="1" x14ac:dyDescent="0.2">
      <c r="C257" s="110">
        <v>246</v>
      </c>
      <c r="D257" s="107" t="s">
        <v>601</v>
      </c>
      <c r="E257" s="108" t="s">
        <v>602</v>
      </c>
    </row>
    <row r="258" spans="3:5" ht="15" customHeight="1" x14ac:dyDescent="0.2">
      <c r="C258" s="110">
        <v>247</v>
      </c>
      <c r="D258" s="107" t="s">
        <v>603</v>
      </c>
      <c r="E258" s="108" t="s">
        <v>604</v>
      </c>
    </row>
    <row r="259" spans="3:5" ht="15" customHeight="1" x14ac:dyDescent="0.2">
      <c r="C259" s="110">
        <v>248</v>
      </c>
      <c r="D259" s="107" t="s">
        <v>605</v>
      </c>
      <c r="E259" s="108" t="s">
        <v>606</v>
      </c>
    </row>
    <row r="260" spans="3:5" ht="15" customHeight="1" x14ac:dyDescent="0.2">
      <c r="C260" s="110">
        <v>249</v>
      </c>
      <c r="D260" s="107" t="s">
        <v>607</v>
      </c>
      <c r="E260" s="108" t="s">
        <v>608</v>
      </c>
    </row>
    <row r="261" spans="3:5" ht="15" customHeight="1" x14ac:dyDescent="0.2">
      <c r="C261" s="110">
        <v>250</v>
      </c>
      <c r="D261" s="107" t="s">
        <v>609</v>
      </c>
      <c r="E261" s="108" t="s">
        <v>610</v>
      </c>
    </row>
    <row r="262" spans="3:5" ht="15" customHeight="1" x14ac:dyDescent="0.2">
      <c r="C262" s="110">
        <v>251</v>
      </c>
      <c r="D262" s="107" t="s">
        <v>611</v>
      </c>
      <c r="E262" s="108" t="s">
        <v>612</v>
      </c>
    </row>
    <row r="263" spans="3:5" ht="15" customHeight="1" x14ac:dyDescent="0.2">
      <c r="C263" s="110">
        <v>252</v>
      </c>
      <c r="D263" s="107" t="s">
        <v>613</v>
      </c>
      <c r="E263" s="108" t="s">
        <v>614</v>
      </c>
    </row>
    <row r="264" spans="3:5" ht="15" customHeight="1" x14ac:dyDescent="0.2">
      <c r="C264" s="110">
        <v>253</v>
      </c>
      <c r="D264" s="107" t="s">
        <v>615</v>
      </c>
      <c r="E264" s="108" t="s">
        <v>616</v>
      </c>
    </row>
    <row r="265" spans="3:5" ht="15" customHeight="1" x14ac:dyDescent="0.2">
      <c r="C265" s="110">
        <v>254</v>
      </c>
      <c r="D265" s="107" t="s">
        <v>617</v>
      </c>
      <c r="E265" s="108" t="s">
        <v>618</v>
      </c>
    </row>
    <row r="266" spans="3:5" ht="15" customHeight="1" x14ac:dyDescent="0.2">
      <c r="C266" s="110">
        <v>255</v>
      </c>
      <c r="D266" s="107" t="s">
        <v>619</v>
      </c>
      <c r="E266" s="108" t="s">
        <v>620</v>
      </c>
    </row>
    <row r="267" spans="3:5" ht="15" customHeight="1" x14ac:dyDescent="0.2">
      <c r="C267" s="110">
        <v>256</v>
      </c>
      <c r="D267" s="107" t="s">
        <v>621</v>
      </c>
      <c r="E267" s="108" t="s">
        <v>622</v>
      </c>
    </row>
    <row r="268" spans="3:5" ht="15" customHeight="1" x14ac:dyDescent="0.2">
      <c r="C268" s="110">
        <v>257</v>
      </c>
      <c r="D268" s="107" t="s">
        <v>623</v>
      </c>
      <c r="E268" s="108" t="s">
        <v>624</v>
      </c>
    </row>
    <row r="269" spans="3:5" ht="15" customHeight="1" x14ac:dyDescent="0.2">
      <c r="C269" s="110">
        <v>258</v>
      </c>
      <c r="D269" s="107" t="s">
        <v>625</v>
      </c>
      <c r="E269" s="108" t="s">
        <v>626</v>
      </c>
    </row>
    <row r="270" spans="3:5" ht="15.75" x14ac:dyDescent="0.2">
      <c r="C270" s="110">
        <v>259</v>
      </c>
      <c r="D270" s="107" t="s">
        <v>627</v>
      </c>
      <c r="E270" s="108" t="s">
        <v>628</v>
      </c>
    </row>
    <row r="271" spans="3:5" ht="15.75" x14ac:dyDescent="0.2">
      <c r="C271" s="110">
        <v>260</v>
      </c>
      <c r="D271" s="107" t="s">
        <v>629</v>
      </c>
      <c r="E271" s="108" t="s">
        <v>630</v>
      </c>
    </row>
    <row r="272" spans="3:5" ht="15.75" x14ac:dyDescent="0.2">
      <c r="C272" s="110">
        <v>261</v>
      </c>
      <c r="D272" s="107" t="s">
        <v>631</v>
      </c>
      <c r="E272" s="108" t="s">
        <v>632</v>
      </c>
    </row>
    <row r="273" spans="3:10" ht="15.75" x14ac:dyDescent="0.2">
      <c r="C273" s="110">
        <v>262</v>
      </c>
      <c r="D273" s="107" t="s">
        <v>633</v>
      </c>
      <c r="E273" s="108" t="s">
        <v>634</v>
      </c>
    </row>
    <row r="274" spans="3:10" ht="15.75" x14ac:dyDescent="0.2">
      <c r="C274" s="110">
        <v>263</v>
      </c>
      <c r="D274" s="107" t="s">
        <v>635</v>
      </c>
      <c r="E274" s="108" t="s">
        <v>636</v>
      </c>
    </row>
    <row r="275" spans="3:10" ht="15.75" x14ac:dyDescent="0.2">
      <c r="C275" s="110">
        <v>264</v>
      </c>
      <c r="D275" s="107" t="s">
        <v>637</v>
      </c>
      <c r="E275" s="108" t="s">
        <v>638</v>
      </c>
    </row>
    <row r="276" spans="3:10" ht="15.75" x14ac:dyDescent="0.2">
      <c r="C276" s="110">
        <v>265</v>
      </c>
      <c r="D276" s="107" t="s">
        <v>639</v>
      </c>
      <c r="E276" s="108" t="s">
        <v>640</v>
      </c>
    </row>
    <row r="277" spans="3:10" ht="15.75" x14ac:dyDescent="0.2">
      <c r="C277" s="110">
        <v>266</v>
      </c>
      <c r="D277" s="107" t="s">
        <v>641</v>
      </c>
      <c r="E277" s="108" t="s">
        <v>642</v>
      </c>
    </row>
    <row r="279" spans="3:10" x14ac:dyDescent="0.2">
      <c r="E279" s="17" t="s">
        <v>643</v>
      </c>
    </row>
    <row r="280" spans="3:10" x14ac:dyDescent="0.2">
      <c r="E280" s="17" t="s">
        <v>30</v>
      </c>
    </row>
    <row r="281" spans="3:10" x14ac:dyDescent="0.2">
      <c r="E281" s="17"/>
    </row>
    <row r="282" spans="3:10" x14ac:dyDescent="0.2">
      <c r="E282" s="17"/>
    </row>
    <row r="283" spans="3:10" x14ac:dyDescent="0.2">
      <c r="E283" s="17"/>
      <c r="F283" s="16"/>
      <c r="G283" s="16"/>
      <c r="H283" s="16"/>
      <c r="I283" s="16"/>
      <c r="J283" s="16"/>
    </row>
    <row r="284" spans="3:10" x14ac:dyDescent="0.2">
      <c r="E284" s="20" t="s">
        <v>31</v>
      </c>
      <c r="F284" s="16"/>
      <c r="G284" s="16"/>
      <c r="H284" s="16"/>
      <c r="I284" s="16"/>
      <c r="J284" s="16"/>
    </row>
    <row r="285" spans="3:10" x14ac:dyDescent="0.2">
      <c r="E285" s="17" t="s">
        <v>32</v>
      </c>
      <c r="F285" s="16"/>
      <c r="G285" s="16"/>
      <c r="H285" s="16"/>
      <c r="I285" s="16"/>
      <c r="J285" s="16"/>
    </row>
    <row r="286" spans="3:10" x14ac:dyDescent="0.2">
      <c r="E286" s="17" t="s">
        <v>33</v>
      </c>
      <c r="F286" s="16"/>
      <c r="G286" s="16"/>
      <c r="H286" s="16"/>
      <c r="I286" s="16"/>
      <c r="J286" s="16"/>
    </row>
    <row r="287" spans="3:10" x14ac:dyDescent="0.2">
      <c r="F287" s="16"/>
      <c r="G287" s="16"/>
      <c r="H287" s="16"/>
      <c r="I287" s="16"/>
      <c r="J287" s="16"/>
    </row>
    <row r="288" spans="3:10" x14ac:dyDescent="0.2">
      <c r="F288" s="19"/>
      <c r="G288" s="19"/>
      <c r="H288" s="19"/>
      <c r="I288" s="19"/>
      <c r="J288" s="19"/>
    </row>
    <row r="289" spans="6:10" x14ac:dyDescent="0.2">
      <c r="F289" s="16"/>
      <c r="G289" s="16"/>
      <c r="H289" s="16"/>
      <c r="I289" s="16"/>
      <c r="J289" s="16"/>
    </row>
    <row r="290" spans="6:10" x14ac:dyDescent="0.2">
      <c r="F290" s="16"/>
      <c r="G290" s="16"/>
      <c r="H290" s="16"/>
      <c r="I290" s="16"/>
      <c r="J290" s="16"/>
    </row>
  </sheetData>
  <mergeCells count="7">
    <mergeCell ref="C9:E9"/>
    <mergeCell ref="C2:G2"/>
    <mergeCell ref="C3:G3"/>
    <mergeCell ref="C4:G4"/>
    <mergeCell ref="C5:G5"/>
    <mergeCell ref="C7:F7"/>
    <mergeCell ref="C8:F8"/>
  </mergeCells>
  <pageMargins left="0.7" right="0.7" top="0.37" bottom="1.51" header="0.3" footer="0.3"/>
  <pageSetup paperSize="5" scale="90"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6"/>
  <sheetViews>
    <sheetView topLeftCell="A5" workbookViewId="0">
      <selection activeCell="G14" sqref="G14:I14"/>
    </sheetView>
  </sheetViews>
  <sheetFormatPr defaultRowHeight="15" x14ac:dyDescent="0.2"/>
  <cols>
    <col min="1" max="1" width="3.33203125" customWidth="1"/>
    <col min="2" max="4" width="5.83203125" style="1" customWidth="1"/>
    <col min="5" max="5" width="5.83203125" customWidth="1"/>
    <col min="6" max="6" width="13.1640625" customWidth="1"/>
    <col min="7" max="8" width="5.83203125" customWidth="1"/>
    <col min="9" max="9" width="7.5" customWidth="1"/>
    <col min="10" max="10" width="5.83203125" customWidth="1"/>
    <col min="11" max="11" width="9" customWidth="1"/>
    <col min="12" max="12" width="11.1640625" customWidth="1"/>
    <col min="13" max="15" width="5.83203125" customWidth="1"/>
    <col min="16" max="16" width="9.6640625" customWidth="1"/>
    <col min="17" max="25" width="5.83203125" customWidth="1"/>
  </cols>
  <sheetData>
    <row r="1" spans="1:19" ht="15" customHeight="1" x14ac:dyDescent="0.2">
      <c r="A1" s="5"/>
      <c r="B1" s="162" t="s">
        <v>3</v>
      </c>
      <c r="C1" s="162"/>
      <c r="D1" s="162"/>
      <c r="E1" s="162"/>
      <c r="F1" s="162"/>
      <c r="G1" s="162"/>
      <c r="H1" s="162"/>
      <c r="I1" s="162"/>
      <c r="J1" s="162"/>
      <c r="K1" s="162"/>
      <c r="L1" s="162"/>
      <c r="M1" s="162"/>
      <c r="N1" s="162"/>
      <c r="O1" s="162"/>
      <c r="P1" s="162"/>
      <c r="Q1" s="162"/>
    </row>
    <row r="2" spans="1:19" ht="15" customHeight="1" x14ac:dyDescent="0.2">
      <c r="A2" s="5"/>
      <c r="B2" s="163" t="s">
        <v>4</v>
      </c>
      <c r="C2" s="163"/>
      <c r="D2" s="163"/>
      <c r="E2" s="163"/>
      <c r="F2" s="163"/>
      <c r="G2" s="163"/>
      <c r="H2" s="163"/>
      <c r="I2" s="163"/>
      <c r="J2" s="163"/>
      <c r="K2" s="163"/>
      <c r="L2" s="163"/>
      <c r="M2" s="163"/>
      <c r="N2" s="163"/>
      <c r="O2" s="163"/>
      <c r="P2" s="163"/>
      <c r="Q2" s="163"/>
    </row>
    <row r="3" spans="1:19" ht="15" customHeight="1" x14ac:dyDescent="0.2">
      <c r="A3" s="5"/>
      <c r="B3" s="164" t="s">
        <v>6</v>
      </c>
      <c r="C3" s="164"/>
      <c r="D3" s="164"/>
      <c r="E3" s="164"/>
      <c r="F3" s="164"/>
      <c r="G3" s="164"/>
      <c r="H3" s="164"/>
      <c r="I3" s="164"/>
      <c r="J3" s="164"/>
      <c r="K3" s="164"/>
      <c r="L3" s="164"/>
      <c r="M3" s="164"/>
      <c r="N3" s="164"/>
      <c r="O3" s="164"/>
      <c r="P3" s="164"/>
      <c r="Q3" s="164"/>
    </row>
    <row r="4" spans="1:19" ht="15" customHeight="1" thickBot="1" x14ac:dyDescent="0.25">
      <c r="A4" s="4"/>
      <c r="B4" s="9"/>
      <c r="C4" s="165" t="s">
        <v>5</v>
      </c>
      <c r="D4" s="165"/>
      <c r="E4" s="165"/>
      <c r="F4" s="165"/>
      <c r="G4" s="165"/>
      <c r="H4" s="165"/>
      <c r="I4" s="165"/>
      <c r="J4" s="165"/>
      <c r="K4" s="165"/>
      <c r="L4" s="165"/>
      <c r="M4" s="165"/>
      <c r="N4" s="165"/>
      <c r="O4" s="165"/>
      <c r="P4" s="165"/>
      <c r="Q4" s="165"/>
    </row>
    <row r="5" spans="1:19" ht="15" customHeight="1" thickTop="1" x14ac:dyDescent="0.2"/>
    <row r="6" spans="1:19" ht="14.25" x14ac:dyDescent="0.2">
      <c r="A6" s="161" t="s">
        <v>10</v>
      </c>
      <c r="B6" s="161"/>
      <c r="C6" s="161"/>
      <c r="D6" s="161"/>
      <c r="E6" s="161"/>
      <c r="F6" s="161"/>
      <c r="G6" s="161"/>
      <c r="H6" s="161"/>
      <c r="I6" s="161"/>
      <c r="J6" s="161"/>
      <c r="K6" s="161"/>
      <c r="L6" s="161"/>
      <c r="M6" s="161"/>
      <c r="N6" s="161"/>
      <c r="O6" s="161"/>
      <c r="P6" s="161"/>
      <c r="Q6" s="161"/>
      <c r="R6" s="161"/>
      <c r="S6" s="161"/>
    </row>
    <row r="7" spans="1:19" ht="30.75" customHeight="1" x14ac:dyDescent="0.2">
      <c r="A7" s="166" t="s">
        <v>11</v>
      </c>
      <c r="B7" s="166"/>
      <c r="C7" s="166"/>
      <c r="D7" s="166"/>
      <c r="E7" s="166"/>
      <c r="F7" s="166"/>
      <c r="G7" s="166"/>
      <c r="H7" s="166"/>
      <c r="I7" s="166"/>
      <c r="J7" s="166"/>
      <c r="K7" s="166"/>
      <c r="L7" s="166"/>
      <c r="M7" s="166"/>
      <c r="N7" s="166"/>
      <c r="O7" s="166"/>
      <c r="P7" s="166"/>
      <c r="Q7" s="166"/>
      <c r="R7" s="166"/>
      <c r="S7" s="166"/>
    </row>
    <row r="8" spans="1:19" ht="15" customHeight="1" x14ac:dyDescent="0.2">
      <c r="A8" s="11"/>
      <c r="B8" s="166" t="s">
        <v>21</v>
      </c>
      <c r="C8" s="166"/>
      <c r="D8" s="166"/>
      <c r="E8" s="166"/>
      <c r="F8" s="166"/>
      <c r="G8" s="166"/>
      <c r="H8" s="166"/>
      <c r="I8" s="166"/>
      <c r="J8" s="166"/>
      <c r="K8" s="166"/>
      <c r="L8" s="166"/>
      <c r="M8" s="166"/>
      <c r="N8" s="166"/>
      <c r="O8" s="166"/>
      <c r="P8" s="166"/>
      <c r="Q8" s="166"/>
      <c r="R8" s="166"/>
    </row>
    <row r="10" spans="1:19" ht="28.5" customHeight="1" x14ac:dyDescent="0.2">
      <c r="B10" s="3" t="s">
        <v>2</v>
      </c>
      <c r="C10" s="183" t="s">
        <v>1</v>
      </c>
      <c r="D10" s="183"/>
      <c r="E10" s="183"/>
      <c r="F10" s="183"/>
      <c r="G10" s="182" t="s">
        <v>13</v>
      </c>
      <c r="H10" s="182"/>
      <c r="I10" s="182"/>
      <c r="J10" s="182" t="s">
        <v>12</v>
      </c>
      <c r="K10" s="182"/>
      <c r="L10" s="182"/>
      <c r="M10" s="183" t="s">
        <v>17</v>
      </c>
      <c r="N10" s="183"/>
      <c r="O10" s="183"/>
      <c r="P10" s="183"/>
      <c r="Q10" s="182" t="s">
        <v>2493</v>
      </c>
      <c r="R10" s="182"/>
      <c r="S10" s="182"/>
    </row>
    <row r="11" spans="1:19" ht="45" customHeight="1" x14ac:dyDescent="0.2">
      <c r="B11" s="2">
        <v>1</v>
      </c>
      <c r="C11" s="177" t="s">
        <v>644</v>
      </c>
      <c r="D11" s="178"/>
      <c r="E11" s="178"/>
      <c r="F11" s="179"/>
      <c r="G11" s="169" t="s">
        <v>16</v>
      </c>
      <c r="H11" s="180"/>
      <c r="I11" s="181"/>
      <c r="J11" s="172" t="s">
        <v>18</v>
      </c>
      <c r="K11" s="173"/>
      <c r="L11" s="174"/>
      <c r="M11" s="176" t="s">
        <v>2488</v>
      </c>
      <c r="N11" s="176"/>
      <c r="O11" s="176"/>
      <c r="P11" s="176"/>
      <c r="Q11" s="167">
        <v>2024</v>
      </c>
      <c r="R11" s="167"/>
      <c r="S11" s="167"/>
    </row>
    <row r="12" spans="1:19" ht="45" customHeight="1" x14ac:dyDescent="0.2">
      <c r="B12" s="2">
        <v>2</v>
      </c>
      <c r="C12" s="177" t="s">
        <v>14</v>
      </c>
      <c r="D12" s="178"/>
      <c r="E12" s="178"/>
      <c r="F12" s="179"/>
      <c r="G12" s="169" t="s">
        <v>16</v>
      </c>
      <c r="H12" s="180"/>
      <c r="I12" s="181"/>
      <c r="J12" s="172" t="s">
        <v>18</v>
      </c>
      <c r="K12" s="173"/>
      <c r="L12" s="174"/>
      <c r="M12" s="176" t="s">
        <v>653</v>
      </c>
      <c r="N12" s="176"/>
      <c r="O12" s="176"/>
      <c r="P12" s="176"/>
      <c r="Q12" s="167">
        <v>2022</v>
      </c>
      <c r="R12" s="167"/>
      <c r="S12" s="167"/>
    </row>
    <row r="13" spans="1:19" ht="45" customHeight="1" x14ac:dyDescent="0.2">
      <c r="B13" s="2">
        <v>3</v>
      </c>
      <c r="C13" s="177" t="s">
        <v>15</v>
      </c>
      <c r="D13" s="178"/>
      <c r="E13" s="178"/>
      <c r="F13" s="179"/>
      <c r="G13" s="169" t="s">
        <v>16</v>
      </c>
      <c r="H13" s="170"/>
      <c r="I13" s="171"/>
      <c r="J13" s="172" t="s">
        <v>18</v>
      </c>
      <c r="K13" s="173"/>
      <c r="L13" s="174"/>
      <c r="M13" s="176" t="s">
        <v>654</v>
      </c>
      <c r="N13" s="176"/>
      <c r="O13" s="176"/>
      <c r="P13" s="176"/>
      <c r="Q13" s="167">
        <v>2022</v>
      </c>
      <c r="R13" s="167"/>
      <c r="S13" s="167"/>
    </row>
    <row r="14" spans="1:19" ht="45" customHeight="1" x14ac:dyDescent="0.2">
      <c r="B14" s="2">
        <v>4</v>
      </c>
      <c r="C14" s="177" t="s">
        <v>645</v>
      </c>
      <c r="D14" s="178"/>
      <c r="E14" s="178"/>
      <c r="F14" s="179"/>
      <c r="G14" s="169" t="s">
        <v>16</v>
      </c>
      <c r="H14" s="170"/>
      <c r="I14" s="171"/>
      <c r="J14" s="172" t="s">
        <v>18</v>
      </c>
      <c r="K14" s="173"/>
      <c r="L14" s="174"/>
      <c r="M14" s="176" t="s">
        <v>651</v>
      </c>
      <c r="N14" s="176"/>
      <c r="O14" s="176"/>
      <c r="P14" s="176"/>
      <c r="Q14" s="167">
        <v>2024</v>
      </c>
      <c r="R14" s="167"/>
      <c r="S14" s="167"/>
    </row>
    <row r="15" spans="1:19" ht="45" customHeight="1" x14ac:dyDescent="0.2">
      <c r="B15" s="2">
        <v>5</v>
      </c>
      <c r="C15" s="177" t="s">
        <v>648</v>
      </c>
      <c r="D15" s="178"/>
      <c r="E15" s="178"/>
      <c r="F15" s="179"/>
      <c r="G15" s="169" t="s">
        <v>16</v>
      </c>
      <c r="H15" s="170"/>
      <c r="I15" s="171"/>
      <c r="J15" s="172" t="s">
        <v>18</v>
      </c>
      <c r="K15" s="173"/>
      <c r="L15" s="174"/>
      <c r="M15" s="176" t="s">
        <v>652</v>
      </c>
      <c r="N15" s="176"/>
      <c r="O15" s="176"/>
      <c r="P15" s="176"/>
      <c r="Q15" s="167">
        <v>2024</v>
      </c>
      <c r="R15" s="167"/>
      <c r="S15" s="167"/>
    </row>
    <row r="16" spans="1:19" ht="45" customHeight="1" x14ac:dyDescent="0.2">
      <c r="B16" s="2">
        <v>6</v>
      </c>
      <c r="C16" s="177" t="s">
        <v>647</v>
      </c>
      <c r="D16" s="178"/>
      <c r="E16" s="178"/>
      <c r="F16" s="179"/>
      <c r="G16" s="169" t="s">
        <v>16</v>
      </c>
      <c r="H16" s="170"/>
      <c r="I16" s="171"/>
      <c r="J16" s="172" t="s">
        <v>18</v>
      </c>
      <c r="K16" s="173"/>
      <c r="L16" s="174"/>
      <c r="M16" s="176" t="s">
        <v>649</v>
      </c>
      <c r="N16" s="176"/>
      <c r="O16" s="176"/>
      <c r="P16" s="176"/>
      <c r="Q16" s="167">
        <v>2024</v>
      </c>
      <c r="R16" s="167"/>
      <c r="S16" s="167"/>
    </row>
    <row r="17" spans="2:19" ht="45" customHeight="1" x14ac:dyDescent="0.2">
      <c r="B17" s="2">
        <v>7</v>
      </c>
      <c r="C17" s="177" t="s">
        <v>646</v>
      </c>
      <c r="D17" s="178"/>
      <c r="E17" s="178"/>
      <c r="F17" s="179"/>
      <c r="G17" s="169" t="s">
        <v>16</v>
      </c>
      <c r="H17" s="170"/>
      <c r="I17" s="171"/>
      <c r="J17" s="172" t="s">
        <v>18</v>
      </c>
      <c r="K17" s="173"/>
      <c r="L17" s="174"/>
      <c r="M17" s="176" t="s">
        <v>650</v>
      </c>
      <c r="N17" s="176"/>
      <c r="O17" s="176"/>
      <c r="P17" s="176"/>
      <c r="Q17" s="167">
        <v>2024</v>
      </c>
      <c r="R17" s="167"/>
      <c r="S17" s="167"/>
    </row>
    <row r="18" spans="2:19" ht="15" customHeight="1" x14ac:dyDescent="0.2">
      <c r="B18" s="17"/>
      <c r="C18" s="105"/>
      <c r="D18" s="105"/>
      <c r="E18" s="105"/>
      <c r="F18" s="105"/>
      <c r="G18" s="17"/>
      <c r="H18" s="17"/>
      <c r="I18" s="17"/>
      <c r="J18" s="106"/>
      <c r="K18" s="106"/>
      <c r="L18" s="106"/>
      <c r="M18" s="62"/>
      <c r="N18" s="62"/>
      <c r="O18" s="62"/>
      <c r="P18" s="62"/>
    </row>
    <row r="19" spans="2:19" x14ac:dyDescent="0.2">
      <c r="K19" s="168" t="s">
        <v>643</v>
      </c>
      <c r="L19" s="168"/>
      <c r="M19" s="168"/>
      <c r="N19" s="168"/>
      <c r="O19" s="168"/>
      <c r="P19" s="168"/>
    </row>
    <row r="20" spans="2:19" x14ac:dyDescent="0.2">
      <c r="K20" s="168" t="s">
        <v>30</v>
      </c>
      <c r="L20" s="168"/>
      <c r="M20" s="168"/>
      <c r="N20" s="168"/>
      <c r="O20" s="168"/>
      <c r="P20" s="168"/>
    </row>
    <row r="21" spans="2:19" x14ac:dyDescent="0.2">
      <c r="K21" s="16"/>
      <c r="L21" s="16"/>
      <c r="M21" s="16"/>
      <c r="N21" s="16"/>
      <c r="O21" s="16"/>
      <c r="P21" s="16"/>
    </row>
    <row r="22" spans="2:19" x14ac:dyDescent="0.2">
      <c r="K22" s="16"/>
      <c r="L22" s="16"/>
      <c r="M22" s="16"/>
      <c r="N22" s="16"/>
      <c r="O22" s="16"/>
      <c r="P22" s="16"/>
    </row>
    <row r="23" spans="2:19" x14ac:dyDescent="0.2">
      <c r="K23" s="16"/>
      <c r="L23" s="16"/>
      <c r="M23" s="16"/>
      <c r="N23" s="16"/>
      <c r="O23" s="16"/>
      <c r="P23" s="16"/>
    </row>
    <row r="24" spans="2:19" x14ac:dyDescent="0.2">
      <c r="K24" s="175" t="s">
        <v>31</v>
      </c>
      <c r="L24" s="175"/>
      <c r="M24" s="175"/>
      <c r="N24" s="175"/>
      <c r="O24" s="175"/>
      <c r="P24" s="175"/>
    </row>
    <row r="25" spans="2:19" x14ac:dyDescent="0.2">
      <c r="K25" s="168" t="s">
        <v>32</v>
      </c>
      <c r="L25" s="168"/>
      <c r="M25" s="168"/>
      <c r="N25" s="168"/>
      <c r="O25" s="168"/>
      <c r="P25" s="168"/>
    </row>
    <row r="26" spans="2:19" x14ac:dyDescent="0.2">
      <c r="K26" s="168" t="s">
        <v>33</v>
      </c>
      <c r="L26" s="168"/>
      <c r="M26" s="168"/>
      <c r="N26" s="168"/>
      <c r="O26" s="168"/>
      <c r="P26" s="168"/>
    </row>
  </sheetData>
  <mergeCells count="52">
    <mergeCell ref="B1:Q1"/>
    <mergeCell ref="M10:P10"/>
    <mergeCell ref="M12:P12"/>
    <mergeCell ref="M14:P14"/>
    <mergeCell ref="C4:Q4"/>
    <mergeCell ref="B3:Q3"/>
    <mergeCell ref="C10:F10"/>
    <mergeCell ref="G10:I10"/>
    <mergeCell ref="J10:L10"/>
    <mergeCell ref="C12:F12"/>
    <mergeCell ref="J11:L11"/>
    <mergeCell ref="M11:P11"/>
    <mergeCell ref="C14:F14"/>
    <mergeCell ref="G12:I12"/>
    <mergeCell ref="B2:Q2"/>
    <mergeCell ref="C15:F15"/>
    <mergeCell ref="G15:I15"/>
    <mergeCell ref="J15:L15"/>
    <mergeCell ref="M15:P15"/>
    <mergeCell ref="A6:S6"/>
    <mergeCell ref="A7:S7"/>
    <mergeCell ref="B8:R8"/>
    <mergeCell ref="C13:F13"/>
    <mergeCell ref="G13:I13"/>
    <mergeCell ref="J13:L13"/>
    <mergeCell ref="C11:F11"/>
    <mergeCell ref="G11:I11"/>
    <mergeCell ref="Q10:S10"/>
    <mergeCell ref="C16:F16"/>
    <mergeCell ref="G16:I16"/>
    <mergeCell ref="J16:L16"/>
    <mergeCell ref="M16:P16"/>
    <mergeCell ref="C17:F17"/>
    <mergeCell ref="G17:I17"/>
    <mergeCell ref="J17:L17"/>
    <mergeCell ref="M17:P17"/>
    <mergeCell ref="K26:P26"/>
    <mergeCell ref="G14:I14"/>
    <mergeCell ref="J12:L12"/>
    <mergeCell ref="K19:P19"/>
    <mergeCell ref="K20:P20"/>
    <mergeCell ref="K24:P24"/>
    <mergeCell ref="J14:L14"/>
    <mergeCell ref="M13:P13"/>
    <mergeCell ref="K25:P25"/>
    <mergeCell ref="Q16:S16"/>
    <mergeCell ref="Q17:S17"/>
    <mergeCell ref="Q11:S11"/>
    <mergeCell ref="Q12:S12"/>
    <mergeCell ref="Q13:S13"/>
    <mergeCell ref="Q14:S14"/>
    <mergeCell ref="Q15:S15"/>
  </mergeCells>
  <pageMargins left="0.56000000000000005" right="0.7" top="0.4" bottom="0.75" header="0.3" footer="0.3"/>
  <pageSetup scale="80"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3"/>
  <sheetViews>
    <sheetView topLeftCell="A10" workbookViewId="0">
      <selection activeCell="K16" sqref="K16:P16"/>
    </sheetView>
  </sheetViews>
  <sheetFormatPr defaultRowHeight="15" x14ac:dyDescent="0.2"/>
  <cols>
    <col min="1" max="1" width="3.33203125" customWidth="1"/>
    <col min="2" max="4" width="5.83203125" style="1" customWidth="1"/>
    <col min="5" max="5" width="5.83203125" customWidth="1"/>
    <col min="6" max="6" width="13.1640625" customWidth="1"/>
    <col min="7" max="8" width="5.83203125" customWidth="1"/>
    <col min="9" max="9" width="7.5" customWidth="1"/>
    <col min="10" max="10" width="5.83203125" customWidth="1"/>
    <col min="11" max="11" width="9" customWidth="1"/>
    <col min="12" max="12" width="11.1640625" customWidth="1"/>
    <col min="13" max="15" width="5.83203125" customWidth="1"/>
    <col min="16" max="16" width="9.6640625" customWidth="1"/>
    <col min="17" max="25" width="5.83203125" customWidth="1"/>
  </cols>
  <sheetData>
    <row r="1" spans="1:19" ht="15" customHeight="1" x14ac:dyDescent="0.2">
      <c r="A1" s="5"/>
      <c r="B1" s="162" t="s">
        <v>3</v>
      </c>
      <c r="C1" s="162"/>
      <c r="D1" s="162"/>
      <c r="E1" s="162"/>
      <c r="F1" s="162"/>
      <c r="G1" s="162"/>
      <c r="H1" s="162"/>
      <c r="I1" s="162"/>
      <c r="J1" s="162"/>
      <c r="K1" s="162"/>
      <c r="L1" s="162"/>
      <c r="M1" s="162"/>
      <c r="N1" s="162"/>
      <c r="O1" s="162"/>
      <c r="P1" s="162"/>
      <c r="Q1" s="162"/>
    </row>
    <row r="2" spans="1:19" ht="15" customHeight="1" x14ac:dyDescent="0.2">
      <c r="A2" s="5"/>
      <c r="B2" s="163" t="s">
        <v>4</v>
      </c>
      <c r="C2" s="163"/>
      <c r="D2" s="163"/>
      <c r="E2" s="163"/>
      <c r="F2" s="163"/>
      <c r="G2" s="163"/>
      <c r="H2" s="163"/>
      <c r="I2" s="163"/>
      <c r="J2" s="163"/>
      <c r="K2" s="163"/>
      <c r="L2" s="163"/>
      <c r="M2" s="163"/>
      <c r="N2" s="163"/>
      <c r="O2" s="163"/>
      <c r="P2" s="163"/>
      <c r="Q2" s="163"/>
    </row>
    <row r="3" spans="1:19" ht="15" customHeight="1" x14ac:dyDescent="0.2">
      <c r="A3" s="5"/>
      <c r="B3" s="164" t="s">
        <v>6</v>
      </c>
      <c r="C3" s="164"/>
      <c r="D3" s="164"/>
      <c r="E3" s="164"/>
      <c r="F3" s="164"/>
      <c r="G3" s="164"/>
      <c r="H3" s="164"/>
      <c r="I3" s="164"/>
      <c r="J3" s="164"/>
      <c r="K3" s="164"/>
      <c r="L3" s="164"/>
      <c r="M3" s="164"/>
      <c r="N3" s="164"/>
      <c r="O3" s="164"/>
      <c r="P3" s="164"/>
      <c r="Q3" s="164"/>
    </row>
    <row r="4" spans="1:19" ht="15" customHeight="1" thickBot="1" x14ac:dyDescent="0.25">
      <c r="A4" s="4"/>
      <c r="B4" s="9"/>
      <c r="C4" s="165" t="s">
        <v>5</v>
      </c>
      <c r="D4" s="165"/>
      <c r="E4" s="165"/>
      <c r="F4" s="165"/>
      <c r="G4" s="165"/>
      <c r="H4" s="165"/>
      <c r="I4" s="165"/>
      <c r="J4" s="165"/>
      <c r="K4" s="165"/>
      <c r="L4" s="165"/>
      <c r="M4" s="165"/>
      <c r="N4" s="165"/>
      <c r="O4" s="165"/>
      <c r="P4" s="165"/>
      <c r="Q4" s="165"/>
    </row>
    <row r="5" spans="1:19" ht="15" customHeight="1" thickTop="1" x14ac:dyDescent="0.2"/>
    <row r="6" spans="1:19" ht="15" customHeight="1" x14ac:dyDescent="0.2">
      <c r="A6" s="166" t="s">
        <v>2498</v>
      </c>
      <c r="B6" s="166"/>
      <c r="C6" s="166"/>
      <c r="D6" s="166"/>
      <c r="E6" s="166"/>
      <c r="F6" s="166"/>
      <c r="G6" s="166"/>
      <c r="H6" s="166"/>
      <c r="I6" s="166"/>
      <c r="J6" s="166"/>
      <c r="K6" s="166"/>
      <c r="L6" s="166"/>
      <c r="M6" s="166"/>
      <c r="N6" s="166"/>
      <c r="O6" s="166"/>
      <c r="P6" s="166"/>
      <c r="Q6" s="166"/>
      <c r="R6" s="166"/>
      <c r="S6" s="166"/>
    </row>
    <row r="7" spans="1:19" ht="15" customHeight="1" x14ac:dyDescent="0.2">
      <c r="A7" s="141"/>
      <c r="B7" s="166"/>
      <c r="C7" s="166"/>
      <c r="D7" s="166"/>
      <c r="E7" s="166"/>
      <c r="F7" s="166"/>
      <c r="G7" s="166"/>
      <c r="H7" s="166"/>
      <c r="I7" s="166"/>
      <c r="J7" s="166"/>
      <c r="K7" s="166"/>
      <c r="L7" s="166"/>
      <c r="M7" s="166"/>
      <c r="N7" s="166"/>
      <c r="O7" s="166"/>
      <c r="P7" s="166"/>
      <c r="Q7" s="166"/>
      <c r="R7" s="166"/>
    </row>
    <row r="9" spans="1:19" ht="28.5" customHeight="1" x14ac:dyDescent="0.2">
      <c r="B9" s="142" t="s">
        <v>2</v>
      </c>
      <c r="C9" s="183" t="s">
        <v>1</v>
      </c>
      <c r="D9" s="183"/>
      <c r="E9" s="183"/>
      <c r="F9" s="183"/>
      <c r="G9" s="182" t="s">
        <v>13</v>
      </c>
      <c r="H9" s="182"/>
      <c r="I9" s="182"/>
      <c r="J9" s="182" t="s">
        <v>12</v>
      </c>
      <c r="K9" s="182"/>
      <c r="L9" s="182"/>
      <c r="M9" s="183" t="s">
        <v>17</v>
      </c>
      <c r="N9" s="183"/>
      <c r="O9" s="183"/>
      <c r="P9" s="183"/>
      <c r="Q9" s="182" t="s">
        <v>2493</v>
      </c>
      <c r="R9" s="182"/>
      <c r="S9" s="182"/>
    </row>
    <row r="10" spans="1:19" ht="45" customHeight="1" x14ac:dyDescent="0.2">
      <c r="B10" s="143">
        <v>1</v>
      </c>
      <c r="C10" s="177" t="s">
        <v>644</v>
      </c>
      <c r="D10" s="178"/>
      <c r="E10" s="178"/>
      <c r="F10" s="179"/>
      <c r="G10" s="169" t="s">
        <v>16</v>
      </c>
      <c r="H10" s="180"/>
      <c r="I10" s="181"/>
      <c r="J10" s="172" t="s">
        <v>18</v>
      </c>
      <c r="K10" s="173"/>
      <c r="L10" s="174"/>
      <c r="M10" s="176" t="s">
        <v>2488</v>
      </c>
      <c r="N10" s="176"/>
      <c r="O10" s="176"/>
      <c r="P10" s="176"/>
      <c r="Q10" s="167">
        <v>2024</v>
      </c>
      <c r="R10" s="167"/>
      <c r="S10" s="167"/>
    </row>
    <row r="11" spans="1:19" ht="45" customHeight="1" x14ac:dyDescent="0.2">
      <c r="B11" s="143">
        <v>2</v>
      </c>
      <c r="C11" s="177" t="s">
        <v>645</v>
      </c>
      <c r="D11" s="178"/>
      <c r="E11" s="178"/>
      <c r="F11" s="179"/>
      <c r="G11" s="169" t="s">
        <v>16</v>
      </c>
      <c r="H11" s="170"/>
      <c r="I11" s="171"/>
      <c r="J11" s="172" t="s">
        <v>18</v>
      </c>
      <c r="K11" s="173"/>
      <c r="L11" s="174"/>
      <c r="M11" s="176" t="s">
        <v>651</v>
      </c>
      <c r="N11" s="176"/>
      <c r="O11" s="176"/>
      <c r="P11" s="176"/>
      <c r="Q11" s="167">
        <v>2024</v>
      </c>
      <c r="R11" s="167"/>
      <c r="S11" s="167"/>
    </row>
    <row r="12" spans="1:19" ht="45" customHeight="1" x14ac:dyDescent="0.2">
      <c r="B12" s="143">
        <v>3</v>
      </c>
      <c r="C12" s="177" t="s">
        <v>648</v>
      </c>
      <c r="D12" s="178"/>
      <c r="E12" s="178"/>
      <c r="F12" s="179"/>
      <c r="G12" s="169" t="s">
        <v>16</v>
      </c>
      <c r="H12" s="170"/>
      <c r="I12" s="171"/>
      <c r="J12" s="172" t="s">
        <v>18</v>
      </c>
      <c r="K12" s="173"/>
      <c r="L12" s="174"/>
      <c r="M12" s="176" t="s">
        <v>652</v>
      </c>
      <c r="N12" s="176"/>
      <c r="O12" s="176"/>
      <c r="P12" s="176"/>
      <c r="Q12" s="167">
        <v>2024</v>
      </c>
      <c r="R12" s="167"/>
      <c r="S12" s="167"/>
    </row>
    <row r="13" spans="1:19" ht="45" customHeight="1" x14ac:dyDescent="0.2">
      <c r="B13" s="143">
        <v>4</v>
      </c>
      <c r="C13" s="177" t="s">
        <v>647</v>
      </c>
      <c r="D13" s="178"/>
      <c r="E13" s="178"/>
      <c r="F13" s="179"/>
      <c r="G13" s="169" t="s">
        <v>16</v>
      </c>
      <c r="H13" s="170"/>
      <c r="I13" s="171"/>
      <c r="J13" s="172" t="s">
        <v>18</v>
      </c>
      <c r="K13" s="173"/>
      <c r="L13" s="174"/>
      <c r="M13" s="176" t="s">
        <v>649</v>
      </c>
      <c r="N13" s="176"/>
      <c r="O13" s="176"/>
      <c r="P13" s="176"/>
      <c r="Q13" s="167">
        <v>2024</v>
      </c>
      <c r="R13" s="167"/>
      <c r="S13" s="167"/>
    </row>
    <row r="14" spans="1:19" ht="45" customHeight="1" x14ac:dyDescent="0.2">
      <c r="B14" s="143">
        <v>5</v>
      </c>
      <c r="C14" s="177" t="s">
        <v>646</v>
      </c>
      <c r="D14" s="178"/>
      <c r="E14" s="178"/>
      <c r="F14" s="179"/>
      <c r="G14" s="169" t="s">
        <v>16</v>
      </c>
      <c r="H14" s="170"/>
      <c r="I14" s="171"/>
      <c r="J14" s="172" t="s">
        <v>18</v>
      </c>
      <c r="K14" s="173"/>
      <c r="L14" s="174"/>
      <c r="M14" s="176" t="s">
        <v>650</v>
      </c>
      <c r="N14" s="176"/>
      <c r="O14" s="176"/>
      <c r="P14" s="176"/>
      <c r="Q14" s="167">
        <v>2024</v>
      </c>
      <c r="R14" s="167"/>
      <c r="S14" s="167"/>
    </row>
    <row r="15" spans="1:19" ht="15" customHeight="1" x14ac:dyDescent="0.2">
      <c r="B15" s="17"/>
      <c r="C15" s="105"/>
      <c r="D15" s="105"/>
      <c r="E15" s="105"/>
      <c r="F15" s="105"/>
      <c r="G15" s="17"/>
      <c r="H15" s="17"/>
      <c r="I15" s="17"/>
      <c r="J15" s="106"/>
      <c r="K15" s="106"/>
      <c r="L15" s="106"/>
      <c r="M15" s="62"/>
      <c r="N15" s="62"/>
      <c r="O15" s="62"/>
      <c r="P15" s="62"/>
    </row>
    <row r="16" spans="1:19" x14ac:dyDescent="0.2">
      <c r="K16" s="168" t="s">
        <v>643</v>
      </c>
      <c r="L16" s="168"/>
      <c r="M16" s="168"/>
      <c r="N16" s="168"/>
      <c r="O16" s="168"/>
      <c r="P16" s="168"/>
    </row>
    <row r="17" spans="11:16" x14ac:dyDescent="0.2">
      <c r="K17" s="168" t="s">
        <v>30</v>
      </c>
      <c r="L17" s="168"/>
      <c r="M17" s="168"/>
      <c r="N17" s="168"/>
      <c r="O17" s="168"/>
      <c r="P17" s="168"/>
    </row>
    <row r="18" spans="11:16" x14ac:dyDescent="0.2">
      <c r="K18" s="16"/>
      <c r="L18" s="16"/>
      <c r="M18" s="16"/>
      <c r="N18" s="16"/>
      <c r="O18" s="16"/>
      <c r="P18" s="16"/>
    </row>
    <row r="19" spans="11:16" x14ac:dyDescent="0.2">
      <c r="K19" s="16"/>
      <c r="L19" s="16"/>
      <c r="M19" s="16"/>
      <c r="N19" s="16"/>
      <c r="O19" s="16"/>
      <c r="P19" s="16"/>
    </row>
    <row r="20" spans="11:16" x14ac:dyDescent="0.2">
      <c r="K20" s="16"/>
      <c r="L20" s="16"/>
      <c r="M20" s="16"/>
      <c r="N20" s="16"/>
      <c r="O20" s="16"/>
      <c r="P20" s="16"/>
    </row>
    <row r="21" spans="11:16" x14ac:dyDescent="0.2">
      <c r="K21" s="175" t="s">
        <v>31</v>
      </c>
      <c r="L21" s="175"/>
      <c r="M21" s="175"/>
      <c r="N21" s="175"/>
      <c r="O21" s="175"/>
      <c r="P21" s="175"/>
    </row>
    <row r="22" spans="11:16" x14ac:dyDescent="0.2">
      <c r="K22" s="168" t="s">
        <v>32</v>
      </c>
      <c r="L22" s="168"/>
      <c r="M22" s="168"/>
      <c r="N22" s="168"/>
      <c r="O22" s="168"/>
      <c r="P22" s="168"/>
    </row>
    <row r="23" spans="11:16" x14ac:dyDescent="0.2">
      <c r="K23" s="168" t="s">
        <v>33</v>
      </c>
      <c r="L23" s="168"/>
      <c r="M23" s="168"/>
      <c r="N23" s="168"/>
      <c r="O23" s="168"/>
      <c r="P23" s="168"/>
    </row>
  </sheetData>
  <mergeCells count="41">
    <mergeCell ref="B1:Q1"/>
    <mergeCell ref="B2:Q2"/>
    <mergeCell ref="B3:Q3"/>
    <mergeCell ref="C4:Q4"/>
    <mergeCell ref="A6:S6"/>
    <mergeCell ref="B7:R7"/>
    <mergeCell ref="C9:F9"/>
    <mergeCell ref="G9:I9"/>
    <mergeCell ref="J9:L9"/>
    <mergeCell ref="M9:P9"/>
    <mergeCell ref="Q9:S9"/>
    <mergeCell ref="C10:F10"/>
    <mergeCell ref="G10:I10"/>
    <mergeCell ref="J10:L10"/>
    <mergeCell ref="M10:P10"/>
    <mergeCell ref="Q10:S10"/>
    <mergeCell ref="C11:F11"/>
    <mergeCell ref="G11:I11"/>
    <mergeCell ref="J11:L11"/>
    <mergeCell ref="M11:P11"/>
    <mergeCell ref="Q11:S11"/>
    <mergeCell ref="Q14:S14"/>
    <mergeCell ref="K16:P16"/>
    <mergeCell ref="C12:F12"/>
    <mergeCell ref="G12:I12"/>
    <mergeCell ref="J12:L12"/>
    <mergeCell ref="M12:P12"/>
    <mergeCell ref="Q12:S12"/>
    <mergeCell ref="C13:F13"/>
    <mergeCell ref="G13:I13"/>
    <mergeCell ref="J13:L13"/>
    <mergeCell ref="M13:P13"/>
    <mergeCell ref="Q13:S13"/>
    <mergeCell ref="K17:P17"/>
    <mergeCell ref="K21:P21"/>
    <mergeCell ref="K22:P22"/>
    <mergeCell ref="K23:P23"/>
    <mergeCell ref="C14:F14"/>
    <mergeCell ref="G14:I14"/>
    <mergeCell ref="J14:L14"/>
    <mergeCell ref="M14:P14"/>
  </mergeCells>
  <pageMargins left="0.56000000000000005" right="0.7" top="0.4" bottom="0.75" header="0.3" footer="0.3"/>
  <pageSetup scale="80"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30"/>
  <sheetViews>
    <sheetView topLeftCell="A6" zoomScale="98" zoomScaleNormal="98" workbookViewId="0">
      <selection activeCell="V13" sqref="V13"/>
    </sheetView>
  </sheetViews>
  <sheetFormatPr defaultRowHeight="15" x14ac:dyDescent="0.2"/>
  <cols>
    <col min="1" max="1" width="5.83203125" customWidth="1"/>
    <col min="2" max="4" width="5.83203125" style="1" customWidth="1"/>
    <col min="5" max="8" width="5.83203125" customWidth="1"/>
    <col min="9" max="9" width="8.83203125" customWidth="1"/>
    <col min="10" max="16" width="5.83203125" customWidth="1"/>
    <col min="17" max="17" width="14.1640625" customWidth="1"/>
    <col min="18" max="24" width="5.83203125" customWidth="1"/>
  </cols>
  <sheetData>
    <row r="1" spans="1:17" ht="15" customHeight="1" x14ac:dyDescent="0.2">
      <c r="A1" s="5"/>
      <c r="B1" s="162" t="s">
        <v>3</v>
      </c>
      <c r="C1" s="162"/>
      <c r="D1" s="162"/>
      <c r="E1" s="162"/>
      <c r="F1" s="162"/>
      <c r="G1" s="162"/>
      <c r="H1" s="162"/>
      <c r="I1" s="162"/>
      <c r="J1" s="162"/>
      <c r="K1" s="162"/>
      <c r="L1" s="162"/>
      <c r="M1" s="162"/>
      <c r="N1" s="162"/>
      <c r="O1" s="162"/>
      <c r="P1" s="162"/>
      <c r="Q1" s="162"/>
    </row>
    <row r="2" spans="1:17" ht="15" customHeight="1" x14ac:dyDescent="0.2">
      <c r="A2" s="5"/>
      <c r="B2" s="163" t="s">
        <v>4</v>
      </c>
      <c r="C2" s="163"/>
      <c r="D2" s="163"/>
      <c r="E2" s="163"/>
      <c r="F2" s="163"/>
      <c r="G2" s="163"/>
      <c r="H2" s="163"/>
      <c r="I2" s="163"/>
      <c r="J2" s="163"/>
      <c r="K2" s="163"/>
      <c r="L2" s="163"/>
      <c r="M2" s="163"/>
      <c r="N2" s="163"/>
      <c r="O2" s="163"/>
      <c r="P2" s="163"/>
      <c r="Q2" s="163"/>
    </row>
    <row r="3" spans="1:17" ht="15" customHeight="1" x14ac:dyDescent="0.2">
      <c r="A3" s="5"/>
      <c r="B3" s="164" t="s">
        <v>6</v>
      </c>
      <c r="C3" s="164"/>
      <c r="D3" s="164"/>
      <c r="E3" s="164"/>
      <c r="F3" s="164"/>
      <c r="G3" s="164"/>
      <c r="H3" s="164"/>
      <c r="I3" s="164"/>
      <c r="J3" s="164"/>
      <c r="K3" s="164"/>
      <c r="L3" s="164"/>
      <c r="M3" s="164"/>
      <c r="N3" s="164"/>
      <c r="O3" s="164"/>
      <c r="P3" s="164"/>
      <c r="Q3" s="164"/>
    </row>
    <row r="4" spans="1:17" ht="15" customHeight="1" thickBot="1" x14ac:dyDescent="0.25">
      <c r="A4" s="4"/>
      <c r="B4" s="9"/>
      <c r="C4" s="165" t="s">
        <v>5</v>
      </c>
      <c r="D4" s="165"/>
      <c r="E4" s="165"/>
      <c r="F4" s="165"/>
      <c r="G4" s="165"/>
      <c r="H4" s="165"/>
      <c r="I4" s="165"/>
      <c r="J4" s="165"/>
      <c r="K4" s="165"/>
      <c r="L4" s="165"/>
      <c r="M4" s="165"/>
      <c r="N4" s="165"/>
      <c r="O4" s="165"/>
      <c r="P4" s="165"/>
      <c r="Q4" s="165"/>
    </row>
    <row r="5" spans="1:17" ht="15" customHeight="1" thickTop="1" x14ac:dyDescent="0.2"/>
    <row r="6" spans="1:17" ht="14.25" x14ac:dyDescent="0.2">
      <c r="B6" s="161" t="s">
        <v>19</v>
      </c>
      <c r="C6" s="161"/>
      <c r="D6" s="161"/>
      <c r="E6" s="161"/>
      <c r="F6" s="161"/>
      <c r="G6" s="161"/>
      <c r="H6" s="161"/>
      <c r="I6" s="161"/>
      <c r="J6" s="161"/>
      <c r="K6" s="161"/>
      <c r="L6" s="161"/>
      <c r="M6" s="161"/>
      <c r="N6" s="161"/>
      <c r="O6" s="161"/>
      <c r="P6" s="161"/>
      <c r="Q6" s="161"/>
    </row>
    <row r="7" spans="1:17" ht="15" customHeight="1" x14ac:dyDescent="0.2">
      <c r="A7" s="12"/>
      <c r="B7" s="166" t="s">
        <v>21</v>
      </c>
      <c r="C7" s="166"/>
      <c r="D7" s="166"/>
      <c r="E7" s="166"/>
      <c r="F7" s="166"/>
      <c r="G7" s="166"/>
      <c r="H7" s="166"/>
      <c r="I7" s="166"/>
      <c r="J7" s="166"/>
      <c r="K7" s="166"/>
      <c r="L7" s="166"/>
      <c r="M7" s="166"/>
      <c r="N7" s="166"/>
      <c r="O7" s="166"/>
      <c r="P7" s="166"/>
      <c r="Q7" s="166"/>
    </row>
    <row r="8" spans="1:17" ht="15" customHeight="1" x14ac:dyDescent="0.2">
      <c r="B8"/>
      <c r="C8"/>
      <c r="D8"/>
    </row>
    <row r="9" spans="1:17" ht="30" customHeight="1" x14ac:dyDescent="0.2">
      <c r="B9" s="3" t="s">
        <v>2</v>
      </c>
      <c r="C9" s="184" t="s">
        <v>105</v>
      </c>
      <c r="D9" s="185"/>
      <c r="E9" s="185"/>
      <c r="F9" s="185"/>
      <c r="G9" s="185"/>
      <c r="H9" s="185"/>
      <c r="I9" s="185"/>
      <c r="J9" s="184" t="s">
        <v>22</v>
      </c>
      <c r="K9" s="185"/>
      <c r="L9" s="185"/>
      <c r="M9" s="185"/>
      <c r="N9" s="186"/>
      <c r="O9" s="184" t="s">
        <v>20</v>
      </c>
      <c r="P9" s="185"/>
      <c r="Q9" s="186"/>
    </row>
    <row r="10" spans="1:17" ht="24.95" customHeight="1" x14ac:dyDescent="0.2">
      <c r="B10" s="2">
        <v>1</v>
      </c>
      <c r="C10" s="177" t="s">
        <v>655</v>
      </c>
      <c r="D10" s="178"/>
      <c r="E10" s="178"/>
      <c r="F10" s="178"/>
      <c r="G10" s="178"/>
      <c r="H10" s="178"/>
      <c r="I10" s="178"/>
      <c r="J10" s="169" t="s">
        <v>106</v>
      </c>
      <c r="K10" s="170"/>
      <c r="L10" s="170"/>
      <c r="M10" s="170"/>
      <c r="N10" s="171"/>
      <c r="O10" s="169" t="s">
        <v>112</v>
      </c>
      <c r="P10" s="170"/>
      <c r="Q10" s="171"/>
    </row>
    <row r="11" spans="1:17" ht="24.95" customHeight="1" x14ac:dyDescent="0.2">
      <c r="B11" s="2">
        <v>2</v>
      </c>
      <c r="C11" s="177" t="s">
        <v>655</v>
      </c>
      <c r="D11" s="178"/>
      <c r="E11" s="178"/>
      <c r="F11" s="178"/>
      <c r="G11" s="178"/>
      <c r="H11" s="178"/>
      <c r="I11" s="178"/>
      <c r="J11" s="169" t="s">
        <v>106</v>
      </c>
      <c r="K11" s="170"/>
      <c r="L11" s="170"/>
      <c r="M11" s="170"/>
      <c r="N11" s="171"/>
      <c r="O11" s="169" t="s">
        <v>112</v>
      </c>
      <c r="P11" s="170"/>
      <c r="Q11" s="171"/>
    </row>
    <row r="12" spans="1:17" ht="24.95" customHeight="1" x14ac:dyDescent="0.2">
      <c r="B12" s="2">
        <v>3</v>
      </c>
      <c r="C12" s="177" t="s">
        <v>656</v>
      </c>
      <c r="D12" s="178"/>
      <c r="E12" s="178"/>
      <c r="F12" s="178"/>
      <c r="G12" s="178"/>
      <c r="H12" s="178"/>
      <c r="I12" s="178"/>
      <c r="J12" s="169" t="s">
        <v>106</v>
      </c>
      <c r="K12" s="170"/>
      <c r="L12" s="170"/>
      <c r="M12" s="170"/>
      <c r="N12" s="171"/>
      <c r="O12" s="169" t="s">
        <v>112</v>
      </c>
      <c r="P12" s="170"/>
      <c r="Q12" s="171"/>
    </row>
    <row r="13" spans="1:17" ht="24.95" customHeight="1" x14ac:dyDescent="0.2">
      <c r="B13" s="2">
        <v>4</v>
      </c>
      <c r="C13" s="177" t="s">
        <v>657</v>
      </c>
      <c r="D13" s="178"/>
      <c r="E13" s="178"/>
      <c r="F13" s="178"/>
      <c r="G13" s="178"/>
      <c r="H13" s="178"/>
      <c r="I13" s="178"/>
      <c r="J13" s="169" t="s">
        <v>106</v>
      </c>
      <c r="K13" s="170"/>
      <c r="L13" s="170"/>
      <c r="M13" s="170"/>
      <c r="N13" s="171"/>
      <c r="O13" s="169" t="s">
        <v>112</v>
      </c>
      <c r="P13" s="170"/>
      <c r="Q13" s="171"/>
    </row>
    <row r="14" spans="1:17" ht="24.95" customHeight="1" x14ac:dyDescent="0.2">
      <c r="B14" s="2">
        <v>5</v>
      </c>
      <c r="C14" s="177" t="s">
        <v>659</v>
      </c>
      <c r="D14" s="178"/>
      <c r="E14" s="178"/>
      <c r="F14" s="178"/>
      <c r="G14" s="178"/>
      <c r="H14" s="178"/>
      <c r="I14" s="178"/>
      <c r="J14" s="169" t="s">
        <v>106</v>
      </c>
      <c r="K14" s="170"/>
      <c r="L14" s="170"/>
      <c r="M14" s="170"/>
      <c r="N14" s="171"/>
      <c r="O14" s="169" t="s">
        <v>112</v>
      </c>
      <c r="P14" s="170"/>
      <c r="Q14" s="171"/>
    </row>
    <row r="15" spans="1:17" ht="24.95" customHeight="1" x14ac:dyDescent="0.2">
      <c r="B15" s="2">
        <v>6</v>
      </c>
      <c r="C15" s="177" t="s">
        <v>658</v>
      </c>
      <c r="D15" s="178"/>
      <c r="E15" s="178"/>
      <c r="F15" s="178"/>
      <c r="G15" s="178"/>
      <c r="H15" s="178"/>
      <c r="I15" s="178"/>
      <c r="J15" s="169" t="s">
        <v>2494</v>
      </c>
      <c r="K15" s="170"/>
      <c r="L15" s="170"/>
      <c r="M15" s="170"/>
      <c r="N15" s="171"/>
      <c r="O15" s="169" t="s">
        <v>112</v>
      </c>
      <c r="P15" s="170"/>
      <c r="Q15" s="171"/>
    </row>
    <row r="16" spans="1:17" ht="24.95" customHeight="1" x14ac:dyDescent="0.2">
      <c r="B16" s="2">
        <v>7</v>
      </c>
      <c r="C16" s="177" t="s">
        <v>107</v>
      </c>
      <c r="D16" s="178"/>
      <c r="E16" s="178"/>
      <c r="F16" s="178"/>
      <c r="G16" s="178"/>
      <c r="H16" s="178"/>
      <c r="I16" s="178"/>
      <c r="J16" s="169" t="s">
        <v>106</v>
      </c>
      <c r="K16" s="170"/>
      <c r="L16" s="170"/>
      <c r="M16" s="170"/>
      <c r="N16" s="171"/>
      <c r="O16" s="169" t="s">
        <v>112</v>
      </c>
      <c r="P16" s="170"/>
      <c r="Q16" s="171"/>
    </row>
    <row r="17" spans="2:17" ht="24.95" customHeight="1" x14ac:dyDescent="0.2">
      <c r="B17" s="2">
        <v>8</v>
      </c>
      <c r="C17" s="177" t="s">
        <v>108</v>
      </c>
      <c r="D17" s="178"/>
      <c r="E17" s="178"/>
      <c r="F17" s="178"/>
      <c r="G17" s="178"/>
      <c r="H17" s="178"/>
      <c r="I17" s="178"/>
      <c r="J17" s="169" t="s">
        <v>106</v>
      </c>
      <c r="K17" s="170"/>
      <c r="L17" s="170"/>
      <c r="M17" s="170"/>
      <c r="N17" s="171"/>
      <c r="O17" s="169" t="s">
        <v>112</v>
      </c>
      <c r="P17" s="170"/>
      <c r="Q17" s="171"/>
    </row>
    <row r="18" spans="2:17" ht="24.95" customHeight="1" x14ac:dyDescent="0.2">
      <c r="B18" s="2">
        <v>9</v>
      </c>
      <c r="C18" s="177" t="s">
        <v>109</v>
      </c>
      <c r="D18" s="178"/>
      <c r="E18" s="178"/>
      <c r="F18" s="178"/>
      <c r="G18" s="178"/>
      <c r="H18" s="178"/>
      <c r="I18" s="178"/>
      <c r="J18" s="169" t="s">
        <v>106</v>
      </c>
      <c r="K18" s="170"/>
      <c r="L18" s="170"/>
      <c r="M18" s="170"/>
      <c r="N18" s="171"/>
      <c r="O18" s="169" t="s">
        <v>112</v>
      </c>
      <c r="P18" s="170"/>
      <c r="Q18" s="171"/>
    </row>
    <row r="19" spans="2:17" ht="24.95" customHeight="1" x14ac:dyDescent="0.2">
      <c r="B19" s="2">
        <v>10</v>
      </c>
      <c r="C19" s="177" t="s">
        <v>983</v>
      </c>
      <c r="D19" s="178"/>
      <c r="E19" s="178"/>
      <c r="F19" s="178"/>
      <c r="G19" s="178"/>
      <c r="H19" s="178"/>
      <c r="I19" s="178"/>
      <c r="J19" s="169" t="s">
        <v>106</v>
      </c>
      <c r="K19" s="170"/>
      <c r="L19" s="170"/>
      <c r="M19" s="170"/>
      <c r="N19" s="171"/>
      <c r="O19" s="169" t="s">
        <v>112</v>
      </c>
      <c r="P19" s="170"/>
      <c r="Q19" s="171"/>
    </row>
    <row r="20" spans="2:17" ht="24.95" customHeight="1" x14ac:dyDescent="0.2">
      <c r="B20" s="2">
        <v>11</v>
      </c>
      <c r="C20" s="177" t="s">
        <v>110</v>
      </c>
      <c r="D20" s="178"/>
      <c r="E20" s="178"/>
      <c r="F20" s="178"/>
      <c r="G20" s="178"/>
      <c r="H20" s="178"/>
      <c r="I20" s="178"/>
      <c r="J20" s="169" t="s">
        <v>106</v>
      </c>
      <c r="K20" s="170"/>
      <c r="L20" s="170"/>
      <c r="M20" s="170"/>
      <c r="N20" s="171"/>
      <c r="O20" s="169" t="s">
        <v>111</v>
      </c>
      <c r="P20" s="170"/>
      <c r="Q20" s="171"/>
    </row>
    <row r="21" spans="2:17" ht="15" customHeight="1" x14ac:dyDescent="0.2"/>
    <row r="22" spans="2:17" ht="15" customHeight="1" x14ac:dyDescent="0.2"/>
    <row r="23" spans="2:17" ht="15" customHeight="1" x14ac:dyDescent="0.2">
      <c r="L23" s="168" t="s">
        <v>643</v>
      </c>
      <c r="M23" s="168"/>
      <c r="N23" s="168"/>
      <c r="O23" s="168"/>
      <c r="P23" s="168"/>
      <c r="Q23" s="168"/>
    </row>
    <row r="24" spans="2:17" ht="15" customHeight="1" x14ac:dyDescent="0.2">
      <c r="L24" s="168" t="s">
        <v>30</v>
      </c>
      <c r="M24" s="168"/>
      <c r="N24" s="168"/>
      <c r="O24" s="168"/>
      <c r="P24" s="168"/>
      <c r="Q24" s="168"/>
    </row>
    <row r="25" spans="2:17" ht="15" customHeight="1" x14ac:dyDescent="0.2">
      <c r="L25" s="16"/>
      <c r="M25" s="16"/>
      <c r="N25" s="16"/>
      <c r="O25" s="16"/>
      <c r="P25" s="16"/>
      <c r="Q25" s="16"/>
    </row>
    <row r="26" spans="2:17" x14ac:dyDescent="0.2">
      <c r="L26" s="16"/>
      <c r="M26" s="16"/>
      <c r="N26" s="16"/>
      <c r="O26" s="16"/>
      <c r="P26" s="16"/>
      <c r="Q26" s="16"/>
    </row>
    <row r="27" spans="2:17" x14ac:dyDescent="0.2">
      <c r="L27" s="16"/>
      <c r="M27" s="16"/>
      <c r="N27" s="16"/>
      <c r="O27" s="16"/>
      <c r="P27" s="16"/>
      <c r="Q27" s="16"/>
    </row>
    <row r="28" spans="2:17" x14ac:dyDescent="0.2">
      <c r="L28" s="175" t="s">
        <v>31</v>
      </c>
      <c r="M28" s="175"/>
      <c r="N28" s="175"/>
      <c r="O28" s="175"/>
      <c r="P28" s="175"/>
      <c r="Q28" s="175"/>
    </row>
    <row r="29" spans="2:17" x14ac:dyDescent="0.2">
      <c r="L29" s="168" t="s">
        <v>32</v>
      </c>
      <c r="M29" s="168"/>
      <c r="N29" s="168"/>
      <c r="O29" s="168"/>
      <c r="P29" s="168"/>
      <c r="Q29" s="168"/>
    </row>
    <row r="30" spans="2:17" x14ac:dyDescent="0.2">
      <c r="L30" s="168" t="s">
        <v>33</v>
      </c>
      <c r="M30" s="168"/>
      <c r="N30" s="168"/>
      <c r="O30" s="168"/>
      <c r="P30" s="168"/>
      <c r="Q30" s="168"/>
    </row>
  </sheetData>
  <mergeCells count="47">
    <mergeCell ref="C12:I12"/>
    <mergeCell ref="C13:I13"/>
    <mergeCell ref="C17:I17"/>
    <mergeCell ref="J12:N12"/>
    <mergeCell ref="J13:N13"/>
    <mergeCell ref="C14:I14"/>
    <mergeCell ref="C15:I15"/>
    <mergeCell ref="C16:I16"/>
    <mergeCell ref="B1:Q1"/>
    <mergeCell ref="B2:Q2"/>
    <mergeCell ref="B3:Q3"/>
    <mergeCell ref="C4:Q4"/>
    <mergeCell ref="B7:Q7"/>
    <mergeCell ref="B6:Q6"/>
    <mergeCell ref="C18:I18"/>
    <mergeCell ref="O9:Q9"/>
    <mergeCell ref="O10:Q10"/>
    <mergeCell ref="O14:Q14"/>
    <mergeCell ref="O15:Q15"/>
    <mergeCell ref="O16:Q16"/>
    <mergeCell ref="O11:Q11"/>
    <mergeCell ref="O12:Q12"/>
    <mergeCell ref="O13:Q13"/>
    <mergeCell ref="C9:I9"/>
    <mergeCell ref="C10:I10"/>
    <mergeCell ref="O17:Q17"/>
    <mergeCell ref="O18:Q18"/>
    <mergeCell ref="J9:N9"/>
    <mergeCell ref="C11:I11"/>
    <mergeCell ref="J11:N11"/>
    <mergeCell ref="J10:N10"/>
    <mergeCell ref="J14:N14"/>
    <mergeCell ref="J15:N15"/>
    <mergeCell ref="J16:N16"/>
    <mergeCell ref="J17:N17"/>
    <mergeCell ref="J18:N18"/>
    <mergeCell ref="J20:N20"/>
    <mergeCell ref="L23:Q23"/>
    <mergeCell ref="L24:Q24"/>
    <mergeCell ref="L28:Q28"/>
    <mergeCell ref="O20:Q20"/>
    <mergeCell ref="C19:I19"/>
    <mergeCell ref="J19:N19"/>
    <mergeCell ref="O19:Q19"/>
    <mergeCell ref="L29:Q29"/>
    <mergeCell ref="L30:Q30"/>
    <mergeCell ref="C20:I20"/>
  </mergeCells>
  <phoneticPr fontId="25" type="noConversion"/>
  <pageMargins left="0.49" right="0.7" top="0.75" bottom="0.75" header="0.3" footer="0.3"/>
  <pageSetup paperSize="5" scale="95" orientation="portrait"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R23"/>
  <sheetViews>
    <sheetView topLeftCell="A6" workbookViewId="0">
      <selection activeCell="H20" sqref="H20"/>
    </sheetView>
  </sheetViews>
  <sheetFormatPr defaultRowHeight="12.75" x14ac:dyDescent="0.2"/>
  <cols>
    <col min="2" max="17" width="5.83203125" customWidth="1"/>
    <col min="18" max="18" width="14.5" customWidth="1"/>
  </cols>
  <sheetData>
    <row r="2" spans="2:18" ht="17.25" x14ac:dyDescent="0.2">
      <c r="B2" s="5"/>
      <c r="C2" s="162" t="s">
        <v>3</v>
      </c>
      <c r="D2" s="162"/>
      <c r="E2" s="162"/>
      <c r="F2" s="162"/>
      <c r="G2" s="162"/>
      <c r="H2" s="162"/>
      <c r="I2" s="162"/>
      <c r="J2" s="162"/>
      <c r="K2" s="162"/>
      <c r="L2" s="162"/>
      <c r="M2" s="162"/>
      <c r="N2" s="162"/>
      <c r="O2" s="162"/>
      <c r="P2" s="162"/>
      <c r="Q2" s="162"/>
      <c r="R2" s="162"/>
    </row>
    <row r="3" spans="2:18" ht="23.25" x14ac:dyDescent="0.2">
      <c r="B3" s="5"/>
      <c r="C3" s="163" t="s">
        <v>4</v>
      </c>
      <c r="D3" s="163"/>
      <c r="E3" s="163"/>
      <c r="F3" s="163"/>
      <c r="G3" s="163"/>
      <c r="H3" s="163"/>
      <c r="I3" s="163"/>
      <c r="J3" s="163"/>
      <c r="K3" s="163"/>
      <c r="L3" s="163"/>
      <c r="M3" s="163"/>
      <c r="N3" s="163"/>
      <c r="O3" s="163"/>
      <c r="P3" s="163"/>
      <c r="Q3" s="163"/>
      <c r="R3" s="163"/>
    </row>
    <row r="4" spans="2:18" ht="14.25" x14ac:dyDescent="0.2">
      <c r="B4" s="5"/>
      <c r="C4" s="164" t="s">
        <v>6</v>
      </c>
      <c r="D4" s="164"/>
      <c r="E4" s="164"/>
      <c r="F4" s="164"/>
      <c r="G4" s="164"/>
      <c r="H4" s="164"/>
      <c r="I4" s="164"/>
      <c r="J4" s="164"/>
      <c r="K4" s="164"/>
      <c r="L4" s="164"/>
      <c r="M4" s="164"/>
      <c r="N4" s="164"/>
      <c r="O4" s="164"/>
      <c r="P4" s="164"/>
      <c r="Q4" s="164"/>
      <c r="R4" s="164"/>
    </row>
    <row r="5" spans="2:18" ht="16.5" thickBot="1" x14ac:dyDescent="0.25">
      <c r="B5" s="4"/>
      <c r="C5" s="9"/>
      <c r="D5" s="165" t="s">
        <v>5</v>
      </c>
      <c r="E5" s="165"/>
      <c r="F5" s="165"/>
      <c r="G5" s="165"/>
      <c r="H5" s="165"/>
      <c r="I5" s="165"/>
      <c r="J5" s="165"/>
      <c r="K5" s="165"/>
      <c r="L5" s="165"/>
      <c r="M5" s="165"/>
      <c r="N5" s="165"/>
      <c r="O5" s="165"/>
      <c r="P5" s="165"/>
      <c r="Q5" s="165"/>
      <c r="R5" s="165"/>
    </row>
    <row r="6" spans="2:18" ht="15.75" thickTop="1" x14ac:dyDescent="0.2">
      <c r="C6" s="1"/>
      <c r="D6" s="1"/>
      <c r="E6" s="1"/>
    </row>
    <row r="7" spans="2:18" ht="27" customHeight="1" x14ac:dyDescent="0.2">
      <c r="B7" s="166" t="s">
        <v>23</v>
      </c>
      <c r="C7" s="166"/>
      <c r="D7" s="166"/>
      <c r="E7" s="166"/>
      <c r="F7" s="166"/>
      <c r="G7" s="166"/>
      <c r="H7" s="166"/>
      <c r="I7" s="166"/>
      <c r="J7" s="166"/>
      <c r="K7" s="166"/>
      <c r="L7" s="166"/>
      <c r="M7" s="166"/>
      <c r="N7" s="166"/>
      <c r="O7" s="166"/>
      <c r="P7" s="166"/>
      <c r="Q7" s="166"/>
      <c r="R7" s="166"/>
    </row>
    <row r="8" spans="2:18" ht="14.25" x14ac:dyDescent="0.2">
      <c r="B8" s="12"/>
      <c r="C8" s="166" t="s">
        <v>21</v>
      </c>
      <c r="D8" s="166"/>
      <c r="E8" s="166"/>
      <c r="F8" s="166"/>
      <c r="G8" s="166"/>
      <c r="H8" s="166"/>
      <c r="I8" s="166"/>
      <c r="J8" s="166"/>
      <c r="K8" s="166"/>
      <c r="L8" s="166"/>
      <c r="M8" s="166"/>
      <c r="N8" s="166"/>
      <c r="O8" s="166"/>
      <c r="P8" s="166"/>
      <c r="Q8" s="166"/>
      <c r="R8" s="166"/>
    </row>
    <row r="10" spans="2:18" ht="14.25" x14ac:dyDescent="0.2">
      <c r="B10" s="14"/>
      <c r="C10" s="14"/>
      <c r="D10" s="14"/>
      <c r="E10" s="14"/>
      <c r="F10" s="14"/>
      <c r="G10" s="14"/>
      <c r="H10" s="14"/>
      <c r="I10" s="14"/>
      <c r="J10" s="14"/>
      <c r="K10" s="14"/>
      <c r="L10" s="14"/>
      <c r="M10" s="14"/>
      <c r="N10" s="14"/>
      <c r="O10" s="14"/>
      <c r="P10" s="14"/>
      <c r="Q10" s="14"/>
      <c r="R10" s="14"/>
    </row>
    <row r="11" spans="2:18" s="18" customFormat="1" ht="24.95" customHeight="1" x14ac:dyDescent="0.2">
      <c r="B11" s="13" t="s">
        <v>2</v>
      </c>
      <c r="C11" s="183" t="s">
        <v>24</v>
      </c>
      <c r="D11" s="183"/>
      <c r="E11" s="183"/>
      <c r="F11" s="183"/>
      <c r="G11" s="183"/>
      <c r="H11" s="183"/>
      <c r="I11" s="183" t="s">
        <v>25</v>
      </c>
      <c r="J11" s="183"/>
      <c r="K11" s="183"/>
      <c r="L11" s="183"/>
      <c r="M11" s="183"/>
      <c r="N11" s="183" t="s">
        <v>26</v>
      </c>
      <c r="O11" s="183"/>
      <c r="P11" s="183"/>
      <c r="Q11" s="183"/>
      <c r="R11" s="183"/>
    </row>
    <row r="12" spans="2:18" s="17" customFormat="1" ht="35.1" customHeight="1" x14ac:dyDescent="0.2">
      <c r="B12" s="2">
        <v>1</v>
      </c>
      <c r="C12" s="187" t="s">
        <v>27</v>
      </c>
      <c r="D12" s="187"/>
      <c r="E12" s="187"/>
      <c r="F12" s="187"/>
      <c r="G12" s="187"/>
      <c r="H12" s="187"/>
      <c r="I12" s="187">
        <v>1</v>
      </c>
      <c r="J12" s="187"/>
      <c r="K12" s="187"/>
      <c r="L12" s="187"/>
      <c r="M12" s="187"/>
      <c r="N12" s="187" t="s">
        <v>28</v>
      </c>
      <c r="O12" s="187"/>
      <c r="P12" s="187"/>
      <c r="Q12" s="187"/>
      <c r="R12" s="187"/>
    </row>
    <row r="13" spans="2:18" ht="15" x14ac:dyDescent="0.2">
      <c r="B13" s="15"/>
      <c r="C13" s="15"/>
      <c r="D13" s="16"/>
      <c r="E13" s="16"/>
      <c r="F13" s="16"/>
      <c r="G13" s="16"/>
      <c r="H13" s="16"/>
      <c r="I13" s="16"/>
      <c r="J13" s="16"/>
      <c r="K13" s="16"/>
      <c r="L13" s="16"/>
      <c r="M13" s="16"/>
      <c r="N13" s="16"/>
      <c r="O13" s="16"/>
      <c r="P13" s="16"/>
      <c r="Q13" s="16"/>
      <c r="R13" s="16"/>
    </row>
    <row r="14" spans="2:18" ht="15" x14ac:dyDescent="0.2">
      <c r="B14" s="15"/>
      <c r="C14" s="15"/>
      <c r="D14" s="16"/>
      <c r="E14" s="16"/>
      <c r="F14" s="16"/>
      <c r="G14" s="16"/>
      <c r="H14" s="16"/>
      <c r="I14" s="16"/>
      <c r="J14" s="16"/>
      <c r="K14" s="16"/>
      <c r="L14" s="16"/>
      <c r="M14" s="16"/>
      <c r="N14" s="16"/>
      <c r="O14" s="16"/>
      <c r="P14" s="16"/>
      <c r="Q14" s="16"/>
      <c r="R14" s="16"/>
    </row>
    <row r="15" spans="2:18" ht="15" x14ac:dyDescent="0.2">
      <c r="B15" s="15"/>
      <c r="C15" s="15"/>
      <c r="D15" s="16"/>
      <c r="E15" s="16"/>
      <c r="F15" s="16"/>
      <c r="G15" s="16"/>
      <c r="H15" s="16"/>
      <c r="I15" s="16"/>
      <c r="J15" s="16"/>
      <c r="K15" s="16"/>
      <c r="L15" s="16"/>
      <c r="M15" s="16"/>
      <c r="N15" s="16"/>
      <c r="O15" s="16"/>
      <c r="P15" s="16"/>
      <c r="Q15" s="16"/>
      <c r="R15" s="16"/>
    </row>
    <row r="16" spans="2:18" ht="15" x14ac:dyDescent="0.2">
      <c r="B16" s="15"/>
      <c r="C16" s="15"/>
      <c r="D16" s="16"/>
      <c r="E16" s="16"/>
      <c r="F16" s="16"/>
      <c r="G16" s="16"/>
      <c r="H16" s="16"/>
      <c r="I16" s="16"/>
      <c r="J16" s="16"/>
      <c r="K16" s="16"/>
      <c r="L16" s="16"/>
      <c r="M16" s="168" t="s">
        <v>29</v>
      </c>
      <c r="N16" s="168"/>
      <c r="O16" s="168"/>
      <c r="P16" s="168"/>
      <c r="Q16" s="168"/>
      <c r="R16" s="168"/>
    </row>
    <row r="17" spans="2:18" ht="15" x14ac:dyDescent="0.2">
      <c r="B17" s="15"/>
      <c r="C17" s="15"/>
      <c r="D17" s="16"/>
      <c r="E17" s="16"/>
      <c r="F17" s="16"/>
      <c r="G17" s="16"/>
      <c r="H17" s="16"/>
      <c r="I17" s="16"/>
      <c r="J17" s="16"/>
      <c r="K17" s="16"/>
      <c r="L17" s="16"/>
      <c r="M17" s="168" t="s">
        <v>30</v>
      </c>
      <c r="N17" s="168"/>
      <c r="O17" s="168"/>
      <c r="P17" s="168"/>
      <c r="Q17" s="168"/>
      <c r="R17" s="168"/>
    </row>
    <row r="18" spans="2:18" ht="15" x14ac:dyDescent="0.2">
      <c r="B18" s="15"/>
      <c r="C18" s="15"/>
      <c r="D18" s="16"/>
      <c r="E18" s="16"/>
      <c r="F18" s="16"/>
      <c r="G18" s="16"/>
      <c r="H18" s="16"/>
      <c r="I18" s="16"/>
      <c r="J18" s="16"/>
      <c r="K18" s="16"/>
      <c r="L18" s="16"/>
      <c r="M18" s="16"/>
      <c r="N18" s="16"/>
      <c r="O18" s="16"/>
      <c r="P18" s="16"/>
      <c r="Q18" s="16"/>
      <c r="R18" s="16"/>
    </row>
    <row r="19" spans="2:18" ht="15" x14ac:dyDescent="0.2">
      <c r="B19" s="15"/>
      <c r="C19" s="15"/>
      <c r="D19" s="16"/>
      <c r="E19" s="16"/>
      <c r="F19" s="16"/>
      <c r="G19" s="16"/>
      <c r="H19" s="16"/>
      <c r="I19" s="16"/>
      <c r="J19" s="16"/>
      <c r="K19" s="16"/>
      <c r="L19" s="16"/>
      <c r="M19" s="16"/>
      <c r="N19" s="16"/>
      <c r="O19" s="16"/>
      <c r="P19" s="16"/>
      <c r="Q19" s="16"/>
      <c r="R19" s="16"/>
    </row>
    <row r="20" spans="2:18" ht="15" x14ac:dyDescent="0.2">
      <c r="B20" s="15"/>
      <c r="C20" s="15"/>
      <c r="D20" s="16"/>
      <c r="E20" s="16"/>
      <c r="F20" s="16"/>
      <c r="G20" s="16"/>
      <c r="H20" s="16"/>
      <c r="I20" s="16"/>
      <c r="J20" s="16"/>
      <c r="K20" s="16"/>
      <c r="L20" s="16"/>
      <c r="M20" s="16"/>
      <c r="N20" s="16"/>
      <c r="O20" s="16"/>
      <c r="P20" s="16"/>
      <c r="Q20" s="16"/>
      <c r="R20" s="16"/>
    </row>
    <row r="21" spans="2:18" ht="15" x14ac:dyDescent="0.2">
      <c r="B21" s="15"/>
      <c r="C21" s="15"/>
      <c r="D21" s="16"/>
      <c r="E21" s="16"/>
      <c r="F21" s="16"/>
      <c r="G21" s="16"/>
      <c r="H21" s="16"/>
      <c r="I21" s="16"/>
      <c r="J21" s="16"/>
      <c r="K21" s="16"/>
      <c r="L21" s="16"/>
      <c r="M21" s="175" t="s">
        <v>31</v>
      </c>
      <c r="N21" s="175"/>
      <c r="O21" s="175"/>
      <c r="P21" s="175"/>
      <c r="Q21" s="175"/>
      <c r="R21" s="175"/>
    </row>
    <row r="22" spans="2:18" ht="15" x14ac:dyDescent="0.2">
      <c r="B22" s="15"/>
      <c r="C22" s="15"/>
      <c r="D22" s="16"/>
      <c r="E22" s="16"/>
      <c r="F22" s="16"/>
      <c r="G22" s="16"/>
      <c r="H22" s="16"/>
      <c r="I22" s="16"/>
      <c r="J22" s="16"/>
      <c r="K22" s="16"/>
      <c r="L22" s="16"/>
      <c r="M22" s="168" t="s">
        <v>32</v>
      </c>
      <c r="N22" s="168"/>
      <c r="O22" s="168"/>
      <c r="P22" s="168"/>
      <c r="Q22" s="168"/>
      <c r="R22" s="168"/>
    </row>
    <row r="23" spans="2:18" ht="15" x14ac:dyDescent="0.2">
      <c r="M23" s="168" t="s">
        <v>33</v>
      </c>
      <c r="N23" s="168"/>
      <c r="O23" s="168"/>
      <c r="P23" s="168"/>
      <c r="Q23" s="168"/>
      <c r="R23" s="168"/>
    </row>
  </sheetData>
  <mergeCells count="17">
    <mergeCell ref="C8:R8"/>
    <mergeCell ref="C2:R2"/>
    <mergeCell ref="C3:R3"/>
    <mergeCell ref="C4:R4"/>
    <mergeCell ref="D5:R5"/>
    <mergeCell ref="B7:R7"/>
    <mergeCell ref="M22:R22"/>
    <mergeCell ref="M23:R23"/>
    <mergeCell ref="M16:R16"/>
    <mergeCell ref="M17:R17"/>
    <mergeCell ref="C11:H11"/>
    <mergeCell ref="I11:M11"/>
    <mergeCell ref="N11:R11"/>
    <mergeCell ref="C12:H12"/>
    <mergeCell ref="I12:M12"/>
    <mergeCell ref="N12:R12"/>
    <mergeCell ref="M21:R2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456"/>
  <sheetViews>
    <sheetView topLeftCell="A387" zoomScale="80" zoomScaleNormal="80" workbookViewId="0">
      <selection activeCell="V388" sqref="V388"/>
    </sheetView>
  </sheetViews>
  <sheetFormatPr defaultRowHeight="15" x14ac:dyDescent="0.25"/>
  <cols>
    <col min="1" max="1" width="7" style="55" customWidth="1"/>
    <col min="2" max="2" width="10.6640625" style="21" customWidth="1"/>
    <col min="3" max="3" width="6.5" style="21" customWidth="1"/>
    <col min="4" max="4" width="3.33203125" style="21" customWidth="1"/>
    <col min="5" max="5" width="7" style="21" customWidth="1"/>
    <col min="6" max="6" width="4.5" style="21" customWidth="1"/>
    <col min="7" max="7" width="13" style="21" customWidth="1"/>
    <col min="8" max="8" width="33.1640625" style="21" customWidth="1"/>
    <col min="9" max="9" width="5.1640625" style="21" customWidth="1"/>
    <col min="10" max="10" width="3.6640625" style="21" customWidth="1"/>
    <col min="11" max="11" width="5.33203125" style="21" customWidth="1"/>
    <col min="12" max="12" width="4.5" style="21" customWidth="1"/>
    <col min="13" max="13" width="4.33203125" style="21" customWidth="1"/>
    <col min="14" max="14" width="4.1640625" style="21" customWidth="1"/>
    <col min="15" max="15" width="3.33203125" style="21" customWidth="1"/>
    <col min="16" max="16" width="4.6640625" style="21" customWidth="1"/>
    <col min="17" max="17" width="1.83203125" style="56" customWidth="1"/>
    <col min="18" max="18" width="4.5" style="21" customWidth="1"/>
    <col min="19" max="19" width="9.5" style="57" customWidth="1"/>
    <col min="20" max="16384" width="9.33203125" style="21"/>
  </cols>
  <sheetData>
    <row r="1" spans="1:20" ht="17.25" customHeight="1" x14ac:dyDescent="0.25">
      <c r="A1" s="5"/>
      <c r="B1" s="162" t="s">
        <v>3</v>
      </c>
      <c r="C1" s="162"/>
      <c r="D1" s="162"/>
      <c r="E1" s="162"/>
      <c r="F1" s="162"/>
      <c r="G1" s="162"/>
      <c r="H1" s="162"/>
      <c r="I1" s="162"/>
      <c r="J1" s="162"/>
      <c r="K1" s="162"/>
      <c r="L1" s="162"/>
      <c r="M1" s="162"/>
      <c r="N1" s="162"/>
      <c r="O1" s="162"/>
      <c r="P1" s="162"/>
      <c r="Q1" s="162"/>
      <c r="R1" s="162"/>
      <c r="S1" s="162"/>
    </row>
    <row r="2" spans="1:20" ht="23.25" x14ac:dyDescent="0.25">
      <c r="A2" s="5"/>
      <c r="B2" s="163" t="s">
        <v>4</v>
      </c>
      <c r="C2" s="163"/>
      <c r="D2" s="163"/>
      <c r="E2" s="163"/>
      <c r="F2" s="163"/>
      <c r="G2" s="163"/>
      <c r="H2" s="163"/>
      <c r="I2" s="163"/>
      <c r="J2" s="163"/>
      <c r="K2" s="163"/>
      <c r="L2" s="163"/>
      <c r="M2" s="163"/>
      <c r="N2" s="163"/>
      <c r="O2" s="163"/>
      <c r="P2" s="163"/>
      <c r="Q2" s="163"/>
      <c r="R2" s="163"/>
      <c r="S2" s="163"/>
    </row>
    <row r="3" spans="1:20" x14ac:dyDescent="0.25">
      <c r="A3" s="5"/>
      <c r="B3" s="164" t="s">
        <v>6</v>
      </c>
      <c r="C3" s="164"/>
      <c r="D3" s="164"/>
      <c r="E3" s="164"/>
      <c r="F3" s="164"/>
      <c r="G3" s="164"/>
      <c r="H3" s="164"/>
      <c r="I3" s="164"/>
      <c r="J3" s="164"/>
      <c r="K3" s="164"/>
      <c r="L3" s="164"/>
      <c r="M3" s="164"/>
      <c r="N3" s="164"/>
      <c r="O3" s="164"/>
      <c r="P3" s="164"/>
      <c r="Q3" s="164"/>
      <c r="R3" s="164"/>
      <c r="S3" s="164"/>
    </row>
    <row r="4" spans="1:20" ht="16.5" thickBot="1" x14ac:dyDescent="0.3">
      <c r="A4" s="4"/>
      <c r="B4" s="165" t="s">
        <v>5</v>
      </c>
      <c r="C4" s="165"/>
      <c r="D4" s="165"/>
      <c r="E4" s="165"/>
      <c r="F4" s="165"/>
      <c r="G4" s="165"/>
      <c r="H4" s="165"/>
      <c r="I4" s="165"/>
      <c r="J4" s="165"/>
      <c r="K4" s="165"/>
      <c r="L4" s="165"/>
      <c r="M4" s="165"/>
      <c r="N4" s="165"/>
      <c r="O4" s="165"/>
      <c r="P4" s="165"/>
      <c r="Q4" s="165"/>
      <c r="R4" s="165"/>
      <c r="S4" s="165"/>
    </row>
    <row r="5" spans="1:20" ht="15.75" thickTop="1" x14ac:dyDescent="0.25">
      <c r="A5"/>
      <c r="B5" s="1"/>
      <c r="C5" s="1"/>
      <c r="D5" s="1"/>
      <c r="E5"/>
      <c r="F5"/>
      <c r="G5"/>
      <c r="H5"/>
      <c r="I5"/>
      <c r="J5"/>
      <c r="K5"/>
      <c r="L5"/>
      <c r="M5"/>
      <c r="N5"/>
      <c r="O5"/>
      <c r="P5"/>
    </row>
    <row r="6" spans="1:20" ht="14.25" customHeight="1" x14ac:dyDescent="0.25">
      <c r="A6" s="166" t="s">
        <v>74</v>
      </c>
      <c r="B6" s="166"/>
      <c r="C6" s="166"/>
      <c r="D6" s="166"/>
      <c r="E6" s="166"/>
      <c r="F6" s="166"/>
      <c r="G6" s="166"/>
      <c r="H6" s="166"/>
      <c r="I6" s="166"/>
      <c r="J6" s="166"/>
      <c r="K6" s="166"/>
      <c r="L6" s="166"/>
      <c r="M6" s="166"/>
      <c r="N6" s="166"/>
      <c r="O6" s="166"/>
      <c r="P6" s="166"/>
      <c r="Q6" s="166"/>
      <c r="R6" s="166"/>
      <c r="S6" s="166"/>
    </row>
    <row r="7" spans="1:20" ht="14.25" customHeight="1" x14ac:dyDescent="0.25">
      <c r="A7" s="166" t="s">
        <v>75</v>
      </c>
      <c r="B7" s="166"/>
      <c r="C7" s="166"/>
      <c r="D7" s="166"/>
      <c r="E7" s="166"/>
      <c r="F7" s="166"/>
      <c r="G7" s="166"/>
      <c r="H7" s="166"/>
      <c r="I7" s="166"/>
      <c r="J7" s="166"/>
      <c r="K7" s="166"/>
      <c r="L7" s="166"/>
      <c r="M7" s="166"/>
      <c r="N7" s="166"/>
      <c r="O7" s="166"/>
      <c r="P7" s="166"/>
      <c r="Q7" s="166"/>
      <c r="R7" s="166"/>
      <c r="S7" s="166"/>
    </row>
    <row r="8" spans="1:20" ht="15" customHeight="1" x14ac:dyDescent="0.25">
      <c r="A8" s="12"/>
      <c r="B8" s="166" t="s">
        <v>21</v>
      </c>
      <c r="C8" s="166"/>
      <c r="D8" s="166"/>
      <c r="E8" s="166"/>
      <c r="F8" s="166"/>
      <c r="G8" s="166"/>
      <c r="H8" s="166"/>
      <c r="I8" s="166"/>
      <c r="J8" s="166"/>
      <c r="K8" s="166"/>
      <c r="L8" s="166"/>
      <c r="M8" s="166"/>
      <c r="N8" s="166"/>
      <c r="O8" s="166"/>
      <c r="P8" s="166"/>
      <c r="Q8" s="166"/>
      <c r="R8" s="166"/>
      <c r="S8" s="166"/>
    </row>
    <row r="10" spans="1:20" x14ac:dyDescent="0.25">
      <c r="B10" s="197" t="s">
        <v>661</v>
      </c>
      <c r="C10" s="197"/>
      <c r="D10" s="197"/>
      <c r="E10" s="197"/>
      <c r="F10" s="197"/>
      <c r="G10" s="197"/>
      <c r="H10" s="197"/>
      <c r="I10" s="197"/>
      <c r="J10" s="197"/>
      <c r="K10" s="197"/>
      <c r="L10" s="197"/>
      <c r="M10" s="197"/>
      <c r="N10" s="197"/>
      <c r="O10" s="197"/>
      <c r="P10" s="197"/>
      <c r="Q10" s="197"/>
      <c r="R10" s="197"/>
      <c r="S10" s="197"/>
    </row>
    <row r="11" spans="1:20" ht="17.25" customHeight="1" x14ac:dyDescent="0.25"/>
    <row r="12" spans="1:20" ht="16.5" customHeight="1" x14ac:dyDescent="0.25">
      <c r="A12" s="214" t="s">
        <v>2</v>
      </c>
      <c r="B12" s="214" t="s">
        <v>34</v>
      </c>
      <c r="C12" s="216" t="s">
        <v>35</v>
      </c>
      <c r="D12" s="217"/>
      <c r="E12" s="217"/>
      <c r="F12" s="218"/>
      <c r="G12" s="58" t="s">
        <v>36</v>
      </c>
      <c r="H12" s="222" t="s">
        <v>37</v>
      </c>
      <c r="I12" s="224" t="s">
        <v>38</v>
      </c>
      <c r="J12" s="224" t="s">
        <v>39</v>
      </c>
      <c r="K12" s="204" t="s">
        <v>40</v>
      </c>
      <c r="L12" s="205"/>
      <c r="M12" s="204" t="s">
        <v>20</v>
      </c>
      <c r="N12" s="205"/>
      <c r="O12" s="206" t="s">
        <v>41</v>
      </c>
      <c r="P12" s="207"/>
      <c r="Q12" s="207"/>
      <c r="R12" s="208"/>
      <c r="S12" s="212" t="s">
        <v>42</v>
      </c>
    </row>
    <row r="13" spans="1:20" ht="39" customHeight="1" x14ac:dyDescent="0.25">
      <c r="A13" s="215"/>
      <c r="B13" s="215"/>
      <c r="C13" s="219"/>
      <c r="D13" s="220"/>
      <c r="E13" s="220"/>
      <c r="F13" s="221"/>
      <c r="G13" s="59" t="s">
        <v>43</v>
      </c>
      <c r="H13" s="223"/>
      <c r="I13" s="225"/>
      <c r="J13" s="225"/>
      <c r="K13" s="60" t="s">
        <v>44</v>
      </c>
      <c r="L13" s="111" t="s">
        <v>45</v>
      </c>
      <c r="M13" s="61" t="s">
        <v>46</v>
      </c>
      <c r="N13" s="61" t="s">
        <v>47</v>
      </c>
      <c r="O13" s="209"/>
      <c r="P13" s="210"/>
      <c r="Q13" s="210"/>
      <c r="R13" s="211"/>
      <c r="S13" s="213"/>
    </row>
    <row r="14" spans="1:20" s="30" customFormat="1" ht="135" customHeight="1" x14ac:dyDescent="0.2">
      <c r="A14" s="22">
        <v>1</v>
      </c>
      <c r="B14" s="23" t="s">
        <v>662</v>
      </c>
      <c r="C14" s="194" t="s">
        <v>663</v>
      </c>
      <c r="D14" s="195"/>
      <c r="E14" s="195"/>
      <c r="F14" s="196"/>
      <c r="G14" s="24" t="s">
        <v>660</v>
      </c>
      <c r="H14" s="25" t="s">
        <v>669</v>
      </c>
      <c r="I14" s="26">
        <v>1</v>
      </c>
      <c r="J14" s="26">
        <v>0</v>
      </c>
      <c r="K14" s="26">
        <v>0</v>
      </c>
      <c r="L14" s="27">
        <v>0</v>
      </c>
      <c r="M14" s="28">
        <v>0</v>
      </c>
      <c r="N14" s="28">
        <v>0</v>
      </c>
      <c r="O14" s="188" t="s">
        <v>54</v>
      </c>
      <c r="P14" s="189"/>
      <c r="Q14" s="189"/>
      <c r="R14" s="190"/>
      <c r="S14" s="29" t="s">
        <v>51</v>
      </c>
      <c r="T14" s="144"/>
    </row>
    <row r="15" spans="1:20" s="34" customFormat="1" ht="150" customHeight="1" x14ac:dyDescent="0.25">
      <c r="A15" s="31">
        <v>2</v>
      </c>
      <c r="B15" s="23" t="s">
        <v>664</v>
      </c>
      <c r="C15" s="194" t="s">
        <v>665</v>
      </c>
      <c r="D15" s="195"/>
      <c r="E15" s="195"/>
      <c r="F15" s="196"/>
      <c r="G15" s="32" t="s">
        <v>679</v>
      </c>
      <c r="H15" s="25" t="s">
        <v>795</v>
      </c>
      <c r="I15" s="33">
        <v>1</v>
      </c>
      <c r="J15" s="33">
        <v>0</v>
      </c>
      <c r="K15" s="33">
        <v>0</v>
      </c>
      <c r="L15" s="33">
        <v>0</v>
      </c>
      <c r="M15" s="33">
        <v>0</v>
      </c>
      <c r="N15" s="33">
        <v>0</v>
      </c>
      <c r="O15" s="191" t="s">
        <v>50</v>
      </c>
      <c r="P15" s="192"/>
      <c r="Q15" s="192"/>
      <c r="R15" s="193"/>
      <c r="S15" s="29" t="s">
        <v>51</v>
      </c>
      <c r="T15" s="145"/>
    </row>
    <row r="16" spans="1:20" s="34" customFormat="1" ht="96" x14ac:dyDescent="0.25">
      <c r="A16" s="22">
        <v>3</v>
      </c>
      <c r="B16" s="25" t="s">
        <v>664</v>
      </c>
      <c r="C16" s="194" t="s">
        <v>666</v>
      </c>
      <c r="D16" s="195"/>
      <c r="E16" s="195"/>
      <c r="F16" s="196"/>
      <c r="G16" s="35" t="s">
        <v>667</v>
      </c>
      <c r="H16" s="25" t="s">
        <v>668</v>
      </c>
      <c r="I16" s="33">
        <v>1</v>
      </c>
      <c r="J16" s="33">
        <v>0</v>
      </c>
      <c r="K16" s="33">
        <v>0</v>
      </c>
      <c r="L16" s="33">
        <v>0</v>
      </c>
      <c r="M16" s="33">
        <v>0</v>
      </c>
      <c r="N16" s="33">
        <v>0</v>
      </c>
      <c r="O16" s="191" t="s">
        <v>52</v>
      </c>
      <c r="P16" s="192"/>
      <c r="Q16" s="192"/>
      <c r="R16" s="193"/>
      <c r="S16" s="29" t="s">
        <v>53</v>
      </c>
      <c r="T16" s="144"/>
    </row>
    <row r="17" spans="1:20" s="34" customFormat="1" ht="121.5" customHeight="1" x14ac:dyDescent="0.25">
      <c r="A17" s="31">
        <v>4</v>
      </c>
      <c r="B17" s="25" t="s">
        <v>670</v>
      </c>
      <c r="C17" s="194" t="s">
        <v>666</v>
      </c>
      <c r="D17" s="195"/>
      <c r="E17" s="195"/>
      <c r="F17" s="196"/>
      <c r="G17" s="32" t="s">
        <v>671</v>
      </c>
      <c r="H17" s="25" t="s">
        <v>674</v>
      </c>
      <c r="I17" s="33">
        <v>1</v>
      </c>
      <c r="J17" s="33">
        <v>0</v>
      </c>
      <c r="K17" s="33">
        <v>0</v>
      </c>
      <c r="L17" s="33">
        <v>0</v>
      </c>
      <c r="M17" s="33">
        <v>0</v>
      </c>
      <c r="N17" s="33">
        <v>0</v>
      </c>
      <c r="O17" s="191" t="s">
        <v>672</v>
      </c>
      <c r="P17" s="192"/>
      <c r="Q17" s="192"/>
      <c r="R17" s="193"/>
      <c r="S17" s="29" t="s">
        <v>673</v>
      </c>
      <c r="T17" s="145"/>
    </row>
    <row r="18" spans="1:20" s="34" customFormat="1" ht="151.5" customHeight="1" x14ac:dyDescent="0.25">
      <c r="A18" s="22">
        <v>5</v>
      </c>
      <c r="B18" s="23" t="s">
        <v>675</v>
      </c>
      <c r="C18" s="194" t="s">
        <v>676</v>
      </c>
      <c r="D18" s="195"/>
      <c r="E18" s="195"/>
      <c r="F18" s="196"/>
      <c r="G18" s="32" t="s">
        <v>677</v>
      </c>
      <c r="H18" s="25" t="s">
        <v>678</v>
      </c>
      <c r="I18" s="33">
        <v>1</v>
      </c>
      <c r="J18" s="33">
        <v>0</v>
      </c>
      <c r="K18" s="33">
        <v>0</v>
      </c>
      <c r="L18" s="33">
        <v>0</v>
      </c>
      <c r="M18" s="33">
        <v>0</v>
      </c>
      <c r="N18" s="33">
        <v>0</v>
      </c>
      <c r="O18" s="191" t="s">
        <v>54</v>
      </c>
      <c r="P18" s="192"/>
      <c r="Q18" s="192"/>
      <c r="R18" s="193"/>
      <c r="S18" s="29" t="s">
        <v>673</v>
      </c>
      <c r="T18" s="144"/>
    </row>
    <row r="19" spans="1:20" s="34" customFormat="1" ht="108.75" customHeight="1" x14ac:dyDescent="0.25">
      <c r="A19" s="31">
        <v>6</v>
      </c>
      <c r="B19" s="23" t="s">
        <v>680</v>
      </c>
      <c r="C19" s="194" t="s">
        <v>681</v>
      </c>
      <c r="D19" s="195"/>
      <c r="E19" s="195"/>
      <c r="F19" s="196"/>
      <c r="G19" s="24" t="s">
        <v>682</v>
      </c>
      <c r="H19" s="25" t="s">
        <v>683</v>
      </c>
      <c r="I19" s="33">
        <v>1</v>
      </c>
      <c r="J19" s="33">
        <v>0</v>
      </c>
      <c r="K19" s="33">
        <v>0</v>
      </c>
      <c r="L19" s="33">
        <v>0</v>
      </c>
      <c r="M19" s="33">
        <v>0</v>
      </c>
      <c r="N19" s="33">
        <v>0</v>
      </c>
      <c r="O19" s="188" t="s">
        <v>50</v>
      </c>
      <c r="P19" s="189"/>
      <c r="Q19" s="189"/>
      <c r="R19" s="190"/>
      <c r="S19" s="29" t="s">
        <v>51</v>
      </c>
      <c r="T19" s="145"/>
    </row>
    <row r="20" spans="1:20" s="34" customFormat="1" ht="137.25" customHeight="1" x14ac:dyDescent="0.25">
      <c r="A20" s="22">
        <v>7</v>
      </c>
      <c r="B20" s="23" t="s">
        <v>684</v>
      </c>
      <c r="C20" s="194" t="s">
        <v>685</v>
      </c>
      <c r="D20" s="195"/>
      <c r="E20" s="195"/>
      <c r="F20" s="196"/>
      <c r="G20" s="32" t="s">
        <v>686</v>
      </c>
      <c r="H20" s="25" t="s">
        <v>687</v>
      </c>
      <c r="I20" s="33">
        <v>1</v>
      </c>
      <c r="J20" s="33">
        <v>0</v>
      </c>
      <c r="K20" s="33">
        <v>0</v>
      </c>
      <c r="L20" s="33">
        <v>0</v>
      </c>
      <c r="M20" s="33">
        <v>0</v>
      </c>
      <c r="N20" s="33">
        <v>0</v>
      </c>
      <c r="O20" s="191" t="s">
        <v>54</v>
      </c>
      <c r="P20" s="192"/>
      <c r="Q20" s="192"/>
      <c r="R20" s="193"/>
      <c r="S20" s="29" t="s">
        <v>51</v>
      </c>
      <c r="T20" s="144"/>
    </row>
    <row r="21" spans="1:20" s="34" customFormat="1" ht="174.95" customHeight="1" x14ac:dyDescent="0.25">
      <c r="A21" s="31">
        <v>8</v>
      </c>
      <c r="B21" s="23" t="s">
        <v>688</v>
      </c>
      <c r="C21" s="194" t="s">
        <v>692</v>
      </c>
      <c r="D21" s="195"/>
      <c r="E21" s="195"/>
      <c r="F21" s="196"/>
      <c r="G21" s="32" t="s">
        <v>693</v>
      </c>
      <c r="H21" s="25" t="s">
        <v>694</v>
      </c>
      <c r="I21" s="33">
        <v>1</v>
      </c>
      <c r="J21" s="33">
        <v>0</v>
      </c>
      <c r="K21" s="33">
        <v>0</v>
      </c>
      <c r="L21" s="33">
        <v>0</v>
      </c>
      <c r="M21" s="33">
        <v>0</v>
      </c>
      <c r="N21" s="33">
        <v>0</v>
      </c>
      <c r="O21" s="191" t="s">
        <v>50</v>
      </c>
      <c r="P21" s="192"/>
      <c r="Q21" s="192"/>
      <c r="R21" s="193"/>
      <c r="S21" s="29" t="s">
        <v>61</v>
      </c>
      <c r="T21" s="145"/>
    </row>
    <row r="22" spans="1:20" s="34" customFormat="1" ht="174.95" customHeight="1" x14ac:dyDescent="0.25">
      <c r="A22" s="22">
        <v>9</v>
      </c>
      <c r="B22" s="23" t="s">
        <v>688</v>
      </c>
      <c r="C22" s="194" t="s">
        <v>689</v>
      </c>
      <c r="D22" s="195"/>
      <c r="E22" s="195"/>
      <c r="F22" s="196"/>
      <c r="G22" s="32" t="s">
        <v>691</v>
      </c>
      <c r="H22" s="25" t="s">
        <v>690</v>
      </c>
      <c r="I22" s="33">
        <v>1</v>
      </c>
      <c r="J22" s="33">
        <v>0</v>
      </c>
      <c r="K22" s="33">
        <v>0</v>
      </c>
      <c r="L22" s="33">
        <v>0</v>
      </c>
      <c r="M22" s="33">
        <v>0</v>
      </c>
      <c r="N22" s="33">
        <v>0</v>
      </c>
      <c r="O22" s="191" t="s">
        <v>54</v>
      </c>
      <c r="P22" s="192"/>
      <c r="Q22" s="192"/>
      <c r="R22" s="193"/>
      <c r="S22" s="29" t="s">
        <v>61</v>
      </c>
      <c r="T22" s="144"/>
    </row>
    <row r="23" spans="1:20" s="34" customFormat="1" ht="174.95" customHeight="1" x14ac:dyDescent="0.25">
      <c r="A23" s="31">
        <v>10</v>
      </c>
      <c r="B23" s="23" t="s">
        <v>695</v>
      </c>
      <c r="C23" s="194" t="s">
        <v>696</v>
      </c>
      <c r="D23" s="195"/>
      <c r="E23" s="195"/>
      <c r="F23" s="196"/>
      <c r="G23" s="32" t="s">
        <v>697</v>
      </c>
      <c r="H23" s="25" t="s">
        <v>698</v>
      </c>
      <c r="I23" s="33">
        <v>1</v>
      </c>
      <c r="J23" s="33">
        <v>0</v>
      </c>
      <c r="K23" s="33">
        <v>0</v>
      </c>
      <c r="L23" s="33">
        <v>0</v>
      </c>
      <c r="M23" s="33">
        <v>0</v>
      </c>
      <c r="N23" s="33">
        <v>0</v>
      </c>
      <c r="O23" s="191" t="s">
        <v>59</v>
      </c>
      <c r="P23" s="192"/>
      <c r="Q23" s="192"/>
      <c r="R23" s="193"/>
      <c r="S23" s="29" t="s">
        <v>61</v>
      </c>
      <c r="T23" s="145"/>
    </row>
    <row r="24" spans="1:20" s="34" customFormat="1" ht="120" x14ac:dyDescent="0.25">
      <c r="A24" s="22">
        <v>11</v>
      </c>
      <c r="B24" s="25" t="s">
        <v>699</v>
      </c>
      <c r="C24" s="194" t="s">
        <v>700</v>
      </c>
      <c r="D24" s="195"/>
      <c r="E24" s="195"/>
      <c r="F24" s="196"/>
      <c r="G24" s="32" t="s">
        <v>701</v>
      </c>
      <c r="H24" s="25" t="s">
        <v>702</v>
      </c>
      <c r="I24" s="33">
        <v>1</v>
      </c>
      <c r="J24" s="33">
        <v>0</v>
      </c>
      <c r="K24" s="33">
        <v>0</v>
      </c>
      <c r="L24" s="33">
        <v>0</v>
      </c>
      <c r="M24" s="33">
        <v>0</v>
      </c>
      <c r="N24" s="33">
        <v>0</v>
      </c>
      <c r="O24" s="191" t="s">
        <v>50</v>
      </c>
      <c r="P24" s="192"/>
      <c r="Q24" s="192"/>
      <c r="R24" s="193"/>
      <c r="S24" s="29" t="s">
        <v>51</v>
      </c>
      <c r="T24" s="144"/>
    </row>
    <row r="25" spans="1:20" s="34" customFormat="1" ht="126.75" customHeight="1" x14ac:dyDescent="0.25">
      <c r="A25" s="31">
        <v>12</v>
      </c>
      <c r="B25" s="23" t="s">
        <v>703</v>
      </c>
      <c r="C25" s="194" t="s">
        <v>704</v>
      </c>
      <c r="D25" s="195"/>
      <c r="E25" s="195"/>
      <c r="F25" s="196"/>
      <c r="G25" s="32" t="s">
        <v>705</v>
      </c>
      <c r="H25" s="25" t="s">
        <v>706</v>
      </c>
      <c r="I25" s="33">
        <v>1</v>
      </c>
      <c r="J25" s="33">
        <v>0</v>
      </c>
      <c r="K25" s="33">
        <v>0</v>
      </c>
      <c r="L25" s="33">
        <v>0</v>
      </c>
      <c r="M25" s="33">
        <v>0</v>
      </c>
      <c r="N25" s="33">
        <v>0</v>
      </c>
      <c r="O25" s="191" t="s">
        <v>48</v>
      </c>
      <c r="P25" s="192"/>
      <c r="Q25" s="192"/>
      <c r="R25" s="193"/>
      <c r="S25" s="29" t="s">
        <v>51</v>
      </c>
      <c r="T25" s="145"/>
    </row>
    <row r="26" spans="1:20" s="34" customFormat="1" ht="132.75" customHeight="1" x14ac:dyDescent="0.25">
      <c r="A26" s="22">
        <v>13</v>
      </c>
      <c r="B26" s="25" t="s">
        <v>707</v>
      </c>
      <c r="C26" s="194" t="s">
        <v>708</v>
      </c>
      <c r="D26" s="195"/>
      <c r="E26" s="195"/>
      <c r="F26" s="196"/>
      <c r="G26" s="36" t="s">
        <v>709</v>
      </c>
      <c r="H26" s="25" t="s">
        <v>710</v>
      </c>
      <c r="I26" s="33">
        <v>1</v>
      </c>
      <c r="J26" s="33">
        <v>0</v>
      </c>
      <c r="K26" s="33">
        <v>0</v>
      </c>
      <c r="L26" s="33">
        <v>0</v>
      </c>
      <c r="M26" s="33">
        <v>0</v>
      </c>
      <c r="N26" s="33">
        <v>0</v>
      </c>
      <c r="O26" s="188" t="s">
        <v>50</v>
      </c>
      <c r="P26" s="189"/>
      <c r="Q26" s="189"/>
      <c r="R26" s="190"/>
      <c r="S26" s="29" t="s">
        <v>53</v>
      </c>
      <c r="T26" s="144"/>
    </row>
    <row r="27" spans="1:20" s="34" customFormat="1" ht="132.75" customHeight="1" x14ac:dyDescent="0.25">
      <c r="A27" s="31">
        <v>14</v>
      </c>
      <c r="B27" s="25" t="s">
        <v>707</v>
      </c>
      <c r="C27" s="194" t="s">
        <v>2489</v>
      </c>
      <c r="D27" s="195"/>
      <c r="E27" s="195"/>
      <c r="F27" s="196"/>
      <c r="G27" s="36"/>
      <c r="H27" s="25" t="s">
        <v>2490</v>
      </c>
      <c r="I27" s="33">
        <v>1</v>
      </c>
      <c r="J27" s="33">
        <v>0</v>
      </c>
      <c r="K27" s="33">
        <v>0</v>
      </c>
      <c r="L27" s="33">
        <v>0</v>
      </c>
      <c r="M27" s="33">
        <v>0</v>
      </c>
      <c r="N27" s="33">
        <v>0</v>
      </c>
      <c r="O27" s="188" t="s">
        <v>54</v>
      </c>
      <c r="P27" s="189"/>
      <c r="Q27" s="189"/>
      <c r="R27" s="190"/>
      <c r="S27" s="29" t="s">
        <v>53</v>
      </c>
      <c r="T27" s="145"/>
    </row>
    <row r="28" spans="1:20" s="34" customFormat="1" ht="134.25" customHeight="1" x14ac:dyDescent="0.25">
      <c r="A28" s="22">
        <v>15</v>
      </c>
      <c r="B28" s="23" t="s">
        <v>711</v>
      </c>
      <c r="C28" s="194" t="s">
        <v>712</v>
      </c>
      <c r="D28" s="195"/>
      <c r="E28" s="195"/>
      <c r="F28" s="196"/>
      <c r="G28" s="32" t="s">
        <v>713</v>
      </c>
      <c r="H28" s="25" t="s">
        <v>714</v>
      </c>
      <c r="I28" s="33">
        <v>1</v>
      </c>
      <c r="J28" s="33">
        <v>0</v>
      </c>
      <c r="K28" s="33">
        <v>0</v>
      </c>
      <c r="L28" s="33">
        <v>0</v>
      </c>
      <c r="M28" s="33">
        <v>0</v>
      </c>
      <c r="N28" s="33">
        <v>0</v>
      </c>
      <c r="O28" s="191" t="s">
        <v>50</v>
      </c>
      <c r="P28" s="192"/>
      <c r="Q28" s="192"/>
      <c r="R28" s="193"/>
      <c r="S28" s="29" t="s">
        <v>51</v>
      </c>
      <c r="T28" s="144"/>
    </row>
    <row r="29" spans="1:20" s="34" customFormat="1" ht="174.95" customHeight="1" x14ac:dyDescent="0.25">
      <c r="A29" s="31">
        <v>16</v>
      </c>
      <c r="B29" s="23" t="s">
        <v>711</v>
      </c>
      <c r="C29" s="194" t="s">
        <v>715</v>
      </c>
      <c r="D29" s="195"/>
      <c r="E29" s="195"/>
      <c r="F29" s="196"/>
      <c r="G29" s="32" t="s">
        <v>716</v>
      </c>
      <c r="H29" s="25" t="s">
        <v>717</v>
      </c>
      <c r="I29" s="33">
        <v>1</v>
      </c>
      <c r="J29" s="33">
        <v>0</v>
      </c>
      <c r="K29" s="33">
        <v>0</v>
      </c>
      <c r="L29" s="33">
        <v>0</v>
      </c>
      <c r="M29" s="33">
        <v>0</v>
      </c>
      <c r="N29" s="33">
        <v>0</v>
      </c>
      <c r="O29" s="191" t="s">
        <v>54</v>
      </c>
      <c r="P29" s="192"/>
      <c r="Q29" s="192"/>
      <c r="R29" s="193"/>
      <c r="S29" s="29" t="s">
        <v>61</v>
      </c>
      <c r="T29" s="145"/>
    </row>
    <row r="30" spans="1:20" s="34" customFormat="1" ht="127.5" customHeight="1" x14ac:dyDescent="0.25">
      <c r="A30" s="22">
        <v>17</v>
      </c>
      <c r="B30" s="37" t="s">
        <v>718</v>
      </c>
      <c r="C30" s="194" t="s">
        <v>719</v>
      </c>
      <c r="D30" s="195"/>
      <c r="E30" s="195"/>
      <c r="F30" s="196"/>
      <c r="G30" s="32" t="s">
        <v>720</v>
      </c>
      <c r="H30" s="25" t="s">
        <v>721</v>
      </c>
      <c r="I30" s="33">
        <v>1</v>
      </c>
      <c r="J30" s="33">
        <v>0</v>
      </c>
      <c r="K30" s="33">
        <v>0</v>
      </c>
      <c r="L30" s="33">
        <v>0</v>
      </c>
      <c r="M30" s="33">
        <v>0</v>
      </c>
      <c r="N30" s="33">
        <v>0</v>
      </c>
      <c r="O30" s="188" t="s">
        <v>54</v>
      </c>
      <c r="P30" s="189"/>
      <c r="Q30" s="189"/>
      <c r="R30" s="190"/>
      <c r="S30" s="29" t="s">
        <v>51</v>
      </c>
      <c r="T30" s="144"/>
    </row>
    <row r="31" spans="1:20" ht="119.25" customHeight="1" x14ac:dyDescent="0.25">
      <c r="A31" s="31">
        <v>18</v>
      </c>
      <c r="B31" s="23" t="s">
        <v>722</v>
      </c>
      <c r="C31" s="194" t="s">
        <v>723</v>
      </c>
      <c r="D31" s="195"/>
      <c r="E31" s="195"/>
      <c r="F31" s="196"/>
      <c r="G31" s="24" t="s">
        <v>725</v>
      </c>
      <c r="H31" s="25" t="s">
        <v>724</v>
      </c>
      <c r="I31" s="26">
        <v>1</v>
      </c>
      <c r="J31" s="26">
        <v>0</v>
      </c>
      <c r="K31" s="26">
        <v>0</v>
      </c>
      <c r="L31" s="27">
        <v>0</v>
      </c>
      <c r="M31" s="28">
        <v>0</v>
      </c>
      <c r="N31" s="28">
        <v>0</v>
      </c>
      <c r="O31" s="188" t="s">
        <v>54</v>
      </c>
      <c r="P31" s="189"/>
      <c r="Q31" s="189"/>
      <c r="R31" s="190"/>
      <c r="S31" s="29" t="s">
        <v>51</v>
      </c>
      <c r="T31" s="145"/>
    </row>
    <row r="32" spans="1:20" ht="108" x14ac:dyDescent="0.25">
      <c r="A32" s="22">
        <v>19</v>
      </c>
      <c r="B32" s="23" t="s">
        <v>722</v>
      </c>
      <c r="C32" s="194" t="s">
        <v>726</v>
      </c>
      <c r="D32" s="195"/>
      <c r="E32" s="195"/>
      <c r="F32" s="196"/>
      <c r="G32" s="32" t="s">
        <v>727</v>
      </c>
      <c r="H32" s="25" t="s">
        <v>728</v>
      </c>
      <c r="I32" s="33">
        <v>1</v>
      </c>
      <c r="J32" s="33">
        <v>0</v>
      </c>
      <c r="K32" s="33">
        <v>0</v>
      </c>
      <c r="L32" s="33">
        <v>0</v>
      </c>
      <c r="M32" s="33">
        <v>0</v>
      </c>
      <c r="N32" s="33">
        <v>0</v>
      </c>
      <c r="O32" s="191" t="s">
        <v>54</v>
      </c>
      <c r="P32" s="192"/>
      <c r="Q32" s="192"/>
      <c r="R32" s="193"/>
      <c r="S32" s="29" t="s">
        <v>53</v>
      </c>
      <c r="T32" s="144"/>
    </row>
    <row r="33" spans="1:20" s="38" customFormat="1" ht="148.5" customHeight="1" x14ac:dyDescent="0.2">
      <c r="A33" s="31">
        <v>20</v>
      </c>
      <c r="B33" s="25" t="s">
        <v>729</v>
      </c>
      <c r="C33" s="194" t="s">
        <v>730</v>
      </c>
      <c r="D33" s="195"/>
      <c r="E33" s="195"/>
      <c r="F33" s="196"/>
      <c r="G33" s="35" t="s">
        <v>732</v>
      </c>
      <c r="H33" s="25" t="s">
        <v>731</v>
      </c>
      <c r="I33" s="33">
        <v>1</v>
      </c>
      <c r="J33" s="33">
        <v>0</v>
      </c>
      <c r="K33" s="33">
        <v>0</v>
      </c>
      <c r="L33" s="33">
        <v>0</v>
      </c>
      <c r="M33" s="33">
        <v>0</v>
      </c>
      <c r="N33" s="33">
        <v>0</v>
      </c>
      <c r="O33" s="191" t="s">
        <v>52</v>
      </c>
      <c r="P33" s="192"/>
      <c r="Q33" s="192"/>
      <c r="R33" s="193"/>
      <c r="S33" s="29" t="s">
        <v>51</v>
      </c>
      <c r="T33" s="145"/>
    </row>
    <row r="34" spans="1:20" s="38" customFormat="1" ht="174.95" customHeight="1" x14ac:dyDescent="0.2">
      <c r="A34" s="22">
        <v>21</v>
      </c>
      <c r="B34" s="23" t="s">
        <v>733</v>
      </c>
      <c r="C34" s="194" t="s">
        <v>734</v>
      </c>
      <c r="D34" s="195"/>
      <c r="E34" s="195"/>
      <c r="F34" s="196"/>
      <c r="G34" s="32" t="s">
        <v>736</v>
      </c>
      <c r="H34" s="25" t="s">
        <v>735</v>
      </c>
      <c r="I34" s="33">
        <v>1</v>
      </c>
      <c r="J34" s="33">
        <v>0</v>
      </c>
      <c r="K34" s="33">
        <v>0</v>
      </c>
      <c r="L34" s="33">
        <v>0</v>
      </c>
      <c r="M34" s="33">
        <v>0</v>
      </c>
      <c r="N34" s="33">
        <v>0</v>
      </c>
      <c r="O34" s="191" t="s">
        <v>54</v>
      </c>
      <c r="P34" s="192"/>
      <c r="Q34" s="192"/>
      <c r="R34" s="193"/>
      <c r="S34" s="29" t="s">
        <v>60</v>
      </c>
      <c r="T34" s="144"/>
    </row>
    <row r="35" spans="1:20" ht="144" customHeight="1" x14ac:dyDescent="0.25">
      <c r="A35" s="31">
        <v>22</v>
      </c>
      <c r="B35" s="23" t="s">
        <v>737</v>
      </c>
      <c r="C35" s="194" t="s">
        <v>738</v>
      </c>
      <c r="D35" s="195"/>
      <c r="E35" s="195"/>
      <c r="F35" s="196"/>
      <c r="G35" s="32" t="s">
        <v>739</v>
      </c>
      <c r="H35" s="25" t="s">
        <v>740</v>
      </c>
      <c r="I35" s="33">
        <v>1</v>
      </c>
      <c r="J35" s="33">
        <v>0</v>
      </c>
      <c r="K35" s="33">
        <v>0</v>
      </c>
      <c r="L35" s="33">
        <v>0</v>
      </c>
      <c r="M35" s="33">
        <v>0</v>
      </c>
      <c r="N35" s="33">
        <v>0</v>
      </c>
      <c r="O35" s="191" t="s">
        <v>54</v>
      </c>
      <c r="P35" s="192"/>
      <c r="Q35" s="192"/>
      <c r="R35" s="193"/>
      <c r="S35" s="29" t="s">
        <v>51</v>
      </c>
      <c r="T35" s="145"/>
    </row>
    <row r="36" spans="1:20" ht="127.5" customHeight="1" x14ac:dyDescent="0.25">
      <c r="A36" s="22">
        <v>23</v>
      </c>
      <c r="B36" s="23" t="s">
        <v>741</v>
      </c>
      <c r="C36" s="194" t="s">
        <v>742</v>
      </c>
      <c r="D36" s="195"/>
      <c r="E36" s="195"/>
      <c r="F36" s="196"/>
      <c r="G36" s="29" t="s">
        <v>744</v>
      </c>
      <c r="H36" s="25" t="s">
        <v>743</v>
      </c>
      <c r="I36" s="33">
        <v>1</v>
      </c>
      <c r="J36" s="33">
        <v>0</v>
      </c>
      <c r="K36" s="33">
        <v>0</v>
      </c>
      <c r="L36" s="33">
        <v>0</v>
      </c>
      <c r="M36" s="33">
        <v>0</v>
      </c>
      <c r="N36" s="33">
        <v>0</v>
      </c>
      <c r="O36" s="188" t="s">
        <v>54</v>
      </c>
      <c r="P36" s="189"/>
      <c r="Q36" s="189"/>
      <c r="R36" s="190"/>
      <c r="S36" s="29" t="s">
        <v>51</v>
      </c>
      <c r="T36" s="144"/>
    </row>
    <row r="37" spans="1:20" ht="130.5" customHeight="1" x14ac:dyDescent="0.25">
      <c r="A37" s="31">
        <v>24</v>
      </c>
      <c r="B37" s="23" t="s">
        <v>745</v>
      </c>
      <c r="C37" s="194" t="s">
        <v>746</v>
      </c>
      <c r="D37" s="195"/>
      <c r="E37" s="195"/>
      <c r="F37" s="196"/>
      <c r="G37" s="29" t="s">
        <v>747</v>
      </c>
      <c r="H37" s="25" t="s">
        <v>748</v>
      </c>
      <c r="I37" s="33">
        <v>1</v>
      </c>
      <c r="J37" s="33">
        <v>0</v>
      </c>
      <c r="K37" s="33">
        <v>0</v>
      </c>
      <c r="L37" s="33">
        <v>0</v>
      </c>
      <c r="M37" s="33">
        <v>0</v>
      </c>
      <c r="N37" s="33">
        <v>0</v>
      </c>
      <c r="O37" s="188" t="s">
        <v>50</v>
      </c>
      <c r="P37" s="189"/>
      <c r="Q37" s="189"/>
      <c r="R37" s="190"/>
      <c r="S37" s="29" t="s">
        <v>51</v>
      </c>
      <c r="T37" s="145"/>
    </row>
    <row r="38" spans="1:20" ht="123.75" customHeight="1" x14ac:dyDescent="0.25">
      <c r="A38" s="22">
        <v>25</v>
      </c>
      <c r="B38" s="23" t="s">
        <v>745</v>
      </c>
      <c r="C38" s="194" t="s">
        <v>749</v>
      </c>
      <c r="D38" s="195"/>
      <c r="E38" s="195"/>
      <c r="F38" s="196"/>
      <c r="G38" s="32" t="s">
        <v>751</v>
      </c>
      <c r="H38" s="25" t="s">
        <v>750</v>
      </c>
      <c r="I38" s="33">
        <v>1</v>
      </c>
      <c r="J38" s="33">
        <v>0</v>
      </c>
      <c r="K38" s="33">
        <v>0</v>
      </c>
      <c r="L38" s="33">
        <v>0</v>
      </c>
      <c r="M38" s="33">
        <v>0</v>
      </c>
      <c r="N38" s="33">
        <v>0</v>
      </c>
      <c r="O38" s="191" t="s">
        <v>54</v>
      </c>
      <c r="P38" s="192"/>
      <c r="Q38" s="192"/>
      <c r="R38" s="193"/>
      <c r="S38" s="29" t="s">
        <v>51</v>
      </c>
      <c r="T38" s="144"/>
    </row>
    <row r="39" spans="1:20" ht="135" customHeight="1" x14ac:dyDescent="0.25">
      <c r="A39" s="31">
        <v>26</v>
      </c>
      <c r="B39" s="25" t="s">
        <v>752</v>
      </c>
      <c r="C39" s="194" t="s">
        <v>753</v>
      </c>
      <c r="D39" s="195"/>
      <c r="E39" s="195"/>
      <c r="F39" s="196"/>
      <c r="G39" s="36" t="s">
        <v>755</v>
      </c>
      <c r="H39" s="25" t="s">
        <v>754</v>
      </c>
      <c r="I39" s="33">
        <v>1</v>
      </c>
      <c r="J39" s="33">
        <v>0</v>
      </c>
      <c r="K39" s="33">
        <v>0</v>
      </c>
      <c r="L39" s="33">
        <v>0</v>
      </c>
      <c r="M39" s="33">
        <v>0</v>
      </c>
      <c r="N39" s="33">
        <v>0</v>
      </c>
      <c r="O39" s="188" t="s">
        <v>54</v>
      </c>
      <c r="P39" s="189"/>
      <c r="Q39" s="189"/>
      <c r="R39" s="190"/>
      <c r="S39" s="29" t="s">
        <v>49</v>
      </c>
      <c r="T39" s="145"/>
    </row>
    <row r="40" spans="1:20" ht="135" customHeight="1" x14ac:dyDescent="0.25">
      <c r="A40" s="22">
        <v>27</v>
      </c>
      <c r="B40" s="25" t="s">
        <v>756</v>
      </c>
      <c r="C40" s="194" t="s">
        <v>757</v>
      </c>
      <c r="D40" s="195"/>
      <c r="E40" s="195"/>
      <c r="F40" s="196"/>
      <c r="G40" s="32" t="s">
        <v>758</v>
      </c>
      <c r="H40" s="25" t="s">
        <v>759</v>
      </c>
      <c r="I40" s="33">
        <v>1</v>
      </c>
      <c r="J40" s="33">
        <v>0</v>
      </c>
      <c r="K40" s="33">
        <v>0</v>
      </c>
      <c r="L40" s="33">
        <v>0</v>
      </c>
      <c r="M40" s="33">
        <v>0</v>
      </c>
      <c r="N40" s="33">
        <v>0</v>
      </c>
      <c r="O40" s="191" t="s">
        <v>50</v>
      </c>
      <c r="P40" s="192"/>
      <c r="Q40" s="192"/>
      <c r="R40" s="193"/>
      <c r="S40" s="29" t="s">
        <v>51</v>
      </c>
      <c r="T40" s="144"/>
    </row>
    <row r="41" spans="1:20" ht="146.25" customHeight="1" x14ac:dyDescent="0.25">
      <c r="A41" s="31">
        <v>28</v>
      </c>
      <c r="B41" s="23" t="s">
        <v>756</v>
      </c>
      <c r="C41" s="194" t="s">
        <v>760</v>
      </c>
      <c r="D41" s="195"/>
      <c r="E41" s="195"/>
      <c r="F41" s="196"/>
      <c r="G41" s="32" t="s">
        <v>762</v>
      </c>
      <c r="H41" s="25" t="s">
        <v>761</v>
      </c>
      <c r="I41" s="33">
        <v>1</v>
      </c>
      <c r="J41" s="33">
        <v>0</v>
      </c>
      <c r="K41" s="33">
        <v>0</v>
      </c>
      <c r="L41" s="33">
        <v>0</v>
      </c>
      <c r="M41" s="33">
        <v>0</v>
      </c>
      <c r="N41" s="33">
        <v>0</v>
      </c>
      <c r="O41" s="191" t="s">
        <v>55</v>
      </c>
      <c r="P41" s="192"/>
      <c r="Q41" s="192"/>
      <c r="R41" s="193"/>
      <c r="S41" s="29" t="s">
        <v>51</v>
      </c>
      <c r="T41" s="145"/>
    </row>
    <row r="42" spans="1:20" ht="174.95" customHeight="1" x14ac:dyDescent="0.25">
      <c r="A42" s="22">
        <v>29</v>
      </c>
      <c r="B42" s="23" t="s">
        <v>763</v>
      </c>
      <c r="C42" s="194" t="s">
        <v>764</v>
      </c>
      <c r="D42" s="195"/>
      <c r="E42" s="195"/>
      <c r="F42" s="196"/>
      <c r="G42" s="32" t="s">
        <v>765</v>
      </c>
      <c r="H42" s="25" t="s">
        <v>766</v>
      </c>
      <c r="I42" s="33">
        <v>1</v>
      </c>
      <c r="J42" s="33">
        <v>0</v>
      </c>
      <c r="K42" s="33">
        <v>0</v>
      </c>
      <c r="L42" s="33">
        <v>0</v>
      </c>
      <c r="M42" s="33">
        <v>0</v>
      </c>
      <c r="N42" s="33">
        <v>0</v>
      </c>
      <c r="O42" s="188" t="s">
        <v>54</v>
      </c>
      <c r="P42" s="189"/>
      <c r="Q42" s="189"/>
      <c r="R42" s="190"/>
      <c r="S42" s="29" t="s">
        <v>51</v>
      </c>
      <c r="T42" s="144"/>
    </row>
    <row r="43" spans="1:20" ht="174.95" customHeight="1" x14ac:dyDescent="0.25">
      <c r="A43" s="31">
        <v>30</v>
      </c>
      <c r="B43" s="23" t="s">
        <v>767</v>
      </c>
      <c r="C43" s="194" t="s">
        <v>768</v>
      </c>
      <c r="D43" s="195"/>
      <c r="E43" s="195"/>
      <c r="F43" s="196"/>
      <c r="G43" s="32" t="s">
        <v>769</v>
      </c>
      <c r="H43" s="25" t="s">
        <v>770</v>
      </c>
      <c r="I43" s="33">
        <v>1</v>
      </c>
      <c r="J43" s="33">
        <v>0</v>
      </c>
      <c r="K43" s="33">
        <v>0</v>
      </c>
      <c r="L43" s="33">
        <v>0</v>
      </c>
      <c r="M43" s="33">
        <v>0</v>
      </c>
      <c r="N43" s="33">
        <v>0</v>
      </c>
      <c r="O43" s="188" t="s">
        <v>54</v>
      </c>
      <c r="P43" s="189"/>
      <c r="Q43" s="189"/>
      <c r="R43" s="190"/>
      <c r="S43" s="29" t="s">
        <v>53</v>
      </c>
      <c r="T43" s="145"/>
    </row>
    <row r="44" spans="1:20" ht="174.95" customHeight="1" x14ac:dyDescent="0.25">
      <c r="A44" s="22">
        <v>31</v>
      </c>
      <c r="B44" s="23" t="s">
        <v>771</v>
      </c>
      <c r="C44" s="194" t="s">
        <v>772</v>
      </c>
      <c r="D44" s="195"/>
      <c r="E44" s="195"/>
      <c r="F44" s="196"/>
      <c r="G44" s="32" t="s">
        <v>773</v>
      </c>
      <c r="H44" s="25" t="s">
        <v>774</v>
      </c>
      <c r="I44" s="33">
        <v>1</v>
      </c>
      <c r="J44" s="33">
        <v>0</v>
      </c>
      <c r="K44" s="33">
        <v>0</v>
      </c>
      <c r="L44" s="33">
        <v>0</v>
      </c>
      <c r="M44" s="33">
        <v>0</v>
      </c>
      <c r="N44" s="33">
        <v>0</v>
      </c>
      <c r="O44" s="188" t="s">
        <v>54</v>
      </c>
      <c r="P44" s="189"/>
      <c r="Q44" s="189"/>
      <c r="R44" s="190"/>
      <c r="S44" s="29" t="s">
        <v>49</v>
      </c>
      <c r="T44" s="144"/>
    </row>
    <row r="45" spans="1:20" ht="174.95" customHeight="1" x14ac:dyDescent="0.25">
      <c r="A45" s="31">
        <v>32</v>
      </c>
      <c r="B45" s="23" t="s">
        <v>775</v>
      </c>
      <c r="C45" s="194" t="s">
        <v>776</v>
      </c>
      <c r="D45" s="195"/>
      <c r="E45" s="195"/>
      <c r="F45" s="196"/>
      <c r="G45" s="32" t="s">
        <v>778</v>
      </c>
      <c r="H45" s="25" t="s">
        <v>777</v>
      </c>
      <c r="I45" s="33">
        <v>1</v>
      </c>
      <c r="J45" s="33">
        <v>0</v>
      </c>
      <c r="K45" s="33">
        <v>0</v>
      </c>
      <c r="L45" s="33">
        <v>0</v>
      </c>
      <c r="M45" s="33">
        <v>0</v>
      </c>
      <c r="N45" s="33">
        <v>0</v>
      </c>
      <c r="O45" s="188" t="s">
        <v>54</v>
      </c>
      <c r="P45" s="189"/>
      <c r="Q45" s="189"/>
      <c r="R45" s="190"/>
      <c r="S45" s="29" t="s">
        <v>56</v>
      </c>
      <c r="T45" s="145"/>
    </row>
    <row r="46" spans="1:20" ht="193.5" customHeight="1" x14ac:dyDescent="0.25">
      <c r="A46" s="22">
        <v>33</v>
      </c>
      <c r="B46" s="23" t="s">
        <v>779</v>
      </c>
      <c r="C46" s="194" t="s">
        <v>780</v>
      </c>
      <c r="D46" s="195"/>
      <c r="E46" s="195"/>
      <c r="F46" s="196"/>
      <c r="G46" s="32" t="s">
        <v>782</v>
      </c>
      <c r="H46" s="25" t="s">
        <v>781</v>
      </c>
      <c r="I46" s="33">
        <v>1</v>
      </c>
      <c r="J46" s="33">
        <v>0</v>
      </c>
      <c r="K46" s="33">
        <v>0</v>
      </c>
      <c r="L46" s="33">
        <v>0</v>
      </c>
      <c r="M46" s="33">
        <v>0</v>
      </c>
      <c r="N46" s="33">
        <v>0</v>
      </c>
      <c r="O46" s="188" t="s">
        <v>55</v>
      </c>
      <c r="P46" s="189"/>
      <c r="Q46" s="189"/>
      <c r="R46" s="190"/>
      <c r="S46" s="29" t="s">
        <v>51</v>
      </c>
      <c r="T46" s="144"/>
    </row>
    <row r="47" spans="1:20" ht="135" customHeight="1" x14ac:dyDescent="0.25">
      <c r="A47" s="31">
        <v>34</v>
      </c>
      <c r="B47" s="39" t="s">
        <v>783</v>
      </c>
      <c r="C47" s="194" t="s">
        <v>784</v>
      </c>
      <c r="D47" s="195"/>
      <c r="E47" s="195"/>
      <c r="F47" s="196"/>
      <c r="G47" s="35" t="s">
        <v>786</v>
      </c>
      <c r="H47" s="40" t="s">
        <v>785</v>
      </c>
      <c r="I47" s="28">
        <v>1</v>
      </c>
      <c r="J47" s="28">
        <v>0</v>
      </c>
      <c r="K47" s="28">
        <v>0</v>
      </c>
      <c r="L47" s="28">
        <v>0</v>
      </c>
      <c r="M47" s="28">
        <v>0</v>
      </c>
      <c r="N47" s="28">
        <v>0</v>
      </c>
      <c r="O47" s="188" t="s">
        <v>54</v>
      </c>
      <c r="P47" s="189"/>
      <c r="Q47" s="189"/>
      <c r="R47" s="190"/>
      <c r="S47" s="27" t="s">
        <v>53</v>
      </c>
      <c r="T47" s="145"/>
    </row>
    <row r="48" spans="1:20" ht="135" customHeight="1" x14ac:dyDescent="0.25">
      <c r="A48" s="22">
        <v>35</v>
      </c>
      <c r="B48" s="41" t="s">
        <v>787</v>
      </c>
      <c r="C48" s="194" t="s">
        <v>788</v>
      </c>
      <c r="D48" s="195"/>
      <c r="E48" s="195"/>
      <c r="F48" s="196"/>
      <c r="G48" s="32" t="s">
        <v>790</v>
      </c>
      <c r="H48" s="25" t="s">
        <v>789</v>
      </c>
      <c r="I48" s="33">
        <v>1</v>
      </c>
      <c r="J48" s="33">
        <v>0</v>
      </c>
      <c r="K48" s="33">
        <v>0</v>
      </c>
      <c r="L48" s="33">
        <v>0</v>
      </c>
      <c r="M48" s="33">
        <v>0</v>
      </c>
      <c r="N48" s="33">
        <v>0</v>
      </c>
      <c r="O48" s="188" t="s">
        <v>55</v>
      </c>
      <c r="P48" s="189"/>
      <c r="Q48" s="189"/>
      <c r="R48" s="190"/>
      <c r="S48" s="29" t="s">
        <v>51</v>
      </c>
      <c r="T48" s="144"/>
    </row>
    <row r="49" spans="1:20" ht="135" customHeight="1" x14ac:dyDescent="0.25">
      <c r="A49" s="31">
        <v>36</v>
      </c>
      <c r="B49" s="41" t="s">
        <v>791</v>
      </c>
      <c r="C49" s="194" t="s">
        <v>792</v>
      </c>
      <c r="D49" s="195"/>
      <c r="E49" s="195"/>
      <c r="F49" s="196"/>
      <c r="G49" s="42" t="s">
        <v>794</v>
      </c>
      <c r="H49" s="40" t="s">
        <v>793</v>
      </c>
      <c r="I49" s="43">
        <v>1</v>
      </c>
      <c r="J49" s="43">
        <v>0</v>
      </c>
      <c r="K49" s="43">
        <v>0</v>
      </c>
      <c r="L49" s="43">
        <v>0</v>
      </c>
      <c r="M49" s="43">
        <v>0</v>
      </c>
      <c r="N49" s="43">
        <v>0</v>
      </c>
      <c r="O49" s="188" t="s">
        <v>65</v>
      </c>
      <c r="P49" s="189"/>
      <c r="Q49" s="189"/>
      <c r="R49" s="190"/>
      <c r="S49" s="24" t="s">
        <v>51</v>
      </c>
      <c r="T49" s="145"/>
    </row>
    <row r="50" spans="1:20" ht="174.95" customHeight="1" x14ac:dyDescent="0.25">
      <c r="A50" s="22">
        <v>37</v>
      </c>
      <c r="B50" s="23" t="s">
        <v>796</v>
      </c>
      <c r="C50" s="194" t="s">
        <v>797</v>
      </c>
      <c r="D50" s="195"/>
      <c r="E50" s="195"/>
      <c r="F50" s="196"/>
      <c r="G50" s="32" t="s">
        <v>798</v>
      </c>
      <c r="H50" s="25" t="s">
        <v>799</v>
      </c>
      <c r="I50" s="33">
        <v>1</v>
      </c>
      <c r="J50" s="33">
        <v>0</v>
      </c>
      <c r="K50" s="33">
        <v>0</v>
      </c>
      <c r="L50" s="33">
        <v>0</v>
      </c>
      <c r="M50" s="33">
        <v>0</v>
      </c>
      <c r="N50" s="33">
        <v>0</v>
      </c>
      <c r="O50" s="188" t="s">
        <v>48</v>
      </c>
      <c r="P50" s="189"/>
      <c r="Q50" s="189"/>
      <c r="R50" s="190"/>
      <c r="S50" s="29" t="s">
        <v>51</v>
      </c>
    </row>
    <row r="51" spans="1:20" ht="174.95" customHeight="1" x14ac:dyDescent="0.25">
      <c r="A51" s="31">
        <v>38</v>
      </c>
      <c r="B51" s="23" t="s">
        <v>800</v>
      </c>
      <c r="C51" s="194" t="s">
        <v>801</v>
      </c>
      <c r="D51" s="195"/>
      <c r="E51" s="195"/>
      <c r="F51" s="196"/>
      <c r="G51" s="32" t="s">
        <v>803</v>
      </c>
      <c r="H51" s="25" t="s">
        <v>802</v>
      </c>
      <c r="I51" s="33">
        <v>1</v>
      </c>
      <c r="J51" s="33">
        <v>0</v>
      </c>
      <c r="K51" s="33">
        <v>0</v>
      </c>
      <c r="L51" s="33">
        <v>0</v>
      </c>
      <c r="M51" s="33">
        <v>0</v>
      </c>
      <c r="N51" s="33">
        <v>0</v>
      </c>
      <c r="O51" s="188" t="s">
        <v>48</v>
      </c>
      <c r="P51" s="189"/>
      <c r="Q51" s="189"/>
      <c r="R51" s="190"/>
      <c r="S51" s="29" t="s">
        <v>51</v>
      </c>
    </row>
    <row r="52" spans="1:20" ht="184.5" customHeight="1" x14ac:dyDescent="0.25">
      <c r="A52" s="22">
        <v>39</v>
      </c>
      <c r="B52" s="23" t="s">
        <v>804</v>
      </c>
      <c r="C52" s="194" t="s">
        <v>805</v>
      </c>
      <c r="D52" s="195"/>
      <c r="E52" s="195"/>
      <c r="F52" s="196"/>
      <c r="G52" s="24" t="s">
        <v>807</v>
      </c>
      <c r="H52" s="25" t="s">
        <v>806</v>
      </c>
      <c r="I52" s="26">
        <v>1</v>
      </c>
      <c r="J52" s="26">
        <v>0</v>
      </c>
      <c r="K52" s="26">
        <v>0</v>
      </c>
      <c r="L52" s="27">
        <v>0</v>
      </c>
      <c r="M52" s="28">
        <v>0</v>
      </c>
      <c r="N52" s="28">
        <v>0</v>
      </c>
      <c r="O52" s="188" t="s">
        <v>50</v>
      </c>
      <c r="P52" s="189"/>
      <c r="Q52" s="189"/>
      <c r="R52" s="190"/>
      <c r="S52" s="29" t="s">
        <v>51</v>
      </c>
    </row>
    <row r="53" spans="1:20" ht="174.95" customHeight="1" x14ac:dyDescent="0.25">
      <c r="A53" s="31">
        <v>40</v>
      </c>
      <c r="B53" s="23" t="s">
        <v>804</v>
      </c>
      <c r="C53" s="194" t="s">
        <v>808</v>
      </c>
      <c r="D53" s="195"/>
      <c r="E53" s="195"/>
      <c r="F53" s="196"/>
      <c r="G53" s="32" t="s">
        <v>810</v>
      </c>
      <c r="H53" s="25" t="s">
        <v>809</v>
      </c>
      <c r="I53" s="33">
        <v>1</v>
      </c>
      <c r="J53" s="33">
        <v>0</v>
      </c>
      <c r="K53" s="33">
        <v>0</v>
      </c>
      <c r="L53" s="33">
        <v>0</v>
      </c>
      <c r="M53" s="33">
        <v>0</v>
      </c>
      <c r="N53" s="33">
        <v>0</v>
      </c>
      <c r="O53" s="191" t="s">
        <v>54</v>
      </c>
      <c r="P53" s="192"/>
      <c r="Q53" s="192"/>
      <c r="R53" s="193"/>
      <c r="S53" s="29" t="s">
        <v>61</v>
      </c>
    </row>
    <row r="54" spans="1:20" ht="150" customHeight="1" x14ac:dyDescent="0.25">
      <c r="A54" s="22">
        <v>41</v>
      </c>
      <c r="B54" s="23" t="s">
        <v>811</v>
      </c>
      <c r="C54" s="194" t="s">
        <v>812</v>
      </c>
      <c r="D54" s="195"/>
      <c r="E54" s="195"/>
      <c r="F54" s="196"/>
      <c r="G54" s="32" t="s">
        <v>814</v>
      </c>
      <c r="H54" s="25" t="s">
        <v>813</v>
      </c>
      <c r="I54" s="33">
        <v>1</v>
      </c>
      <c r="J54" s="33">
        <v>0</v>
      </c>
      <c r="K54" s="33">
        <v>0</v>
      </c>
      <c r="L54" s="33">
        <v>0</v>
      </c>
      <c r="M54" s="33">
        <v>0</v>
      </c>
      <c r="N54" s="33">
        <v>0</v>
      </c>
      <c r="O54" s="191" t="s">
        <v>815</v>
      </c>
      <c r="P54" s="192"/>
      <c r="Q54" s="192"/>
      <c r="R54" s="193"/>
      <c r="S54" s="29" t="s">
        <v>53</v>
      </c>
    </row>
    <row r="55" spans="1:20" ht="174.95" customHeight="1" x14ac:dyDescent="0.25">
      <c r="A55" s="31">
        <v>42</v>
      </c>
      <c r="B55" s="23" t="s">
        <v>816</v>
      </c>
      <c r="C55" s="194" t="s">
        <v>817</v>
      </c>
      <c r="D55" s="195"/>
      <c r="E55" s="195"/>
      <c r="F55" s="196"/>
      <c r="G55" s="32" t="s">
        <v>819</v>
      </c>
      <c r="H55" s="25" t="s">
        <v>818</v>
      </c>
      <c r="I55" s="33">
        <v>1</v>
      </c>
      <c r="J55" s="33">
        <v>0</v>
      </c>
      <c r="K55" s="33">
        <v>0</v>
      </c>
      <c r="L55" s="33">
        <v>0</v>
      </c>
      <c r="M55" s="33">
        <v>0</v>
      </c>
      <c r="N55" s="33">
        <v>0</v>
      </c>
      <c r="O55" s="191" t="s">
        <v>48</v>
      </c>
      <c r="P55" s="192"/>
      <c r="Q55" s="192"/>
      <c r="R55" s="193"/>
      <c r="S55" s="29" t="s">
        <v>51</v>
      </c>
    </row>
    <row r="56" spans="1:20" ht="135" customHeight="1" x14ac:dyDescent="0.25">
      <c r="A56" s="22">
        <v>43</v>
      </c>
      <c r="B56" s="23" t="s">
        <v>820</v>
      </c>
      <c r="C56" s="194" t="s">
        <v>821</v>
      </c>
      <c r="D56" s="195"/>
      <c r="E56" s="195"/>
      <c r="F56" s="196"/>
      <c r="G56" s="32" t="s">
        <v>823</v>
      </c>
      <c r="H56" s="25" t="s">
        <v>822</v>
      </c>
      <c r="I56" s="33">
        <v>1</v>
      </c>
      <c r="J56" s="33">
        <v>0</v>
      </c>
      <c r="K56" s="33">
        <v>0</v>
      </c>
      <c r="L56" s="33">
        <v>0</v>
      </c>
      <c r="M56" s="33">
        <v>0</v>
      </c>
      <c r="N56" s="33">
        <v>0</v>
      </c>
      <c r="O56" s="191" t="s">
        <v>50</v>
      </c>
      <c r="P56" s="192"/>
      <c r="Q56" s="192"/>
      <c r="R56" s="193"/>
      <c r="S56" s="29" t="s">
        <v>51</v>
      </c>
    </row>
    <row r="57" spans="1:20" ht="135" customHeight="1" x14ac:dyDescent="0.25">
      <c r="A57" s="31">
        <v>44</v>
      </c>
      <c r="B57" s="23" t="s">
        <v>820</v>
      </c>
      <c r="C57" s="194" t="s">
        <v>824</v>
      </c>
      <c r="D57" s="195"/>
      <c r="E57" s="195"/>
      <c r="F57" s="196"/>
      <c r="G57" s="32" t="s">
        <v>826</v>
      </c>
      <c r="H57" s="25" t="s">
        <v>825</v>
      </c>
      <c r="I57" s="33">
        <v>1</v>
      </c>
      <c r="J57" s="33">
        <v>0</v>
      </c>
      <c r="K57" s="33">
        <v>0</v>
      </c>
      <c r="L57" s="33">
        <v>0</v>
      </c>
      <c r="M57" s="33">
        <v>0</v>
      </c>
      <c r="N57" s="33">
        <v>0</v>
      </c>
      <c r="O57" s="191" t="s">
        <v>48</v>
      </c>
      <c r="P57" s="192"/>
      <c r="Q57" s="192"/>
      <c r="R57" s="193"/>
      <c r="S57" s="29" t="s">
        <v>51</v>
      </c>
    </row>
    <row r="58" spans="1:20" ht="189.75" customHeight="1" x14ac:dyDescent="0.25">
      <c r="A58" s="22">
        <v>45</v>
      </c>
      <c r="B58" s="23" t="s">
        <v>827</v>
      </c>
      <c r="C58" s="194" t="s">
        <v>828</v>
      </c>
      <c r="D58" s="195"/>
      <c r="E58" s="195"/>
      <c r="F58" s="196"/>
      <c r="G58" s="24" t="s">
        <v>830</v>
      </c>
      <c r="H58" s="25" t="s">
        <v>829</v>
      </c>
      <c r="I58" s="33">
        <v>1</v>
      </c>
      <c r="J58" s="33">
        <v>0</v>
      </c>
      <c r="K58" s="33">
        <v>0</v>
      </c>
      <c r="L58" s="33">
        <v>0</v>
      </c>
      <c r="M58" s="33">
        <v>0</v>
      </c>
      <c r="N58" s="33">
        <v>0</v>
      </c>
      <c r="O58" s="188" t="s">
        <v>48</v>
      </c>
      <c r="P58" s="189"/>
      <c r="Q58" s="189"/>
      <c r="R58" s="190"/>
      <c r="S58" s="29" t="s">
        <v>49</v>
      </c>
    </row>
    <row r="59" spans="1:20" ht="174.95" customHeight="1" x14ac:dyDescent="0.25">
      <c r="A59" s="31">
        <v>46</v>
      </c>
      <c r="B59" s="23" t="s">
        <v>831</v>
      </c>
      <c r="C59" s="194" t="s">
        <v>832</v>
      </c>
      <c r="D59" s="195"/>
      <c r="E59" s="195"/>
      <c r="F59" s="196"/>
      <c r="G59" s="32" t="s">
        <v>834</v>
      </c>
      <c r="H59" s="25" t="s">
        <v>833</v>
      </c>
      <c r="I59" s="33">
        <v>1</v>
      </c>
      <c r="J59" s="33">
        <v>0</v>
      </c>
      <c r="K59" s="33">
        <v>0</v>
      </c>
      <c r="L59" s="33">
        <v>0</v>
      </c>
      <c r="M59" s="33">
        <v>0</v>
      </c>
      <c r="N59" s="33">
        <v>0</v>
      </c>
      <c r="O59" s="188" t="s">
        <v>48</v>
      </c>
      <c r="P59" s="189"/>
      <c r="Q59" s="189"/>
      <c r="R59" s="190"/>
      <c r="S59" s="29" t="s">
        <v>51</v>
      </c>
    </row>
    <row r="60" spans="1:20" ht="174.95" customHeight="1" x14ac:dyDescent="0.25">
      <c r="A60" s="22">
        <v>47</v>
      </c>
      <c r="B60" s="23" t="s">
        <v>835</v>
      </c>
      <c r="C60" s="194" t="s">
        <v>836</v>
      </c>
      <c r="D60" s="195"/>
      <c r="E60" s="195"/>
      <c r="F60" s="196"/>
      <c r="G60" s="32" t="s">
        <v>838</v>
      </c>
      <c r="H60" s="25" t="s">
        <v>837</v>
      </c>
      <c r="I60" s="33">
        <v>1</v>
      </c>
      <c r="J60" s="33">
        <v>0</v>
      </c>
      <c r="K60" s="33">
        <v>0</v>
      </c>
      <c r="L60" s="33">
        <v>0</v>
      </c>
      <c r="M60" s="33">
        <v>0</v>
      </c>
      <c r="N60" s="33">
        <v>0</v>
      </c>
      <c r="O60" s="191" t="s">
        <v>48</v>
      </c>
      <c r="P60" s="192"/>
      <c r="Q60" s="192"/>
      <c r="R60" s="193"/>
      <c r="S60" s="29" t="s">
        <v>53</v>
      </c>
    </row>
    <row r="61" spans="1:20" ht="192" customHeight="1" x14ac:dyDescent="0.25">
      <c r="A61" s="31">
        <v>48</v>
      </c>
      <c r="B61" s="25" t="s">
        <v>839</v>
      </c>
      <c r="C61" s="194" t="s">
        <v>840</v>
      </c>
      <c r="D61" s="195"/>
      <c r="E61" s="195"/>
      <c r="F61" s="196"/>
      <c r="G61" s="32" t="s">
        <v>842</v>
      </c>
      <c r="H61" s="25" t="s">
        <v>841</v>
      </c>
      <c r="I61" s="33">
        <v>1</v>
      </c>
      <c r="J61" s="33">
        <v>0</v>
      </c>
      <c r="K61" s="33">
        <v>0</v>
      </c>
      <c r="L61" s="33">
        <v>0</v>
      </c>
      <c r="M61" s="33">
        <v>0</v>
      </c>
      <c r="N61" s="33">
        <v>0</v>
      </c>
      <c r="O61" s="188" t="s">
        <v>69</v>
      </c>
      <c r="P61" s="189"/>
      <c r="Q61" s="189"/>
      <c r="R61" s="190"/>
      <c r="S61" s="29" t="s">
        <v>51</v>
      </c>
    </row>
    <row r="62" spans="1:20" ht="218.25" customHeight="1" x14ac:dyDescent="0.25">
      <c r="A62" s="22">
        <v>49</v>
      </c>
      <c r="B62" s="25" t="s">
        <v>843</v>
      </c>
      <c r="C62" s="194" t="s">
        <v>844</v>
      </c>
      <c r="D62" s="195"/>
      <c r="E62" s="195"/>
      <c r="F62" s="196"/>
      <c r="G62" s="32" t="s">
        <v>846</v>
      </c>
      <c r="H62" s="25" t="s">
        <v>845</v>
      </c>
      <c r="I62" s="33">
        <v>1</v>
      </c>
      <c r="J62" s="33">
        <v>0</v>
      </c>
      <c r="K62" s="33">
        <v>0</v>
      </c>
      <c r="L62" s="33">
        <v>0</v>
      </c>
      <c r="M62" s="33">
        <v>0</v>
      </c>
      <c r="N62" s="33">
        <v>0</v>
      </c>
      <c r="O62" s="188" t="s">
        <v>50</v>
      </c>
      <c r="P62" s="189"/>
      <c r="Q62" s="189"/>
      <c r="R62" s="190"/>
      <c r="S62" s="29" t="s">
        <v>51</v>
      </c>
    </row>
    <row r="63" spans="1:20" ht="174.95" customHeight="1" x14ac:dyDescent="0.25">
      <c r="A63" s="31">
        <v>50</v>
      </c>
      <c r="B63" s="25" t="s">
        <v>843</v>
      </c>
      <c r="C63" s="194" t="s">
        <v>847</v>
      </c>
      <c r="D63" s="195"/>
      <c r="E63" s="195"/>
      <c r="F63" s="196"/>
      <c r="G63" s="32" t="s">
        <v>849</v>
      </c>
      <c r="H63" s="25" t="s">
        <v>848</v>
      </c>
      <c r="I63" s="33">
        <v>1</v>
      </c>
      <c r="J63" s="33">
        <v>0</v>
      </c>
      <c r="K63" s="33">
        <v>0</v>
      </c>
      <c r="L63" s="33">
        <v>0</v>
      </c>
      <c r="M63" s="33">
        <v>0</v>
      </c>
      <c r="N63" s="33">
        <v>0</v>
      </c>
      <c r="O63" s="188" t="s">
        <v>48</v>
      </c>
      <c r="P63" s="189"/>
      <c r="Q63" s="189"/>
      <c r="R63" s="190"/>
      <c r="S63" s="29" t="s">
        <v>49</v>
      </c>
    </row>
    <row r="64" spans="1:20" ht="148.5" customHeight="1" x14ac:dyDescent="0.25">
      <c r="A64" s="22">
        <v>51</v>
      </c>
      <c r="B64" s="25" t="s">
        <v>850</v>
      </c>
      <c r="C64" s="194" t="s">
        <v>851</v>
      </c>
      <c r="D64" s="195"/>
      <c r="E64" s="195"/>
      <c r="F64" s="196"/>
      <c r="G64" s="32" t="s">
        <v>853</v>
      </c>
      <c r="H64" s="25" t="s">
        <v>852</v>
      </c>
      <c r="I64" s="33">
        <v>1</v>
      </c>
      <c r="J64" s="33">
        <v>0</v>
      </c>
      <c r="K64" s="33">
        <v>0</v>
      </c>
      <c r="L64" s="33">
        <v>0</v>
      </c>
      <c r="M64" s="33">
        <v>0</v>
      </c>
      <c r="N64" s="33">
        <v>0</v>
      </c>
      <c r="O64" s="188" t="s">
        <v>66</v>
      </c>
      <c r="P64" s="189"/>
      <c r="Q64" s="189"/>
      <c r="R64" s="190"/>
      <c r="S64" s="29" t="s">
        <v>51</v>
      </c>
    </row>
    <row r="65" spans="1:19" ht="189.75" customHeight="1" x14ac:dyDescent="0.25">
      <c r="A65" s="31">
        <v>52</v>
      </c>
      <c r="B65" s="25" t="s">
        <v>850</v>
      </c>
      <c r="C65" s="194" t="s">
        <v>854</v>
      </c>
      <c r="D65" s="195"/>
      <c r="E65" s="195"/>
      <c r="F65" s="196"/>
      <c r="G65" s="32" t="s">
        <v>856</v>
      </c>
      <c r="H65" s="25" t="s">
        <v>855</v>
      </c>
      <c r="I65" s="33">
        <v>1</v>
      </c>
      <c r="J65" s="33">
        <v>0</v>
      </c>
      <c r="K65" s="33">
        <v>0</v>
      </c>
      <c r="L65" s="33">
        <v>0</v>
      </c>
      <c r="M65" s="33">
        <v>0</v>
      </c>
      <c r="N65" s="33">
        <v>0</v>
      </c>
      <c r="O65" s="188" t="s">
        <v>55</v>
      </c>
      <c r="P65" s="189"/>
      <c r="Q65" s="189"/>
      <c r="R65" s="190"/>
      <c r="S65" s="29" t="s">
        <v>51</v>
      </c>
    </row>
    <row r="66" spans="1:19" ht="135" customHeight="1" x14ac:dyDescent="0.25">
      <c r="A66" s="22">
        <v>53</v>
      </c>
      <c r="B66" s="25" t="s">
        <v>857</v>
      </c>
      <c r="C66" s="194" t="s">
        <v>858</v>
      </c>
      <c r="D66" s="195"/>
      <c r="E66" s="195"/>
      <c r="F66" s="196"/>
      <c r="G66" s="32" t="s">
        <v>860</v>
      </c>
      <c r="H66" s="25" t="s">
        <v>859</v>
      </c>
      <c r="I66" s="33">
        <v>1</v>
      </c>
      <c r="J66" s="33">
        <v>0</v>
      </c>
      <c r="K66" s="33">
        <v>0</v>
      </c>
      <c r="L66" s="33">
        <v>0</v>
      </c>
      <c r="M66" s="33">
        <v>0</v>
      </c>
      <c r="N66" s="33">
        <v>0</v>
      </c>
      <c r="O66" s="188" t="s">
        <v>57</v>
      </c>
      <c r="P66" s="189"/>
      <c r="Q66" s="189"/>
      <c r="R66" s="190"/>
      <c r="S66" s="29" t="s">
        <v>51</v>
      </c>
    </row>
    <row r="67" spans="1:19" ht="135" customHeight="1" x14ac:dyDescent="0.25">
      <c r="A67" s="31">
        <v>54</v>
      </c>
      <c r="B67" s="25" t="s">
        <v>861</v>
      </c>
      <c r="C67" s="194" t="s">
        <v>862</v>
      </c>
      <c r="D67" s="195"/>
      <c r="E67" s="195"/>
      <c r="F67" s="196"/>
      <c r="G67" s="32" t="s">
        <v>864</v>
      </c>
      <c r="H67" s="25" t="s">
        <v>863</v>
      </c>
      <c r="I67" s="33">
        <v>1</v>
      </c>
      <c r="J67" s="33">
        <v>0</v>
      </c>
      <c r="K67" s="33">
        <v>0</v>
      </c>
      <c r="L67" s="33">
        <v>0</v>
      </c>
      <c r="M67" s="33">
        <v>0</v>
      </c>
      <c r="N67" s="33">
        <v>0</v>
      </c>
      <c r="O67" s="188" t="s">
        <v>57</v>
      </c>
      <c r="P67" s="189"/>
      <c r="Q67" s="189"/>
      <c r="R67" s="190"/>
      <c r="S67" s="29" t="s">
        <v>51</v>
      </c>
    </row>
    <row r="68" spans="1:19" ht="135" customHeight="1" x14ac:dyDescent="0.25">
      <c r="A68" s="22">
        <v>55</v>
      </c>
      <c r="B68" s="25" t="s">
        <v>865</v>
      </c>
      <c r="C68" s="194" t="s">
        <v>866</v>
      </c>
      <c r="D68" s="195"/>
      <c r="E68" s="195"/>
      <c r="F68" s="196"/>
      <c r="G68" s="32" t="s">
        <v>868</v>
      </c>
      <c r="H68" s="25" t="s">
        <v>867</v>
      </c>
      <c r="I68" s="33">
        <v>1</v>
      </c>
      <c r="J68" s="33">
        <v>0</v>
      </c>
      <c r="K68" s="33">
        <v>0</v>
      </c>
      <c r="L68" s="33">
        <v>0</v>
      </c>
      <c r="M68" s="33">
        <v>0</v>
      </c>
      <c r="N68" s="33">
        <v>0</v>
      </c>
      <c r="O68" s="188" t="s">
        <v>50</v>
      </c>
      <c r="P68" s="189"/>
      <c r="Q68" s="189"/>
      <c r="R68" s="190"/>
      <c r="S68" s="29" t="s">
        <v>51</v>
      </c>
    </row>
    <row r="69" spans="1:19" ht="135" customHeight="1" x14ac:dyDescent="0.25">
      <c r="A69" s="31">
        <v>56</v>
      </c>
      <c r="B69" s="25" t="s">
        <v>865</v>
      </c>
      <c r="C69" s="194" t="s">
        <v>869</v>
      </c>
      <c r="D69" s="195"/>
      <c r="E69" s="195"/>
      <c r="F69" s="196"/>
      <c r="G69" s="32" t="s">
        <v>871</v>
      </c>
      <c r="H69" s="25" t="s">
        <v>870</v>
      </c>
      <c r="I69" s="33">
        <v>1</v>
      </c>
      <c r="J69" s="33">
        <v>0</v>
      </c>
      <c r="K69" s="33">
        <v>0</v>
      </c>
      <c r="L69" s="33">
        <v>0</v>
      </c>
      <c r="M69" s="33">
        <v>0</v>
      </c>
      <c r="N69" s="33">
        <v>0</v>
      </c>
      <c r="O69" s="188" t="s">
        <v>48</v>
      </c>
      <c r="P69" s="189"/>
      <c r="Q69" s="189"/>
      <c r="R69" s="190"/>
      <c r="S69" s="29" t="s">
        <v>53</v>
      </c>
    </row>
    <row r="70" spans="1:19" ht="135" customHeight="1" x14ac:dyDescent="0.25">
      <c r="A70" s="22">
        <v>57</v>
      </c>
      <c r="B70" s="25" t="s">
        <v>872</v>
      </c>
      <c r="C70" s="194" t="s">
        <v>873</v>
      </c>
      <c r="D70" s="195"/>
      <c r="E70" s="195"/>
      <c r="F70" s="196"/>
      <c r="G70" s="32" t="s">
        <v>875</v>
      </c>
      <c r="H70" s="25" t="s">
        <v>874</v>
      </c>
      <c r="I70" s="33">
        <v>1</v>
      </c>
      <c r="J70" s="33">
        <v>0</v>
      </c>
      <c r="K70" s="33">
        <v>0</v>
      </c>
      <c r="L70" s="33">
        <v>0</v>
      </c>
      <c r="M70" s="33">
        <v>0</v>
      </c>
      <c r="N70" s="33">
        <v>0</v>
      </c>
      <c r="O70" s="188" t="s">
        <v>69</v>
      </c>
      <c r="P70" s="189"/>
      <c r="Q70" s="189"/>
      <c r="R70" s="190"/>
      <c r="S70" s="29" t="s">
        <v>51</v>
      </c>
    </row>
    <row r="71" spans="1:19" ht="135" customHeight="1" x14ac:dyDescent="0.25">
      <c r="A71" s="31">
        <v>58</v>
      </c>
      <c r="B71" s="25" t="s">
        <v>876</v>
      </c>
      <c r="C71" s="194" t="s">
        <v>877</v>
      </c>
      <c r="D71" s="195"/>
      <c r="E71" s="195"/>
      <c r="F71" s="196"/>
      <c r="G71" s="32" t="s">
        <v>879</v>
      </c>
      <c r="H71" s="25" t="s">
        <v>878</v>
      </c>
      <c r="I71" s="33">
        <v>1</v>
      </c>
      <c r="J71" s="33">
        <v>0</v>
      </c>
      <c r="K71" s="33">
        <v>0</v>
      </c>
      <c r="L71" s="33">
        <v>0</v>
      </c>
      <c r="M71" s="33">
        <v>0</v>
      </c>
      <c r="N71" s="33">
        <v>0</v>
      </c>
      <c r="O71" s="188" t="s">
        <v>48</v>
      </c>
      <c r="P71" s="189"/>
      <c r="Q71" s="189"/>
      <c r="R71" s="190"/>
      <c r="S71" s="29" t="s">
        <v>51</v>
      </c>
    </row>
    <row r="72" spans="1:19" ht="146.25" customHeight="1" x14ac:dyDescent="0.25">
      <c r="A72" s="22">
        <v>59</v>
      </c>
      <c r="B72" s="23" t="s">
        <v>880</v>
      </c>
      <c r="C72" s="194" t="s">
        <v>881</v>
      </c>
      <c r="D72" s="195"/>
      <c r="E72" s="195"/>
      <c r="F72" s="196"/>
      <c r="G72" s="32" t="s">
        <v>883</v>
      </c>
      <c r="H72" s="25" t="s">
        <v>882</v>
      </c>
      <c r="I72" s="33">
        <v>1</v>
      </c>
      <c r="J72" s="33">
        <v>0</v>
      </c>
      <c r="K72" s="33">
        <v>0</v>
      </c>
      <c r="L72" s="33">
        <v>0</v>
      </c>
      <c r="M72" s="33">
        <v>0</v>
      </c>
      <c r="N72" s="33">
        <v>0</v>
      </c>
      <c r="O72" s="191" t="s">
        <v>48</v>
      </c>
      <c r="P72" s="192"/>
      <c r="Q72" s="192"/>
      <c r="R72" s="193"/>
      <c r="S72" s="29" t="s">
        <v>51</v>
      </c>
    </row>
    <row r="73" spans="1:19" ht="185.25" customHeight="1" x14ac:dyDescent="0.25">
      <c r="A73" s="31">
        <v>60</v>
      </c>
      <c r="B73" s="25" t="s">
        <v>884</v>
      </c>
      <c r="C73" s="194" t="s">
        <v>885</v>
      </c>
      <c r="D73" s="195"/>
      <c r="E73" s="195"/>
      <c r="F73" s="196"/>
      <c r="G73" s="32" t="s">
        <v>887</v>
      </c>
      <c r="H73" s="25" t="s">
        <v>886</v>
      </c>
      <c r="I73" s="33">
        <v>1</v>
      </c>
      <c r="J73" s="33">
        <v>0</v>
      </c>
      <c r="K73" s="33">
        <v>0</v>
      </c>
      <c r="L73" s="33">
        <v>0</v>
      </c>
      <c r="M73" s="33">
        <v>0</v>
      </c>
      <c r="N73" s="33">
        <v>0</v>
      </c>
      <c r="O73" s="191" t="s">
        <v>69</v>
      </c>
      <c r="P73" s="192"/>
      <c r="Q73" s="192"/>
      <c r="R73" s="193"/>
      <c r="S73" s="29" t="s">
        <v>56</v>
      </c>
    </row>
    <row r="74" spans="1:19" ht="135" customHeight="1" x14ac:dyDescent="0.25">
      <c r="A74" s="22">
        <v>61</v>
      </c>
      <c r="B74" s="23" t="s">
        <v>888</v>
      </c>
      <c r="C74" s="194" t="s">
        <v>889</v>
      </c>
      <c r="D74" s="195"/>
      <c r="E74" s="195"/>
      <c r="F74" s="196"/>
      <c r="G74" s="32" t="s">
        <v>891</v>
      </c>
      <c r="H74" s="25" t="s">
        <v>890</v>
      </c>
      <c r="I74" s="33">
        <v>1</v>
      </c>
      <c r="J74" s="33">
        <v>0</v>
      </c>
      <c r="K74" s="33">
        <v>0</v>
      </c>
      <c r="L74" s="33">
        <v>0</v>
      </c>
      <c r="M74" s="33">
        <v>0</v>
      </c>
      <c r="N74" s="33">
        <v>0</v>
      </c>
      <c r="O74" s="191" t="s">
        <v>50</v>
      </c>
      <c r="P74" s="192"/>
      <c r="Q74" s="192"/>
      <c r="R74" s="193"/>
      <c r="S74" s="29" t="s">
        <v>51</v>
      </c>
    </row>
    <row r="75" spans="1:19" ht="135" customHeight="1" x14ac:dyDescent="0.25">
      <c r="A75" s="31">
        <v>62</v>
      </c>
      <c r="B75" s="23" t="s">
        <v>888</v>
      </c>
      <c r="C75" s="194" t="s">
        <v>892</v>
      </c>
      <c r="D75" s="195"/>
      <c r="E75" s="195"/>
      <c r="F75" s="196"/>
      <c r="G75" s="32" t="s">
        <v>894</v>
      </c>
      <c r="H75" s="25" t="s">
        <v>893</v>
      </c>
      <c r="I75" s="33">
        <v>1</v>
      </c>
      <c r="J75" s="33">
        <v>0</v>
      </c>
      <c r="K75" s="33">
        <v>0</v>
      </c>
      <c r="L75" s="33">
        <v>0</v>
      </c>
      <c r="M75" s="33">
        <v>0</v>
      </c>
      <c r="N75" s="33">
        <v>0</v>
      </c>
      <c r="O75" s="191" t="s">
        <v>48</v>
      </c>
      <c r="P75" s="192"/>
      <c r="Q75" s="192"/>
      <c r="R75" s="193"/>
      <c r="S75" s="29" t="s">
        <v>51</v>
      </c>
    </row>
    <row r="76" spans="1:19" ht="160.5" customHeight="1" x14ac:dyDescent="0.25">
      <c r="A76" s="22">
        <v>63</v>
      </c>
      <c r="B76" s="23" t="s">
        <v>895</v>
      </c>
      <c r="C76" s="194" t="s">
        <v>896</v>
      </c>
      <c r="D76" s="195"/>
      <c r="E76" s="195"/>
      <c r="F76" s="196"/>
      <c r="G76" s="32" t="s">
        <v>898</v>
      </c>
      <c r="H76" s="25" t="s">
        <v>897</v>
      </c>
      <c r="I76" s="33">
        <v>1</v>
      </c>
      <c r="J76" s="33">
        <v>0</v>
      </c>
      <c r="K76" s="33">
        <v>0</v>
      </c>
      <c r="L76" s="33">
        <v>0</v>
      </c>
      <c r="M76" s="33">
        <v>0</v>
      </c>
      <c r="N76" s="33">
        <v>0</v>
      </c>
      <c r="O76" s="191" t="s">
        <v>48</v>
      </c>
      <c r="P76" s="192"/>
      <c r="Q76" s="192"/>
      <c r="R76" s="193"/>
      <c r="S76" s="29" t="s">
        <v>49</v>
      </c>
    </row>
    <row r="77" spans="1:19" ht="135" customHeight="1" x14ac:dyDescent="0.25">
      <c r="A77" s="31">
        <v>64</v>
      </c>
      <c r="B77" s="23" t="s">
        <v>899</v>
      </c>
      <c r="C77" s="194" t="s">
        <v>900</v>
      </c>
      <c r="D77" s="195"/>
      <c r="E77" s="195"/>
      <c r="F77" s="196"/>
      <c r="G77" s="32" t="s">
        <v>902</v>
      </c>
      <c r="H77" s="25" t="s">
        <v>901</v>
      </c>
      <c r="I77" s="33">
        <v>1</v>
      </c>
      <c r="J77" s="33">
        <v>0</v>
      </c>
      <c r="K77" s="33">
        <v>0</v>
      </c>
      <c r="L77" s="33">
        <v>0</v>
      </c>
      <c r="M77" s="33">
        <v>0</v>
      </c>
      <c r="N77" s="33">
        <v>0</v>
      </c>
      <c r="O77" s="191" t="s">
        <v>50</v>
      </c>
      <c r="P77" s="192"/>
      <c r="Q77" s="192"/>
      <c r="R77" s="193"/>
      <c r="S77" s="29" t="s">
        <v>51</v>
      </c>
    </row>
    <row r="78" spans="1:19" ht="149.25" customHeight="1" x14ac:dyDescent="0.25">
      <c r="A78" s="22">
        <v>65</v>
      </c>
      <c r="B78" s="25" t="s">
        <v>899</v>
      </c>
      <c r="C78" s="194" t="s">
        <v>903</v>
      </c>
      <c r="D78" s="195"/>
      <c r="E78" s="195"/>
      <c r="F78" s="196"/>
      <c r="G78" s="36" t="s">
        <v>905</v>
      </c>
      <c r="H78" s="25" t="s">
        <v>904</v>
      </c>
      <c r="I78" s="33">
        <v>1</v>
      </c>
      <c r="J78" s="33">
        <v>0</v>
      </c>
      <c r="K78" s="33">
        <v>0</v>
      </c>
      <c r="L78" s="33">
        <v>0</v>
      </c>
      <c r="M78" s="33">
        <v>0</v>
      </c>
      <c r="N78" s="33">
        <v>0</v>
      </c>
      <c r="O78" s="188" t="s">
        <v>48</v>
      </c>
      <c r="P78" s="189"/>
      <c r="Q78" s="189"/>
      <c r="R78" s="190"/>
      <c r="S78" s="29" t="s">
        <v>73</v>
      </c>
    </row>
    <row r="79" spans="1:19" ht="135" customHeight="1" x14ac:dyDescent="0.25">
      <c r="A79" s="31">
        <v>66</v>
      </c>
      <c r="B79" s="23" t="s">
        <v>906</v>
      </c>
      <c r="C79" s="194" t="s">
        <v>907</v>
      </c>
      <c r="D79" s="195"/>
      <c r="E79" s="195"/>
      <c r="F79" s="196"/>
      <c r="G79" s="32" t="s">
        <v>909</v>
      </c>
      <c r="H79" s="25" t="s">
        <v>908</v>
      </c>
      <c r="I79" s="33">
        <v>1</v>
      </c>
      <c r="J79" s="33">
        <v>0</v>
      </c>
      <c r="K79" s="33">
        <v>0</v>
      </c>
      <c r="L79" s="33">
        <v>0</v>
      </c>
      <c r="M79" s="33">
        <v>0</v>
      </c>
      <c r="N79" s="33">
        <v>0</v>
      </c>
      <c r="O79" s="191" t="s">
        <v>54</v>
      </c>
      <c r="P79" s="192"/>
      <c r="Q79" s="192"/>
      <c r="R79" s="193"/>
      <c r="S79" s="29" t="s">
        <v>51</v>
      </c>
    </row>
    <row r="80" spans="1:19" ht="135" customHeight="1" x14ac:dyDescent="0.25">
      <c r="A80" s="22">
        <v>67</v>
      </c>
      <c r="B80" s="41" t="s">
        <v>910</v>
      </c>
      <c r="C80" s="194" t="s">
        <v>911</v>
      </c>
      <c r="D80" s="195"/>
      <c r="E80" s="195"/>
      <c r="F80" s="196"/>
      <c r="G80" s="32" t="s">
        <v>913</v>
      </c>
      <c r="H80" s="25" t="s">
        <v>912</v>
      </c>
      <c r="I80" s="33">
        <v>0</v>
      </c>
      <c r="J80" s="33">
        <v>1</v>
      </c>
      <c r="K80" s="33">
        <v>0</v>
      </c>
      <c r="L80" s="33">
        <v>0</v>
      </c>
      <c r="M80" s="33">
        <v>0</v>
      </c>
      <c r="N80" s="33">
        <v>0</v>
      </c>
      <c r="O80" s="191" t="s">
        <v>55</v>
      </c>
      <c r="P80" s="192"/>
      <c r="Q80" s="192"/>
      <c r="R80" s="193"/>
      <c r="S80" s="29" t="s">
        <v>58</v>
      </c>
    </row>
    <row r="81" spans="1:19" ht="135" customHeight="1" x14ac:dyDescent="0.25">
      <c r="A81" s="31">
        <v>68</v>
      </c>
      <c r="B81" s="37" t="s">
        <v>914</v>
      </c>
      <c r="C81" s="194" t="s">
        <v>915</v>
      </c>
      <c r="D81" s="195"/>
      <c r="E81" s="195"/>
      <c r="F81" s="196"/>
      <c r="G81" s="32" t="s">
        <v>917</v>
      </c>
      <c r="H81" s="25" t="s">
        <v>916</v>
      </c>
      <c r="I81" s="33">
        <v>1</v>
      </c>
      <c r="J81" s="33">
        <v>0</v>
      </c>
      <c r="K81" s="33">
        <v>0</v>
      </c>
      <c r="L81" s="33">
        <v>0</v>
      </c>
      <c r="M81" s="33">
        <v>0</v>
      </c>
      <c r="N81" s="33">
        <v>0</v>
      </c>
      <c r="O81" s="191" t="s">
        <v>55</v>
      </c>
      <c r="P81" s="192"/>
      <c r="Q81" s="192"/>
      <c r="R81" s="193"/>
      <c r="S81" s="29" t="s">
        <v>51</v>
      </c>
    </row>
    <row r="82" spans="1:19" ht="161.25" customHeight="1" x14ac:dyDescent="0.25">
      <c r="A82" s="22">
        <v>69</v>
      </c>
      <c r="B82" s="37" t="s">
        <v>914</v>
      </c>
      <c r="C82" s="194" t="s">
        <v>918</v>
      </c>
      <c r="D82" s="195"/>
      <c r="E82" s="195"/>
      <c r="F82" s="196"/>
      <c r="G82" s="32" t="s">
        <v>920</v>
      </c>
      <c r="H82" s="25" t="s">
        <v>919</v>
      </c>
      <c r="I82" s="33">
        <v>1</v>
      </c>
      <c r="J82" s="33">
        <v>0</v>
      </c>
      <c r="K82" s="33">
        <v>0</v>
      </c>
      <c r="L82" s="33">
        <v>0</v>
      </c>
      <c r="M82" s="33">
        <v>0</v>
      </c>
      <c r="N82" s="33">
        <v>0</v>
      </c>
      <c r="O82" s="191" t="s">
        <v>55</v>
      </c>
      <c r="P82" s="192"/>
      <c r="Q82" s="192"/>
      <c r="R82" s="193"/>
      <c r="S82" s="29" t="s">
        <v>51</v>
      </c>
    </row>
    <row r="83" spans="1:19" ht="189" customHeight="1" x14ac:dyDescent="0.25">
      <c r="A83" s="31">
        <v>70</v>
      </c>
      <c r="B83" s="37" t="s">
        <v>921</v>
      </c>
      <c r="C83" s="194" t="s">
        <v>922</v>
      </c>
      <c r="D83" s="195"/>
      <c r="E83" s="195"/>
      <c r="F83" s="196"/>
      <c r="G83" s="32" t="s">
        <v>924</v>
      </c>
      <c r="H83" s="25" t="s">
        <v>923</v>
      </c>
      <c r="I83" s="33">
        <v>0</v>
      </c>
      <c r="J83" s="33">
        <v>1</v>
      </c>
      <c r="K83" s="33">
        <v>0</v>
      </c>
      <c r="L83" s="33">
        <v>0</v>
      </c>
      <c r="M83" s="33">
        <v>0</v>
      </c>
      <c r="N83" s="33">
        <v>0</v>
      </c>
      <c r="O83" s="188" t="s">
        <v>57</v>
      </c>
      <c r="P83" s="189"/>
      <c r="Q83" s="189"/>
      <c r="R83" s="190"/>
      <c r="S83" s="29" t="s">
        <v>73</v>
      </c>
    </row>
    <row r="84" spans="1:19" ht="135" customHeight="1" x14ac:dyDescent="0.25">
      <c r="A84" s="22">
        <v>71</v>
      </c>
      <c r="B84" s="37" t="s">
        <v>925</v>
      </c>
      <c r="C84" s="194" t="s">
        <v>922</v>
      </c>
      <c r="D84" s="195"/>
      <c r="E84" s="195"/>
      <c r="F84" s="196"/>
      <c r="G84" s="32" t="s">
        <v>927</v>
      </c>
      <c r="H84" s="25" t="s">
        <v>926</v>
      </c>
      <c r="I84" s="33">
        <v>1</v>
      </c>
      <c r="J84" s="33">
        <v>0</v>
      </c>
      <c r="K84" s="33">
        <v>0</v>
      </c>
      <c r="L84" s="33">
        <v>0</v>
      </c>
      <c r="M84" s="33">
        <v>0</v>
      </c>
      <c r="N84" s="33">
        <v>0</v>
      </c>
      <c r="O84" s="188" t="s">
        <v>50</v>
      </c>
      <c r="P84" s="189"/>
      <c r="Q84" s="189"/>
      <c r="R84" s="190"/>
      <c r="S84" s="29" t="s">
        <v>51</v>
      </c>
    </row>
    <row r="85" spans="1:19" ht="135" customHeight="1" x14ac:dyDescent="0.25">
      <c r="A85" s="31">
        <v>72</v>
      </c>
      <c r="B85" s="37" t="s">
        <v>925</v>
      </c>
      <c r="C85" s="194" t="s">
        <v>928</v>
      </c>
      <c r="D85" s="195"/>
      <c r="E85" s="195"/>
      <c r="F85" s="196"/>
      <c r="G85" s="32" t="s">
        <v>930</v>
      </c>
      <c r="H85" s="25" t="s">
        <v>929</v>
      </c>
      <c r="I85" s="33">
        <v>1</v>
      </c>
      <c r="J85" s="33">
        <v>0</v>
      </c>
      <c r="K85" s="33">
        <v>0</v>
      </c>
      <c r="L85" s="33">
        <v>0</v>
      </c>
      <c r="M85" s="33">
        <v>0</v>
      </c>
      <c r="N85" s="33">
        <v>0</v>
      </c>
      <c r="O85" s="188" t="s">
        <v>48</v>
      </c>
      <c r="P85" s="189"/>
      <c r="Q85" s="189"/>
      <c r="R85" s="190"/>
      <c r="S85" s="29" t="s">
        <v>51</v>
      </c>
    </row>
    <row r="86" spans="1:19" ht="164.25" customHeight="1" x14ac:dyDescent="0.25">
      <c r="A86" s="22">
        <v>73</v>
      </c>
      <c r="B86" s="37" t="s">
        <v>931</v>
      </c>
      <c r="C86" s="194" t="s">
        <v>932</v>
      </c>
      <c r="D86" s="195"/>
      <c r="E86" s="195"/>
      <c r="F86" s="196"/>
      <c r="G86" s="32" t="s">
        <v>934</v>
      </c>
      <c r="H86" s="25" t="s">
        <v>933</v>
      </c>
      <c r="I86" s="33">
        <v>1</v>
      </c>
      <c r="J86" s="33">
        <v>0</v>
      </c>
      <c r="K86" s="33">
        <v>0</v>
      </c>
      <c r="L86" s="33">
        <v>0</v>
      </c>
      <c r="M86" s="33">
        <v>0</v>
      </c>
      <c r="N86" s="33">
        <v>0</v>
      </c>
      <c r="O86" s="188" t="s">
        <v>57</v>
      </c>
      <c r="P86" s="189"/>
      <c r="Q86" s="189"/>
      <c r="R86" s="190"/>
      <c r="S86" s="29" t="s">
        <v>51</v>
      </c>
    </row>
    <row r="87" spans="1:19" ht="224.25" customHeight="1" x14ac:dyDescent="0.25">
      <c r="A87" s="31">
        <v>74</v>
      </c>
      <c r="B87" s="23" t="s">
        <v>935</v>
      </c>
      <c r="C87" s="194" t="s">
        <v>936</v>
      </c>
      <c r="D87" s="195"/>
      <c r="E87" s="195"/>
      <c r="F87" s="196"/>
      <c r="G87" s="24" t="s">
        <v>938</v>
      </c>
      <c r="H87" s="25" t="s">
        <v>937</v>
      </c>
      <c r="I87" s="26">
        <v>1</v>
      </c>
      <c r="J87" s="26">
        <v>0</v>
      </c>
      <c r="K87" s="26">
        <v>0</v>
      </c>
      <c r="L87" s="27">
        <v>0</v>
      </c>
      <c r="M87" s="28">
        <v>0</v>
      </c>
      <c r="N87" s="28">
        <v>0</v>
      </c>
      <c r="O87" s="188" t="s">
        <v>57</v>
      </c>
      <c r="P87" s="189"/>
      <c r="Q87" s="189"/>
      <c r="R87" s="190"/>
      <c r="S87" s="29" t="s">
        <v>62</v>
      </c>
    </row>
    <row r="88" spans="1:19" ht="174.95" customHeight="1" x14ac:dyDescent="0.25">
      <c r="A88" s="22">
        <v>75</v>
      </c>
      <c r="B88" s="23" t="s">
        <v>939</v>
      </c>
      <c r="C88" s="194" t="s">
        <v>940</v>
      </c>
      <c r="D88" s="195"/>
      <c r="E88" s="195"/>
      <c r="F88" s="196"/>
      <c r="G88" s="32" t="s">
        <v>942</v>
      </c>
      <c r="H88" s="25" t="s">
        <v>941</v>
      </c>
      <c r="I88" s="33">
        <v>0</v>
      </c>
      <c r="J88" s="33">
        <v>1</v>
      </c>
      <c r="K88" s="33">
        <v>0</v>
      </c>
      <c r="L88" s="33">
        <v>0</v>
      </c>
      <c r="M88" s="33">
        <v>0</v>
      </c>
      <c r="N88" s="33">
        <v>0</v>
      </c>
      <c r="O88" s="188" t="s">
        <v>55</v>
      </c>
      <c r="P88" s="189"/>
      <c r="Q88" s="189"/>
      <c r="R88" s="190"/>
      <c r="S88" s="29" t="s">
        <v>943</v>
      </c>
    </row>
    <row r="89" spans="1:19" ht="135" customHeight="1" x14ac:dyDescent="0.25">
      <c r="A89" s="31">
        <v>76</v>
      </c>
      <c r="B89" s="25" t="s">
        <v>939</v>
      </c>
      <c r="C89" s="194" t="s">
        <v>944</v>
      </c>
      <c r="D89" s="195"/>
      <c r="E89" s="195"/>
      <c r="F89" s="196"/>
      <c r="G89" s="35" t="s">
        <v>946</v>
      </c>
      <c r="H89" s="25" t="s">
        <v>945</v>
      </c>
      <c r="I89" s="33">
        <v>1</v>
      </c>
      <c r="J89" s="33">
        <v>0</v>
      </c>
      <c r="K89" s="33">
        <v>0</v>
      </c>
      <c r="L89" s="33">
        <v>0</v>
      </c>
      <c r="M89" s="33">
        <v>0</v>
      </c>
      <c r="N89" s="33">
        <v>0</v>
      </c>
      <c r="O89" s="188" t="s">
        <v>54</v>
      </c>
      <c r="P89" s="189"/>
      <c r="Q89" s="189"/>
      <c r="R89" s="190"/>
      <c r="S89" s="29" t="s">
        <v>51</v>
      </c>
    </row>
    <row r="90" spans="1:19" ht="135" customHeight="1" x14ac:dyDescent="0.25">
      <c r="A90" s="22">
        <v>77</v>
      </c>
      <c r="B90" s="23" t="s">
        <v>947</v>
      </c>
      <c r="C90" s="194" t="s">
        <v>948</v>
      </c>
      <c r="D90" s="195"/>
      <c r="E90" s="195"/>
      <c r="F90" s="196"/>
      <c r="G90" s="32" t="s">
        <v>891</v>
      </c>
      <c r="H90" s="25" t="s">
        <v>949</v>
      </c>
      <c r="I90" s="33">
        <v>1</v>
      </c>
      <c r="J90" s="33">
        <v>0</v>
      </c>
      <c r="K90" s="33">
        <v>0</v>
      </c>
      <c r="L90" s="33">
        <v>0</v>
      </c>
      <c r="M90" s="33">
        <v>0</v>
      </c>
      <c r="N90" s="33">
        <v>0</v>
      </c>
      <c r="O90" s="191" t="s">
        <v>50</v>
      </c>
      <c r="P90" s="192"/>
      <c r="Q90" s="192"/>
      <c r="R90" s="193"/>
      <c r="S90" s="29" t="s">
        <v>51</v>
      </c>
    </row>
    <row r="91" spans="1:19" ht="211.5" customHeight="1" x14ac:dyDescent="0.25">
      <c r="A91" s="31">
        <v>78</v>
      </c>
      <c r="B91" s="23" t="s">
        <v>947</v>
      </c>
      <c r="C91" s="194" t="s">
        <v>950</v>
      </c>
      <c r="D91" s="195"/>
      <c r="E91" s="195"/>
      <c r="F91" s="196"/>
      <c r="G91" s="32" t="s">
        <v>952</v>
      </c>
      <c r="H91" s="25" t="s">
        <v>951</v>
      </c>
      <c r="I91" s="33">
        <v>1</v>
      </c>
      <c r="J91" s="33">
        <v>0</v>
      </c>
      <c r="K91" s="33">
        <v>0</v>
      </c>
      <c r="L91" s="33">
        <v>0</v>
      </c>
      <c r="M91" s="33">
        <v>0</v>
      </c>
      <c r="N91" s="33">
        <v>0</v>
      </c>
      <c r="O91" s="191" t="s">
        <v>48</v>
      </c>
      <c r="P91" s="192"/>
      <c r="Q91" s="192"/>
      <c r="R91" s="193"/>
      <c r="S91" s="29" t="s">
        <v>51</v>
      </c>
    </row>
    <row r="92" spans="1:19" ht="132" x14ac:dyDescent="0.25">
      <c r="A92" s="22">
        <v>79</v>
      </c>
      <c r="B92" s="23" t="s">
        <v>953</v>
      </c>
      <c r="C92" s="194" t="s">
        <v>954</v>
      </c>
      <c r="D92" s="195"/>
      <c r="E92" s="195"/>
      <c r="F92" s="196"/>
      <c r="G92" s="24" t="s">
        <v>955</v>
      </c>
      <c r="H92" s="25" t="s">
        <v>956</v>
      </c>
      <c r="I92" s="33">
        <v>0</v>
      </c>
      <c r="J92" s="33">
        <v>1</v>
      </c>
      <c r="K92" s="33">
        <v>0</v>
      </c>
      <c r="L92" s="33">
        <v>0</v>
      </c>
      <c r="M92" s="33">
        <v>0</v>
      </c>
      <c r="N92" s="33">
        <v>0</v>
      </c>
      <c r="O92" s="188" t="s">
        <v>50</v>
      </c>
      <c r="P92" s="189"/>
      <c r="Q92" s="189"/>
      <c r="R92" s="190"/>
      <c r="S92" s="29" t="s">
        <v>73</v>
      </c>
    </row>
    <row r="93" spans="1:19" ht="150.75" customHeight="1" x14ac:dyDescent="0.25">
      <c r="A93" s="31">
        <v>80</v>
      </c>
      <c r="B93" s="23" t="s">
        <v>953</v>
      </c>
      <c r="C93" s="194" t="s">
        <v>957</v>
      </c>
      <c r="D93" s="195"/>
      <c r="E93" s="195"/>
      <c r="F93" s="196"/>
      <c r="G93" s="32" t="s">
        <v>959</v>
      </c>
      <c r="H93" s="25" t="s">
        <v>958</v>
      </c>
      <c r="I93" s="33">
        <v>1</v>
      </c>
      <c r="J93" s="33">
        <v>0</v>
      </c>
      <c r="K93" s="33">
        <v>0</v>
      </c>
      <c r="L93" s="33">
        <v>0</v>
      </c>
      <c r="M93" s="33">
        <v>0</v>
      </c>
      <c r="N93" s="33">
        <v>0</v>
      </c>
      <c r="O93" s="188" t="s">
        <v>55</v>
      </c>
      <c r="P93" s="189"/>
      <c r="Q93" s="189"/>
      <c r="R93" s="190"/>
      <c r="S93" s="29" t="s">
        <v>56</v>
      </c>
    </row>
    <row r="94" spans="1:19" ht="174.95" customHeight="1" x14ac:dyDescent="0.25">
      <c r="A94" s="22">
        <v>81</v>
      </c>
      <c r="B94" s="25" t="s">
        <v>960</v>
      </c>
      <c r="C94" s="194" t="s">
        <v>961</v>
      </c>
      <c r="D94" s="195"/>
      <c r="E94" s="195"/>
      <c r="F94" s="196"/>
      <c r="G94" s="32" t="s">
        <v>963</v>
      </c>
      <c r="H94" s="25" t="s">
        <v>962</v>
      </c>
      <c r="I94" s="33">
        <v>1</v>
      </c>
      <c r="J94" s="33">
        <v>0</v>
      </c>
      <c r="K94" s="33">
        <v>0</v>
      </c>
      <c r="L94" s="33">
        <v>0</v>
      </c>
      <c r="M94" s="33">
        <v>0</v>
      </c>
      <c r="N94" s="33">
        <v>0</v>
      </c>
      <c r="O94" s="188" t="s">
        <v>964</v>
      </c>
      <c r="P94" s="189"/>
      <c r="Q94" s="189"/>
      <c r="R94" s="190"/>
      <c r="S94" s="29" t="s">
        <v>51</v>
      </c>
    </row>
    <row r="95" spans="1:19" ht="174.95" customHeight="1" x14ac:dyDescent="0.25">
      <c r="A95" s="31">
        <v>82</v>
      </c>
      <c r="B95" s="23" t="s">
        <v>965</v>
      </c>
      <c r="C95" s="194" t="s">
        <v>966</v>
      </c>
      <c r="D95" s="195"/>
      <c r="E95" s="195"/>
      <c r="F95" s="196"/>
      <c r="G95" s="32" t="s">
        <v>967</v>
      </c>
      <c r="H95" s="25" t="s">
        <v>968</v>
      </c>
      <c r="I95" s="33">
        <v>1</v>
      </c>
      <c r="J95" s="33">
        <v>0</v>
      </c>
      <c r="K95" s="33">
        <v>0</v>
      </c>
      <c r="L95" s="33">
        <v>0</v>
      </c>
      <c r="M95" s="33">
        <v>0</v>
      </c>
      <c r="N95" s="33">
        <v>0</v>
      </c>
      <c r="O95" s="191" t="s">
        <v>48</v>
      </c>
      <c r="P95" s="192"/>
      <c r="Q95" s="192"/>
      <c r="R95" s="193"/>
      <c r="S95" s="29" t="s">
        <v>53</v>
      </c>
    </row>
    <row r="96" spans="1:19" ht="174.95" customHeight="1" x14ac:dyDescent="0.25">
      <c r="A96" s="22">
        <v>83</v>
      </c>
      <c r="B96" s="23" t="s">
        <v>969</v>
      </c>
      <c r="C96" s="194" t="s">
        <v>970</v>
      </c>
      <c r="D96" s="195"/>
      <c r="E96" s="195"/>
      <c r="F96" s="196"/>
      <c r="G96" s="32" t="s">
        <v>972</v>
      </c>
      <c r="H96" s="25" t="s">
        <v>971</v>
      </c>
      <c r="I96" s="33">
        <v>1</v>
      </c>
      <c r="J96" s="33">
        <v>0</v>
      </c>
      <c r="K96" s="33">
        <v>0</v>
      </c>
      <c r="L96" s="33">
        <v>0</v>
      </c>
      <c r="M96" s="33">
        <v>0</v>
      </c>
      <c r="N96" s="33">
        <v>0</v>
      </c>
      <c r="O96" s="191" t="s">
        <v>50</v>
      </c>
      <c r="P96" s="192"/>
      <c r="Q96" s="192"/>
      <c r="R96" s="193"/>
      <c r="S96" s="29" t="s">
        <v>51</v>
      </c>
    </row>
    <row r="97" spans="1:19" ht="174.95" customHeight="1" x14ac:dyDescent="0.25">
      <c r="A97" s="31">
        <v>84</v>
      </c>
      <c r="B97" s="23" t="s">
        <v>969</v>
      </c>
      <c r="C97" s="194" t="s">
        <v>973</v>
      </c>
      <c r="D97" s="195"/>
      <c r="E97" s="195"/>
      <c r="F97" s="196"/>
      <c r="G97" s="32" t="s">
        <v>975</v>
      </c>
      <c r="H97" s="25" t="s">
        <v>974</v>
      </c>
      <c r="I97" s="33">
        <v>1</v>
      </c>
      <c r="J97" s="33">
        <v>0</v>
      </c>
      <c r="K97" s="33">
        <v>0</v>
      </c>
      <c r="L97" s="33">
        <v>0</v>
      </c>
      <c r="M97" s="33">
        <v>0</v>
      </c>
      <c r="N97" s="33">
        <v>0</v>
      </c>
      <c r="O97" s="188" t="s">
        <v>57</v>
      </c>
      <c r="P97" s="189"/>
      <c r="Q97" s="189"/>
      <c r="R97" s="190"/>
      <c r="S97" s="29" t="s">
        <v>61</v>
      </c>
    </row>
    <row r="98" spans="1:19" ht="174.95" customHeight="1" x14ac:dyDescent="0.25">
      <c r="A98" s="22">
        <v>85</v>
      </c>
      <c r="B98" s="23" t="s">
        <v>976</v>
      </c>
      <c r="C98" s="194" t="s">
        <v>977</v>
      </c>
      <c r="D98" s="195"/>
      <c r="E98" s="195"/>
      <c r="F98" s="196"/>
      <c r="G98" s="32" t="s">
        <v>979</v>
      </c>
      <c r="H98" s="25" t="s">
        <v>978</v>
      </c>
      <c r="I98" s="33">
        <v>1</v>
      </c>
      <c r="J98" s="33">
        <v>0</v>
      </c>
      <c r="K98" s="33">
        <v>0</v>
      </c>
      <c r="L98" s="33">
        <v>0</v>
      </c>
      <c r="M98" s="33">
        <v>0</v>
      </c>
      <c r="N98" s="33">
        <v>0</v>
      </c>
      <c r="O98" s="191" t="s">
        <v>50</v>
      </c>
      <c r="P98" s="192"/>
      <c r="Q98" s="192"/>
      <c r="R98" s="193"/>
      <c r="S98" s="29" t="s">
        <v>53</v>
      </c>
    </row>
    <row r="99" spans="1:19" ht="174.95" customHeight="1" x14ac:dyDescent="0.25">
      <c r="A99" s="31">
        <v>86</v>
      </c>
      <c r="B99" s="37" t="s">
        <v>976</v>
      </c>
      <c r="C99" s="194" t="s">
        <v>980</v>
      </c>
      <c r="D99" s="195"/>
      <c r="E99" s="195"/>
      <c r="F99" s="196"/>
      <c r="G99" s="32" t="s">
        <v>981</v>
      </c>
      <c r="H99" s="25" t="s">
        <v>982</v>
      </c>
      <c r="I99" s="33">
        <v>1</v>
      </c>
      <c r="J99" s="33">
        <v>0</v>
      </c>
      <c r="K99" s="33">
        <v>0</v>
      </c>
      <c r="L99" s="33">
        <v>0</v>
      </c>
      <c r="M99" s="33">
        <v>0</v>
      </c>
      <c r="N99" s="33">
        <v>0</v>
      </c>
      <c r="O99" s="191" t="s">
        <v>48</v>
      </c>
      <c r="P99" s="192"/>
      <c r="Q99" s="192"/>
      <c r="R99" s="193"/>
      <c r="S99" s="29" t="s">
        <v>56</v>
      </c>
    </row>
    <row r="100" spans="1:19" ht="174.95" customHeight="1" x14ac:dyDescent="0.25">
      <c r="A100" s="22">
        <v>87</v>
      </c>
      <c r="B100" s="23" t="s">
        <v>987</v>
      </c>
      <c r="C100" s="194" t="s">
        <v>986</v>
      </c>
      <c r="D100" s="195"/>
      <c r="E100" s="195"/>
      <c r="F100" s="196"/>
      <c r="G100" s="32" t="s">
        <v>985</v>
      </c>
      <c r="H100" s="25" t="s">
        <v>984</v>
      </c>
      <c r="I100" s="33">
        <v>1</v>
      </c>
      <c r="J100" s="33">
        <v>0</v>
      </c>
      <c r="K100" s="33">
        <v>0</v>
      </c>
      <c r="L100" s="33">
        <v>0</v>
      </c>
      <c r="M100" s="33">
        <v>0</v>
      </c>
      <c r="N100" s="33">
        <v>0</v>
      </c>
      <c r="O100" s="191" t="s">
        <v>57</v>
      </c>
      <c r="P100" s="192"/>
      <c r="Q100" s="192"/>
      <c r="R100" s="193"/>
      <c r="S100" s="29" t="s">
        <v>60</v>
      </c>
    </row>
    <row r="101" spans="1:19" ht="174.95" customHeight="1" x14ac:dyDescent="0.25">
      <c r="A101" s="31">
        <v>88</v>
      </c>
      <c r="B101" s="37" t="s">
        <v>988</v>
      </c>
      <c r="C101" s="194" t="s">
        <v>989</v>
      </c>
      <c r="D101" s="195"/>
      <c r="E101" s="195"/>
      <c r="F101" s="196"/>
      <c r="G101" s="32" t="s">
        <v>991</v>
      </c>
      <c r="H101" s="25" t="s">
        <v>990</v>
      </c>
      <c r="I101" s="33">
        <v>1</v>
      </c>
      <c r="J101" s="33">
        <v>0</v>
      </c>
      <c r="K101" s="33">
        <v>0</v>
      </c>
      <c r="L101" s="33">
        <v>0</v>
      </c>
      <c r="M101" s="33">
        <v>0</v>
      </c>
      <c r="N101" s="33">
        <v>0</v>
      </c>
      <c r="O101" s="188" t="s">
        <v>55</v>
      </c>
      <c r="P101" s="189"/>
      <c r="Q101" s="189"/>
      <c r="R101" s="190"/>
      <c r="S101" s="29" t="s">
        <v>62</v>
      </c>
    </row>
    <row r="102" spans="1:19" ht="184.5" customHeight="1" x14ac:dyDescent="0.25">
      <c r="A102" s="22">
        <v>89</v>
      </c>
      <c r="B102" s="37" t="s">
        <v>988</v>
      </c>
      <c r="C102" s="194" t="s">
        <v>992</v>
      </c>
      <c r="D102" s="195"/>
      <c r="E102" s="195"/>
      <c r="F102" s="196"/>
      <c r="G102" s="32" t="s">
        <v>994</v>
      </c>
      <c r="H102" s="25" t="s">
        <v>993</v>
      </c>
      <c r="I102" s="33">
        <v>0</v>
      </c>
      <c r="J102" s="33">
        <v>1</v>
      </c>
      <c r="K102" s="33">
        <v>0</v>
      </c>
      <c r="L102" s="33">
        <v>0</v>
      </c>
      <c r="M102" s="33">
        <v>0</v>
      </c>
      <c r="N102" s="33">
        <v>0</v>
      </c>
      <c r="O102" s="188" t="s">
        <v>50</v>
      </c>
      <c r="P102" s="189"/>
      <c r="Q102" s="189"/>
      <c r="R102" s="190"/>
      <c r="S102" s="29" t="s">
        <v>58</v>
      </c>
    </row>
    <row r="103" spans="1:19" ht="135" customHeight="1" x14ac:dyDescent="0.25">
      <c r="A103" s="31">
        <v>90</v>
      </c>
      <c r="B103" s="37" t="s">
        <v>995</v>
      </c>
      <c r="C103" s="194" t="s">
        <v>996</v>
      </c>
      <c r="D103" s="195"/>
      <c r="E103" s="195"/>
      <c r="F103" s="196"/>
      <c r="G103" s="32" t="s">
        <v>998</v>
      </c>
      <c r="H103" s="25" t="s">
        <v>997</v>
      </c>
      <c r="I103" s="33">
        <v>1</v>
      </c>
      <c r="J103" s="33">
        <v>0</v>
      </c>
      <c r="K103" s="33">
        <v>0</v>
      </c>
      <c r="L103" s="33">
        <v>0</v>
      </c>
      <c r="M103" s="33">
        <v>0</v>
      </c>
      <c r="N103" s="33">
        <v>0</v>
      </c>
      <c r="O103" s="188" t="s">
        <v>50</v>
      </c>
      <c r="P103" s="189"/>
      <c r="Q103" s="189"/>
      <c r="R103" s="190"/>
      <c r="S103" s="29" t="s">
        <v>53</v>
      </c>
    </row>
    <row r="104" spans="1:19" ht="146.25" customHeight="1" x14ac:dyDescent="0.25">
      <c r="A104" s="22">
        <v>91</v>
      </c>
      <c r="B104" s="37" t="s">
        <v>995</v>
      </c>
      <c r="C104" s="194" t="s">
        <v>999</v>
      </c>
      <c r="D104" s="195"/>
      <c r="E104" s="195"/>
      <c r="F104" s="196"/>
      <c r="G104" s="32" t="s">
        <v>1001</v>
      </c>
      <c r="H104" s="25" t="s">
        <v>1000</v>
      </c>
      <c r="I104" s="33">
        <v>1</v>
      </c>
      <c r="J104" s="33">
        <v>0</v>
      </c>
      <c r="K104" s="33">
        <v>0</v>
      </c>
      <c r="L104" s="33">
        <v>0</v>
      </c>
      <c r="M104" s="33">
        <v>0</v>
      </c>
      <c r="N104" s="33">
        <v>0</v>
      </c>
      <c r="O104" s="188" t="s">
        <v>48</v>
      </c>
      <c r="P104" s="189"/>
      <c r="Q104" s="189"/>
      <c r="R104" s="190"/>
      <c r="S104" s="29" t="s">
        <v>60</v>
      </c>
    </row>
    <row r="105" spans="1:19" ht="135" customHeight="1" x14ac:dyDescent="0.25">
      <c r="A105" s="31">
        <v>92</v>
      </c>
      <c r="B105" s="37" t="s">
        <v>1002</v>
      </c>
      <c r="C105" s="194" t="s">
        <v>1003</v>
      </c>
      <c r="D105" s="195"/>
      <c r="E105" s="195"/>
      <c r="F105" s="196"/>
      <c r="G105" s="32" t="s">
        <v>1005</v>
      </c>
      <c r="H105" s="25" t="s">
        <v>1004</v>
      </c>
      <c r="I105" s="33">
        <v>1</v>
      </c>
      <c r="J105" s="33">
        <v>0</v>
      </c>
      <c r="K105" s="33">
        <v>0</v>
      </c>
      <c r="L105" s="33">
        <v>0</v>
      </c>
      <c r="M105" s="33">
        <v>0</v>
      </c>
      <c r="N105" s="33">
        <v>0</v>
      </c>
      <c r="O105" s="188" t="s">
        <v>57</v>
      </c>
      <c r="P105" s="189"/>
      <c r="Q105" s="189"/>
      <c r="R105" s="190"/>
      <c r="S105" s="29" t="s">
        <v>51</v>
      </c>
    </row>
    <row r="106" spans="1:19" ht="135" customHeight="1" x14ac:dyDescent="0.25">
      <c r="A106" s="22">
        <v>93</v>
      </c>
      <c r="B106" s="44" t="s">
        <v>1006</v>
      </c>
      <c r="C106" s="194" t="s">
        <v>1007</v>
      </c>
      <c r="D106" s="195"/>
      <c r="E106" s="195"/>
      <c r="F106" s="196"/>
      <c r="G106" s="45" t="s">
        <v>1009</v>
      </c>
      <c r="H106" s="46" t="s">
        <v>1008</v>
      </c>
      <c r="I106" s="47">
        <v>1</v>
      </c>
      <c r="J106" s="47">
        <v>0</v>
      </c>
      <c r="K106" s="47">
        <v>0</v>
      </c>
      <c r="L106" s="48">
        <v>0</v>
      </c>
      <c r="M106" s="49">
        <v>0</v>
      </c>
      <c r="N106" s="49">
        <v>0</v>
      </c>
      <c r="O106" s="198" t="s">
        <v>57</v>
      </c>
      <c r="P106" s="199"/>
      <c r="Q106" s="199"/>
      <c r="R106" s="200"/>
      <c r="S106" s="50" t="s">
        <v>51</v>
      </c>
    </row>
    <row r="107" spans="1:19" ht="135" customHeight="1" x14ac:dyDescent="0.25">
      <c r="A107" s="31">
        <v>94</v>
      </c>
      <c r="B107" s="46" t="s">
        <v>1010</v>
      </c>
      <c r="C107" s="194" t="s">
        <v>1011</v>
      </c>
      <c r="D107" s="195"/>
      <c r="E107" s="195"/>
      <c r="F107" s="196"/>
      <c r="G107" s="51" t="s">
        <v>1012</v>
      </c>
      <c r="H107" s="46" t="s">
        <v>2268</v>
      </c>
      <c r="I107" s="52">
        <v>1</v>
      </c>
      <c r="J107" s="52">
        <v>0</v>
      </c>
      <c r="K107" s="52">
        <v>0</v>
      </c>
      <c r="L107" s="52">
        <v>0</v>
      </c>
      <c r="M107" s="52">
        <v>0</v>
      </c>
      <c r="N107" s="52">
        <v>0</v>
      </c>
      <c r="O107" s="201" t="s">
        <v>64</v>
      </c>
      <c r="P107" s="202"/>
      <c r="Q107" s="202"/>
      <c r="R107" s="203"/>
      <c r="S107" s="50" t="s">
        <v>51</v>
      </c>
    </row>
    <row r="108" spans="1:19" ht="135" customHeight="1" x14ac:dyDescent="0.25">
      <c r="A108" s="22">
        <v>95</v>
      </c>
      <c r="B108" s="44" t="s">
        <v>1010</v>
      </c>
      <c r="C108" s="194" t="s">
        <v>1013</v>
      </c>
      <c r="D108" s="195"/>
      <c r="E108" s="195"/>
      <c r="F108" s="196"/>
      <c r="G108" s="53" t="s">
        <v>1015</v>
      </c>
      <c r="H108" s="46" t="s">
        <v>1014</v>
      </c>
      <c r="I108" s="52">
        <v>1</v>
      </c>
      <c r="J108" s="52">
        <v>0</v>
      </c>
      <c r="K108" s="52">
        <v>0</v>
      </c>
      <c r="L108" s="52">
        <v>0</v>
      </c>
      <c r="M108" s="52">
        <v>0</v>
      </c>
      <c r="N108" s="52">
        <v>0</v>
      </c>
      <c r="O108" s="201" t="s">
        <v>57</v>
      </c>
      <c r="P108" s="202"/>
      <c r="Q108" s="202"/>
      <c r="R108" s="203"/>
      <c r="S108" s="50" t="s">
        <v>56</v>
      </c>
    </row>
    <row r="109" spans="1:19" ht="135" customHeight="1" x14ac:dyDescent="0.25">
      <c r="A109" s="31">
        <v>96</v>
      </c>
      <c r="B109" s="44" t="s">
        <v>1016</v>
      </c>
      <c r="C109" s="194" t="s">
        <v>1013</v>
      </c>
      <c r="D109" s="195"/>
      <c r="E109" s="195"/>
      <c r="F109" s="196"/>
      <c r="G109" s="53" t="s">
        <v>1017</v>
      </c>
      <c r="H109" s="46" t="s">
        <v>2269</v>
      </c>
      <c r="I109" s="52">
        <v>1</v>
      </c>
      <c r="J109" s="52">
        <v>0</v>
      </c>
      <c r="K109" s="52">
        <v>0</v>
      </c>
      <c r="L109" s="52">
        <v>0</v>
      </c>
      <c r="M109" s="52">
        <v>0</v>
      </c>
      <c r="N109" s="52">
        <v>0</v>
      </c>
      <c r="O109" s="201" t="s">
        <v>48</v>
      </c>
      <c r="P109" s="202"/>
      <c r="Q109" s="202"/>
      <c r="R109" s="203"/>
      <c r="S109" s="50" t="s">
        <v>51</v>
      </c>
    </row>
    <row r="110" spans="1:19" ht="144.75" customHeight="1" x14ac:dyDescent="0.25">
      <c r="A110" s="22">
        <v>97</v>
      </c>
      <c r="B110" s="44" t="s">
        <v>1018</v>
      </c>
      <c r="C110" s="194" t="s">
        <v>1019</v>
      </c>
      <c r="D110" s="195"/>
      <c r="E110" s="195"/>
      <c r="F110" s="196"/>
      <c r="G110" s="53" t="s">
        <v>1021</v>
      </c>
      <c r="H110" s="46" t="s">
        <v>1020</v>
      </c>
      <c r="I110" s="52">
        <v>0</v>
      </c>
      <c r="J110" s="52">
        <v>1</v>
      </c>
      <c r="K110" s="52">
        <v>0</v>
      </c>
      <c r="L110" s="52">
        <v>0</v>
      </c>
      <c r="M110" s="52">
        <v>0</v>
      </c>
      <c r="N110" s="52">
        <v>0</v>
      </c>
      <c r="O110" s="201" t="s">
        <v>57</v>
      </c>
      <c r="P110" s="202"/>
      <c r="Q110" s="202"/>
      <c r="R110" s="203"/>
      <c r="S110" s="50" t="s">
        <v>73</v>
      </c>
    </row>
    <row r="111" spans="1:19" ht="174.95" customHeight="1" x14ac:dyDescent="0.25">
      <c r="A111" s="31">
        <v>98</v>
      </c>
      <c r="B111" s="44" t="s">
        <v>1022</v>
      </c>
      <c r="C111" s="194" t="s">
        <v>1023</v>
      </c>
      <c r="D111" s="195"/>
      <c r="E111" s="195"/>
      <c r="F111" s="196"/>
      <c r="G111" s="53" t="s">
        <v>1025</v>
      </c>
      <c r="H111" s="46" t="s">
        <v>1024</v>
      </c>
      <c r="I111" s="52">
        <v>1</v>
      </c>
      <c r="J111" s="52">
        <v>0</v>
      </c>
      <c r="K111" s="52">
        <v>0</v>
      </c>
      <c r="L111" s="52">
        <v>0</v>
      </c>
      <c r="M111" s="52">
        <v>0</v>
      </c>
      <c r="N111" s="52">
        <v>0</v>
      </c>
      <c r="O111" s="198" t="s">
        <v>57</v>
      </c>
      <c r="P111" s="199"/>
      <c r="Q111" s="199"/>
      <c r="R111" s="200"/>
      <c r="S111" s="50" t="s">
        <v>51</v>
      </c>
    </row>
    <row r="112" spans="1:19" ht="174.95" customHeight="1" x14ac:dyDescent="0.25">
      <c r="A112" s="22">
        <v>99</v>
      </c>
      <c r="B112" s="44" t="s">
        <v>1026</v>
      </c>
      <c r="C112" s="194" t="s">
        <v>1027</v>
      </c>
      <c r="D112" s="195"/>
      <c r="E112" s="195"/>
      <c r="F112" s="196"/>
      <c r="G112" s="53" t="s">
        <v>1029</v>
      </c>
      <c r="H112" s="46" t="s">
        <v>1028</v>
      </c>
      <c r="I112" s="52">
        <v>1</v>
      </c>
      <c r="J112" s="52">
        <v>0</v>
      </c>
      <c r="K112" s="52">
        <v>0</v>
      </c>
      <c r="L112" s="52">
        <v>0</v>
      </c>
      <c r="M112" s="52">
        <v>0</v>
      </c>
      <c r="N112" s="52">
        <v>0</v>
      </c>
      <c r="O112" s="201" t="s">
        <v>50</v>
      </c>
      <c r="P112" s="202"/>
      <c r="Q112" s="202"/>
      <c r="R112" s="203"/>
      <c r="S112" s="50" t="s">
        <v>51</v>
      </c>
    </row>
    <row r="113" spans="1:19" ht="174.95" customHeight="1" x14ac:dyDescent="0.25">
      <c r="A113" s="31">
        <v>100</v>
      </c>
      <c r="B113" s="44" t="s">
        <v>1026</v>
      </c>
      <c r="C113" s="194" t="s">
        <v>1030</v>
      </c>
      <c r="D113" s="195"/>
      <c r="E113" s="195"/>
      <c r="F113" s="196"/>
      <c r="G113" s="53" t="s">
        <v>1032</v>
      </c>
      <c r="H113" s="46" t="s">
        <v>1031</v>
      </c>
      <c r="I113" s="52">
        <v>1</v>
      </c>
      <c r="J113" s="52">
        <v>0</v>
      </c>
      <c r="K113" s="52">
        <v>0</v>
      </c>
      <c r="L113" s="52">
        <v>0</v>
      </c>
      <c r="M113" s="52">
        <v>0</v>
      </c>
      <c r="N113" s="52">
        <v>0</v>
      </c>
      <c r="O113" s="201" t="s">
        <v>55</v>
      </c>
      <c r="P113" s="202"/>
      <c r="Q113" s="202"/>
      <c r="R113" s="203"/>
      <c r="S113" s="50" t="s">
        <v>56</v>
      </c>
    </row>
    <row r="114" spans="1:19" ht="192.75" customHeight="1" x14ac:dyDescent="0.25">
      <c r="A114" s="22">
        <v>101</v>
      </c>
      <c r="B114" s="46" t="s">
        <v>1033</v>
      </c>
      <c r="C114" s="194" t="s">
        <v>1034</v>
      </c>
      <c r="D114" s="195"/>
      <c r="E114" s="195"/>
      <c r="F114" s="196"/>
      <c r="G114" s="53" t="s">
        <v>1036</v>
      </c>
      <c r="H114" s="46" t="s">
        <v>1035</v>
      </c>
      <c r="I114" s="52">
        <v>1</v>
      </c>
      <c r="J114" s="52">
        <v>0</v>
      </c>
      <c r="K114" s="52">
        <v>0</v>
      </c>
      <c r="L114" s="52">
        <v>0</v>
      </c>
      <c r="M114" s="52">
        <v>0</v>
      </c>
      <c r="N114" s="52">
        <v>0</v>
      </c>
      <c r="O114" s="198" t="s">
        <v>55</v>
      </c>
      <c r="P114" s="199"/>
      <c r="Q114" s="199"/>
      <c r="R114" s="200"/>
      <c r="S114" s="50" t="s">
        <v>51</v>
      </c>
    </row>
    <row r="115" spans="1:19" ht="195.75" customHeight="1" x14ac:dyDescent="0.25">
      <c r="A115" s="31">
        <v>102</v>
      </c>
      <c r="B115" s="44" t="s">
        <v>1033</v>
      </c>
      <c r="C115" s="194" t="s">
        <v>1037</v>
      </c>
      <c r="D115" s="195"/>
      <c r="E115" s="195"/>
      <c r="F115" s="196"/>
      <c r="G115" s="53" t="s">
        <v>1039</v>
      </c>
      <c r="H115" s="46" t="s">
        <v>1038</v>
      </c>
      <c r="I115" s="52">
        <v>1</v>
      </c>
      <c r="J115" s="52">
        <v>0</v>
      </c>
      <c r="K115" s="52">
        <v>0</v>
      </c>
      <c r="L115" s="52">
        <v>0</v>
      </c>
      <c r="M115" s="52">
        <v>0</v>
      </c>
      <c r="N115" s="52">
        <v>0</v>
      </c>
      <c r="O115" s="201" t="s">
        <v>48</v>
      </c>
      <c r="P115" s="202"/>
      <c r="Q115" s="202"/>
      <c r="R115" s="203"/>
      <c r="S115" s="50" t="s">
        <v>61</v>
      </c>
    </row>
    <row r="116" spans="1:19" ht="213" customHeight="1" x14ac:dyDescent="0.25">
      <c r="A116" s="22">
        <v>103</v>
      </c>
      <c r="B116" s="46" t="s">
        <v>1040</v>
      </c>
      <c r="C116" s="194" t="s">
        <v>1041</v>
      </c>
      <c r="D116" s="195"/>
      <c r="E116" s="195"/>
      <c r="F116" s="196"/>
      <c r="G116" s="53" t="s">
        <v>1043</v>
      </c>
      <c r="H116" s="46" t="s">
        <v>1042</v>
      </c>
      <c r="I116" s="52">
        <v>1</v>
      </c>
      <c r="J116" s="52">
        <v>0</v>
      </c>
      <c r="K116" s="52">
        <v>0</v>
      </c>
      <c r="L116" s="52">
        <v>0</v>
      </c>
      <c r="M116" s="52">
        <v>0</v>
      </c>
      <c r="N116" s="52">
        <v>0</v>
      </c>
      <c r="O116" s="201" t="s">
        <v>57</v>
      </c>
      <c r="P116" s="202"/>
      <c r="Q116" s="202"/>
      <c r="R116" s="203"/>
      <c r="S116" s="50" t="s">
        <v>51</v>
      </c>
    </row>
    <row r="117" spans="1:19" ht="174.95" customHeight="1" x14ac:dyDescent="0.25">
      <c r="A117" s="31">
        <v>104</v>
      </c>
      <c r="B117" s="54" t="s">
        <v>1044</v>
      </c>
      <c r="C117" s="194" t="s">
        <v>1045</v>
      </c>
      <c r="D117" s="195"/>
      <c r="E117" s="195"/>
      <c r="F117" s="196"/>
      <c r="G117" s="53" t="s">
        <v>1047</v>
      </c>
      <c r="H117" s="46" t="s">
        <v>1046</v>
      </c>
      <c r="I117" s="52">
        <v>1</v>
      </c>
      <c r="J117" s="52">
        <v>0</v>
      </c>
      <c r="K117" s="52">
        <v>0</v>
      </c>
      <c r="L117" s="52">
        <v>0</v>
      </c>
      <c r="M117" s="52">
        <v>0</v>
      </c>
      <c r="N117" s="52">
        <v>0</v>
      </c>
      <c r="O117" s="198" t="s">
        <v>57</v>
      </c>
      <c r="P117" s="199"/>
      <c r="Q117" s="199"/>
      <c r="R117" s="200"/>
      <c r="S117" s="50" t="s">
        <v>49</v>
      </c>
    </row>
    <row r="118" spans="1:19" ht="174.95" customHeight="1" x14ac:dyDescent="0.25">
      <c r="A118" s="22">
        <v>105</v>
      </c>
      <c r="B118" s="44" t="s">
        <v>1048</v>
      </c>
      <c r="C118" s="194" t="s">
        <v>1049</v>
      </c>
      <c r="D118" s="195"/>
      <c r="E118" s="195"/>
      <c r="F118" s="196"/>
      <c r="G118" s="53" t="s">
        <v>1051</v>
      </c>
      <c r="H118" s="46" t="s">
        <v>1050</v>
      </c>
      <c r="I118" s="52">
        <v>0</v>
      </c>
      <c r="J118" s="52">
        <v>1</v>
      </c>
      <c r="K118" s="52">
        <v>0</v>
      </c>
      <c r="L118" s="52">
        <v>0</v>
      </c>
      <c r="M118" s="52">
        <v>0</v>
      </c>
      <c r="N118" s="52">
        <v>0</v>
      </c>
      <c r="O118" s="198" t="s">
        <v>48</v>
      </c>
      <c r="P118" s="199"/>
      <c r="Q118" s="199"/>
      <c r="R118" s="200"/>
      <c r="S118" s="50" t="s">
        <v>58</v>
      </c>
    </row>
    <row r="119" spans="1:19" ht="174.95" customHeight="1" x14ac:dyDescent="0.25">
      <c r="A119" s="31">
        <v>106</v>
      </c>
      <c r="B119" s="44" t="s">
        <v>1052</v>
      </c>
      <c r="C119" s="194" t="s">
        <v>1049</v>
      </c>
      <c r="D119" s="195"/>
      <c r="E119" s="195"/>
      <c r="F119" s="196"/>
      <c r="G119" s="53" t="s">
        <v>1054</v>
      </c>
      <c r="H119" s="46" t="s">
        <v>2492</v>
      </c>
      <c r="I119" s="52">
        <v>1</v>
      </c>
      <c r="J119" s="52">
        <v>0</v>
      </c>
      <c r="K119" s="52">
        <v>0</v>
      </c>
      <c r="L119" s="52">
        <v>0</v>
      </c>
      <c r="M119" s="52">
        <v>0</v>
      </c>
      <c r="N119" s="52">
        <v>0</v>
      </c>
      <c r="O119" s="201" t="s">
        <v>50</v>
      </c>
      <c r="P119" s="202"/>
      <c r="Q119" s="202"/>
      <c r="R119" s="203"/>
      <c r="S119" s="50" t="s">
        <v>1053</v>
      </c>
    </row>
    <row r="120" spans="1:19" ht="174.95" customHeight="1" x14ac:dyDescent="0.25">
      <c r="A120" s="22">
        <v>107</v>
      </c>
      <c r="B120" s="44" t="s">
        <v>1055</v>
      </c>
      <c r="C120" s="194" t="s">
        <v>1056</v>
      </c>
      <c r="D120" s="195"/>
      <c r="E120" s="195"/>
      <c r="F120" s="196"/>
      <c r="G120" s="53" t="s">
        <v>1058</v>
      </c>
      <c r="H120" s="46" t="s">
        <v>1057</v>
      </c>
      <c r="I120" s="52">
        <v>1</v>
      </c>
      <c r="J120" s="52">
        <v>0</v>
      </c>
      <c r="K120" s="52">
        <v>0</v>
      </c>
      <c r="L120" s="52">
        <v>0</v>
      </c>
      <c r="M120" s="52">
        <v>0</v>
      </c>
      <c r="N120" s="52">
        <v>0</v>
      </c>
      <c r="O120" s="198" t="s">
        <v>57</v>
      </c>
      <c r="P120" s="199"/>
      <c r="Q120" s="199"/>
      <c r="R120" s="200"/>
      <c r="S120" s="50" t="s">
        <v>51</v>
      </c>
    </row>
    <row r="121" spans="1:19" ht="174.95" customHeight="1" x14ac:dyDescent="0.25">
      <c r="A121" s="31">
        <v>108</v>
      </c>
      <c r="B121" s="44" t="s">
        <v>1059</v>
      </c>
      <c r="C121" s="194" t="s">
        <v>1060</v>
      </c>
      <c r="D121" s="195"/>
      <c r="E121" s="195"/>
      <c r="F121" s="196"/>
      <c r="G121" s="53" t="s">
        <v>1062</v>
      </c>
      <c r="H121" s="46" t="s">
        <v>1061</v>
      </c>
      <c r="I121" s="52">
        <v>1</v>
      </c>
      <c r="J121" s="52">
        <v>0</v>
      </c>
      <c r="K121" s="52">
        <v>0</v>
      </c>
      <c r="L121" s="52">
        <v>0</v>
      </c>
      <c r="M121" s="52">
        <v>0</v>
      </c>
      <c r="N121" s="52">
        <v>0</v>
      </c>
      <c r="O121" s="198" t="s">
        <v>54</v>
      </c>
      <c r="P121" s="199"/>
      <c r="Q121" s="199"/>
      <c r="R121" s="200"/>
      <c r="S121" s="50" t="s">
        <v>61</v>
      </c>
    </row>
    <row r="122" spans="1:19" ht="174.95" customHeight="1" x14ac:dyDescent="0.25">
      <c r="A122" s="22">
        <v>109</v>
      </c>
      <c r="B122" s="54" t="s">
        <v>1059</v>
      </c>
      <c r="C122" s="194" t="s">
        <v>1063</v>
      </c>
      <c r="D122" s="195"/>
      <c r="E122" s="195"/>
      <c r="F122" s="196"/>
      <c r="G122" s="53" t="s">
        <v>1065</v>
      </c>
      <c r="H122" s="46" t="s">
        <v>1064</v>
      </c>
      <c r="I122" s="52">
        <v>1</v>
      </c>
      <c r="J122" s="52">
        <v>0</v>
      </c>
      <c r="K122" s="52">
        <v>0</v>
      </c>
      <c r="L122" s="52">
        <v>0</v>
      </c>
      <c r="M122" s="52">
        <v>0</v>
      </c>
      <c r="N122" s="52">
        <v>0</v>
      </c>
      <c r="O122" s="201" t="s">
        <v>48</v>
      </c>
      <c r="P122" s="202"/>
      <c r="Q122" s="202"/>
      <c r="R122" s="203"/>
      <c r="S122" s="50" t="s">
        <v>56</v>
      </c>
    </row>
    <row r="123" spans="1:19" ht="174.95" customHeight="1" x14ac:dyDescent="0.25">
      <c r="A123" s="31">
        <v>110</v>
      </c>
      <c r="B123" s="25" t="s">
        <v>1069</v>
      </c>
      <c r="C123" s="194" t="s">
        <v>1066</v>
      </c>
      <c r="D123" s="195"/>
      <c r="E123" s="195"/>
      <c r="F123" s="196"/>
      <c r="G123" s="32" t="s">
        <v>1068</v>
      </c>
      <c r="H123" s="25" t="s">
        <v>1067</v>
      </c>
      <c r="I123" s="33">
        <v>1</v>
      </c>
      <c r="J123" s="33">
        <v>0</v>
      </c>
      <c r="K123" s="33">
        <v>0</v>
      </c>
      <c r="L123" s="33">
        <v>0</v>
      </c>
      <c r="M123" s="33">
        <v>0</v>
      </c>
      <c r="N123" s="33">
        <v>0</v>
      </c>
      <c r="O123" s="191" t="s">
        <v>50</v>
      </c>
      <c r="P123" s="192"/>
      <c r="Q123" s="192"/>
      <c r="R123" s="193"/>
      <c r="S123" s="29" t="s">
        <v>51</v>
      </c>
    </row>
    <row r="124" spans="1:19" ht="210" customHeight="1" x14ac:dyDescent="0.25">
      <c r="A124" s="22">
        <v>111</v>
      </c>
      <c r="B124" s="25" t="s">
        <v>1069</v>
      </c>
      <c r="C124" s="194" t="s">
        <v>1070</v>
      </c>
      <c r="D124" s="195"/>
      <c r="E124" s="195"/>
      <c r="F124" s="196"/>
      <c r="G124" s="32" t="s">
        <v>1072</v>
      </c>
      <c r="H124" s="25" t="s">
        <v>1071</v>
      </c>
      <c r="I124" s="33">
        <v>1</v>
      </c>
      <c r="J124" s="33">
        <v>0</v>
      </c>
      <c r="K124" s="33">
        <v>0</v>
      </c>
      <c r="L124" s="33">
        <v>0</v>
      </c>
      <c r="M124" s="33">
        <v>0</v>
      </c>
      <c r="N124" s="33">
        <v>0</v>
      </c>
      <c r="O124" s="191" t="s">
        <v>57</v>
      </c>
      <c r="P124" s="192"/>
      <c r="Q124" s="192"/>
      <c r="R124" s="193"/>
      <c r="S124" s="29" t="s">
        <v>62</v>
      </c>
    </row>
    <row r="125" spans="1:19" ht="174.95" customHeight="1" x14ac:dyDescent="0.25">
      <c r="A125" s="31">
        <v>112</v>
      </c>
      <c r="B125" s="25" t="s">
        <v>1073</v>
      </c>
      <c r="C125" s="194" t="s">
        <v>1074</v>
      </c>
      <c r="D125" s="195"/>
      <c r="E125" s="195"/>
      <c r="F125" s="196"/>
      <c r="G125" s="32" t="s">
        <v>1076</v>
      </c>
      <c r="H125" s="25" t="s">
        <v>1075</v>
      </c>
      <c r="I125" s="33">
        <v>1</v>
      </c>
      <c r="J125" s="33">
        <v>0</v>
      </c>
      <c r="K125" s="33">
        <v>0</v>
      </c>
      <c r="L125" s="33">
        <v>0</v>
      </c>
      <c r="M125" s="33">
        <v>0</v>
      </c>
      <c r="N125" s="33">
        <v>0</v>
      </c>
      <c r="O125" s="191" t="s">
        <v>57</v>
      </c>
      <c r="P125" s="192"/>
      <c r="Q125" s="192"/>
      <c r="R125" s="193"/>
      <c r="S125" s="29" t="s">
        <v>51</v>
      </c>
    </row>
    <row r="126" spans="1:19" ht="174.95" customHeight="1" x14ac:dyDescent="0.25">
      <c r="A126" s="22">
        <v>113</v>
      </c>
      <c r="B126" s="25" t="s">
        <v>1077</v>
      </c>
      <c r="C126" s="194" t="s">
        <v>1078</v>
      </c>
      <c r="D126" s="195"/>
      <c r="E126" s="195"/>
      <c r="F126" s="196"/>
      <c r="G126" s="32" t="s">
        <v>1080</v>
      </c>
      <c r="H126" s="25" t="s">
        <v>1079</v>
      </c>
      <c r="I126" s="33">
        <v>1</v>
      </c>
      <c r="J126" s="33">
        <v>0</v>
      </c>
      <c r="K126" s="33">
        <v>0</v>
      </c>
      <c r="L126" s="33">
        <v>0</v>
      </c>
      <c r="M126" s="33">
        <v>0</v>
      </c>
      <c r="N126" s="33">
        <v>0</v>
      </c>
      <c r="O126" s="188" t="s">
        <v>57</v>
      </c>
      <c r="P126" s="189"/>
      <c r="Q126" s="189"/>
      <c r="R126" s="190"/>
      <c r="S126" s="29" t="s">
        <v>51</v>
      </c>
    </row>
    <row r="127" spans="1:19" ht="174.95" customHeight="1" x14ac:dyDescent="0.25">
      <c r="A127" s="31">
        <v>114</v>
      </c>
      <c r="B127" s="25" t="s">
        <v>1081</v>
      </c>
      <c r="C127" s="194" t="s">
        <v>1082</v>
      </c>
      <c r="D127" s="195"/>
      <c r="E127" s="195"/>
      <c r="F127" s="196"/>
      <c r="G127" s="32" t="s">
        <v>1084</v>
      </c>
      <c r="H127" s="25" t="s">
        <v>1083</v>
      </c>
      <c r="I127" s="33">
        <v>1</v>
      </c>
      <c r="J127" s="33">
        <v>0</v>
      </c>
      <c r="K127" s="33">
        <v>0</v>
      </c>
      <c r="L127" s="33">
        <v>0</v>
      </c>
      <c r="M127" s="33">
        <v>0</v>
      </c>
      <c r="N127" s="33">
        <v>0</v>
      </c>
      <c r="O127" s="188" t="s">
        <v>66</v>
      </c>
      <c r="P127" s="189"/>
      <c r="Q127" s="189"/>
      <c r="R127" s="190"/>
      <c r="S127" s="29" t="s">
        <v>51</v>
      </c>
    </row>
    <row r="128" spans="1:19" ht="174.95" customHeight="1" x14ac:dyDescent="0.25">
      <c r="A128" s="22">
        <v>115</v>
      </c>
      <c r="B128" s="25" t="s">
        <v>1081</v>
      </c>
      <c r="C128" s="194" t="s">
        <v>1085</v>
      </c>
      <c r="D128" s="195"/>
      <c r="E128" s="195"/>
      <c r="F128" s="196"/>
      <c r="G128" s="32" t="s">
        <v>1087</v>
      </c>
      <c r="H128" s="25" t="s">
        <v>1086</v>
      </c>
      <c r="I128" s="33">
        <v>1</v>
      </c>
      <c r="J128" s="33">
        <v>0</v>
      </c>
      <c r="K128" s="33">
        <v>0</v>
      </c>
      <c r="L128" s="33">
        <v>0</v>
      </c>
      <c r="M128" s="33">
        <v>0</v>
      </c>
      <c r="N128" s="33">
        <v>0</v>
      </c>
      <c r="O128" s="188" t="s">
        <v>57</v>
      </c>
      <c r="P128" s="189"/>
      <c r="Q128" s="189"/>
      <c r="R128" s="190"/>
      <c r="S128" s="29" t="s">
        <v>56</v>
      </c>
    </row>
    <row r="129" spans="1:19" ht="174.95" customHeight="1" x14ac:dyDescent="0.25">
      <c r="A129" s="31">
        <v>116</v>
      </c>
      <c r="B129" s="25" t="s">
        <v>1088</v>
      </c>
      <c r="C129" s="194" t="s">
        <v>1089</v>
      </c>
      <c r="D129" s="195"/>
      <c r="E129" s="195"/>
      <c r="F129" s="196"/>
      <c r="G129" s="32" t="s">
        <v>1090</v>
      </c>
      <c r="H129" s="25" t="s">
        <v>1091</v>
      </c>
      <c r="I129" s="33">
        <v>1</v>
      </c>
      <c r="J129" s="33">
        <v>0</v>
      </c>
      <c r="K129" s="33">
        <v>0</v>
      </c>
      <c r="L129" s="33">
        <v>0</v>
      </c>
      <c r="M129" s="33">
        <v>0</v>
      </c>
      <c r="N129" s="33">
        <v>0</v>
      </c>
      <c r="O129" s="188" t="s">
        <v>66</v>
      </c>
      <c r="P129" s="189"/>
      <c r="Q129" s="189"/>
      <c r="R129" s="190"/>
      <c r="S129" s="29" t="s">
        <v>51</v>
      </c>
    </row>
    <row r="130" spans="1:19" ht="174.95" customHeight="1" x14ac:dyDescent="0.25">
      <c r="A130" s="22">
        <v>117</v>
      </c>
      <c r="B130" s="25" t="s">
        <v>1088</v>
      </c>
      <c r="C130" s="194" t="s">
        <v>1092</v>
      </c>
      <c r="D130" s="195"/>
      <c r="E130" s="195"/>
      <c r="F130" s="196"/>
      <c r="G130" s="32" t="s">
        <v>1094</v>
      </c>
      <c r="H130" s="25" t="s">
        <v>1093</v>
      </c>
      <c r="I130" s="33">
        <v>1</v>
      </c>
      <c r="J130" s="33">
        <v>0</v>
      </c>
      <c r="K130" s="33">
        <v>0</v>
      </c>
      <c r="L130" s="33">
        <v>0</v>
      </c>
      <c r="M130" s="33">
        <v>0</v>
      </c>
      <c r="N130" s="33">
        <v>0</v>
      </c>
      <c r="O130" s="188" t="s">
        <v>1095</v>
      </c>
      <c r="P130" s="189"/>
      <c r="Q130" s="189"/>
      <c r="R130" s="190"/>
      <c r="S130" s="29" t="s">
        <v>62</v>
      </c>
    </row>
    <row r="131" spans="1:19" ht="174.95" customHeight="1" x14ac:dyDescent="0.25">
      <c r="A131" s="31">
        <v>118</v>
      </c>
      <c r="B131" s="25" t="s">
        <v>1096</v>
      </c>
      <c r="C131" s="194" t="s">
        <v>1097</v>
      </c>
      <c r="D131" s="195"/>
      <c r="E131" s="195"/>
      <c r="F131" s="196"/>
      <c r="G131" s="32" t="s">
        <v>1099</v>
      </c>
      <c r="H131" s="25" t="s">
        <v>1098</v>
      </c>
      <c r="I131" s="33">
        <v>1</v>
      </c>
      <c r="J131" s="33">
        <v>0</v>
      </c>
      <c r="K131" s="33">
        <v>0</v>
      </c>
      <c r="L131" s="33">
        <v>0</v>
      </c>
      <c r="M131" s="33">
        <v>0</v>
      </c>
      <c r="N131" s="33">
        <v>0</v>
      </c>
      <c r="O131" s="188" t="s">
        <v>66</v>
      </c>
      <c r="P131" s="189"/>
      <c r="Q131" s="189"/>
      <c r="R131" s="190"/>
      <c r="S131" s="29" t="s">
        <v>51</v>
      </c>
    </row>
    <row r="132" spans="1:19" ht="174.95" customHeight="1" x14ac:dyDescent="0.25">
      <c r="A132" s="22">
        <v>119</v>
      </c>
      <c r="B132" s="25" t="s">
        <v>1096</v>
      </c>
      <c r="C132" s="194" t="s">
        <v>1100</v>
      </c>
      <c r="D132" s="195"/>
      <c r="E132" s="195"/>
      <c r="F132" s="196"/>
      <c r="G132" s="32" t="s">
        <v>1102</v>
      </c>
      <c r="H132" s="25" t="s">
        <v>1101</v>
      </c>
      <c r="I132" s="33">
        <v>0</v>
      </c>
      <c r="J132" s="33">
        <v>1</v>
      </c>
      <c r="K132" s="33">
        <v>0</v>
      </c>
      <c r="L132" s="33">
        <v>0</v>
      </c>
      <c r="M132" s="33">
        <v>0</v>
      </c>
      <c r="N132" s="33">
        <v>0</v>
      </c>
      <c r="O132" s="188" t="s">
        <v>69</v>
      </c>
      <c r="P132" s="189"/>
      <c r="Q132" s="189"/>
      <c r="R132" s="190"/>
      <c r="S132" s="29" t="s">
        <v>58</v>
      </c>
    </row>
    <row r="133" spans="1:19" ht="174.95" customHeight="1" x14ac:dyDescent="0.25">
      <c r="A133" s="31">
        <v>120</v>
      </c>
      <c r="B133" s="25" t="s">
        <v>1103</v>
      </c>
      <c r="C133" s="194" t="s">
        <v>1104</v>
      </c>
      <c r="D133" s="195"/>
      <c r="E133" s="195"/>
      <c r="F133" s="196"/>
      <c r="G133" s="32" t="s">
        <v>1106</v>
      </c>
      <c r="H133" s="25" t="s">
        <v>1105</v>
      </c>
      <c r="I133" s="33">
        <v>1</v>
      </c>
      <c r="J133" s="33">
        <v>0</v>
      </c>
      <c r="K133" s="33">
        <v>0</v>
      </c>
      <c r="L133" s="33">
        <v>0</v>
      </c>
      <c r="M133" s="33">
        <v>0</v>
      </c>
      <c r="N133" s="33">
        <v>0</v>
      </c>
      <c r="O133" s="188" t="s">
        <v>1095</v>
      </c>
      <c r="P133" s="189"/>
      <c r="Q133" s="189"/>
      <c r="R133" s="190"/>
      <c r="S133" s="29" t="s">
        <v>51</v>
      </c>
    </row>
    <row r="134" spans="1:19" ht="174.95" customHeight="1" x14ac:dyDescent="0.25">
      <c r="A134" s="22">
        <v>121</v>
      </c>
      <c r="B134" s="25" t="s">
        <v>1107</v>
      </c>
      <c r="C134" s="194" t="s">
        <v>1108</v>
      </c>
      <c r="D134" s="195"/>
      <c r="E134" s="195"/>
      <c r="F134" s="196"/>
      <c r="G134" s="32" t="s">
        <v>1110</v>
      </c>
      <c r="H134" s="25" t="s">
        <v>1109</v>
      </c>
      <c r="I134" s="33">
        <v>1</v>
      </c>
      <c r="J134" s="33">
        <v>0</v>
      </c>
      <c r="K134" s="33">
        <v>0</v>
      </c>
      <c r="L134" s="33">
        <v>0</v>
      </c>
      <c r="M134" s="33">
        <v>0</v>
      </c>
      <c r="N134" s="33">
        <v>0</v>
      </c>
      <c r="O134" s="188" t="s">
        <v>66</v>
      </c>
      <c r="P134" s="189"/>
      <c r="Q134" s="189"/>
      <c r="R134" s="190"/>
      <c r="S134" s="29" t="s">
        <v>51</v>
      </c>
    </row>
    <row r="135" spans="1:19" ht="174.95" customHeight="1" x14ac:dyDescent="0.25">
      <c r="A135" s="31">
        <v>122</v>
      </c>
      <c r="B135" s="25" t="s">
        <v>1107</v>
      </c>
      <c r="C135" s="194" t="s">
        <v>1115</v>
      </c>
      <c r="D135" s="195"/>
      <c r="E135" s="195"/>
      <c r="F135" s="196"/>
      <c r="G135" s="32" t="s">
        <v>1117</v>
      </c>
      <c r="H135" s="25" t="s">
        <v>1116</v>
      </c>
      <c r="I135" s="33">
        <v>1</v>
      </c>
      <c r="J135" s="33">
        <v>0</v>
      </c>
      <c r="K135" s="33">
        <v>0</v>
      </c>
      <c r="L135" s="33">
        <v>0</v>
      </c>
      <c r="M135" s="33">
        <v>0</v>
      </c>
      <c r="N135" s="33">
        <v>0</v>
      </c>
      <c r="O135" s="188" t="s">
        <v>57</v>
      </c>
      <c r="P135" s="189"/>
      <c r="Q135" s="189"/>
      <c r="R135" s="190"/>
      <c r="S135" s="29" t="s">
        <v>51</v>
      </c>
    </row>
    <row r="136" spans="1:19" ht="174.95" customHeight="1" x14ac:dyDescent="0.25">
      <c r="A136" s="22">
        <v>123</v>
      </c>
      <c r="B136" s="25" t="s">
        <v>1111</v>
      </c>
      <c r="C136" s="194" t="s">
        <v>1112</v>
      </c>
      <c r="D136" s="195"/>
      <c r="E136" s="195"/>
      <c r="F136" s="196"/>
      <c r="G136" s="32" t="s">
        <v>1114</v>
      </c>
      <c r="H136" s="25" t="s">
        <v>1113</v>
      </c>
      <c r="I136" s="33">
        <v>1</v>
      </c>
      <c r="J136" s="33">
        <v>0</v>
      </c>
      <c r="K136" s="33">
        <v>0</v>
      </c>
      <c r="L136" s="33">
        <v>0</v>
      </c>
      <c r="M136" s="33">
        <v>0</v>
      </c>
      <c r="N136" s="33">
        <v>0</v>
      </c>
      <c r="O136" s="188" t="s">
        <v>57</v>
      </c>
      <c r="P136" s="189"/>
      <c r="Q136" s="189"/>
      <c r="R136" s="190"/>
      <c r="S136" s="29" t="s">
        <v>56</v>
      </c>
    </row>
    <row r="137" spans="1:19" ht="174.95" customHeight="1" x14ac:dyDescent="0.25">
      <c r="A137" s="31">
        <v>124</v>
      </c>
      <c r="B137" s="25" t="s">
        <v>1118</v>
      </c>
      <c r="C137" s="194" t="s">
        <v>1119</v>
      </c>
      <c r="D137" s="195"/>
      <c r="E137" s="195"/>
      <c r="F137" s="196"/>
      <c r="G137" s="32" t="s">
        <v>1121</v>
      </c>
      <c r="H137" s="25" t="s">
        <v>1120</v>
      </c>
      <c r="I137" s="33">
        <v>1</v>
      </c>
      <c r="J137" s="33">
        <v>0</v>
      </c>
      <c r="K137" s="33">
        <v>0</v>
      </c>
      <c r="L137" s="33">
        <v>0</v>
      </c>
      <c r="M137" s="33">
        <v>0</v>
      </c>
      <c r="N137" s="33">
        <v>0</v>
      </c>
      <c r="O137" s="188" t="s">
        <v>57</v>
      </c>
      <c r="P137" s="189"/>
      <c r="Q137" s="189"/>
      <c r="R137" s="190"/>
      <c r="S137" s="29" t="s">
        <v>53</v>
      </c>
    </row>
    <row r="138" spans="1:19" ht="174.95" customHeight="1" x14ac:dyDescent="0.25">
      <c r="A138" s="22">
        <v>125</v>
      </c>
      <c r="B138" s="25" t="s">
        <v>1122</v>
      </c>
      <c r="C138" s="194" t="s">
        <v>1123</v>
      </c>
      <c r="D138" s="195"/>
      <c r="E138" s="195"/>
      <c r="F138" s="196"/>
      <c r="G138" s="32" t="s">
        <v>1125</v>
      </c>
      <c r="H138" s="25" t="s">
        <v>1124</v>
      </c>
      <c r="I138" s="33">
        <v>1</v>
      </c>
      <c r="J138" s="33">
        <v>0</v>
      </c>
      <c r="K138" s="33">
        <v>0</v>
      </c>
      <c r="L138" s="33">
        <v>0</v>
      </c>
      <c r="M138" s="33">
        <v>0</v>
      </c>
      <c r="N138" s="33">
        <v>0</v>
      </c>
      <c r="O138" s="188" t="s">
        <v>57</v>
      </c>
      <c r="P138" s="189"/>
      <c r="Q138" s="189"/>
      <c r="R138" s="190"/>
      <c r="S138" s="29" t="s">
        <v>56</v>
      </c>
    </row>
    <row r="139" spans="1:19" ht="174.95" customHeight="1" x14ac:dyDescent="0.25">
      <c r="A139" s="31">
        <v>126</v>
      </c>
      <c r="B139" s="25" t="s">
        <v>1126</v>
      </c>
      <c r="C139" s="194" t="s">
        <v>1127</v>
      </c>
      <c r="D139" s="195"/>
      <c r="E139" s="195"/>
      <c r="F139" s="196"/>
      <c r="G139" s="32" t="s">
        <v>1129</v>
      </c>
      <c r="H139" s="25" t="s">
        <v>1128</v>
      </c>
      <c r="I139" s="33">
        <v>1</v>
      </c>
      <c r="J139" s="33">
        <v>0</v>
      </c>
      <c r="K139" s="33">
        <v>0</v>
      </c>
      <c r="L139" s="33">
        <v>0</v>
      </c>
      <c r="M139" s="33">
        <v>0</v>
      </c>
      <c r="N139" s="33">
        <v>0</v>
      </c>
      <c r="O139" s="188" t="s">
        <v>57</v>
      </c>
      <c r="P139" s="189"/>
      <c r="Q139" s="189"/>
      <c r="R139" s="190"/>
      <c r="S139" s="29" t="s">
        <v>51</v>
      </c>
    </row>
    <row r="140" spans="1:19" ht="174.95" customHeight="1" x14ac:dyDescent="0.25">
      <c r="A140" s="22">
        <v>127</v>
      </c>
      <c r="B140" s="25" t="s">
        <v>1130</v>
      </c>
      <c r="C140" s="194" t="s">
        <v>1131</v>
      </c>
      <c r="D140" s="195"/>
      <c r="E140" s="195"/>
      <c r="F140" s="196"/>
      <c r="G140" s="32" t="s">
        <v>1133</v>
      </c>
      <c r="H140" s="25" t="s">
        <v>1132</v>
      </c>
      <c r="I140" s="33">
        <v>0</v>
      </c>
      <c r="J140" s="33">
        <v>1</v>
      </c>
      <c r="K140" s="33">
        <v>0</v>
      </c>
      <c r="L140" s="33">
        <v>0</v>
      </c>
      <c r="M140" s="33">
        <v>0</v>
      </c>
      <c r="N140" s="33">
        <v>0</v>
      </c>
      <c r="O140" s="188" t="s">
        <v>50</v>
      </c>
      <c r="P140" s="189"/>
      <c r="Q140" s="189"/>
      <c r="R140" s="190"/>
      <c r="S140" s="29" t="s">
        <v>58</v>
      </c>
    </row>
    <row r="141" spans="1:19" ht="174.95" customHeight="1" x14ac:dyDescent="0.25">
      <c r="A141" s="31">
        <v>128</v>
      </c>
      <c r="B141" s="25" t="s">
        <v>1130</v>
      </c>
      <c r="C141" s="194" t="s">
        <v>1134</v>
      </c>
      <c r="D141" s="195"/>
      <c r="E141" s="195"/>
      <c r="F141" s="196"/>
      <c r="G141" s="32" t="s">
        <v>1136</v>
      </c>
      <c r="H141" s="25" t="s">
        <v>1135</v>
      </c>
      <c r="I141" s="33">
        <v>1</v>
      </c>
      <c r="J141" s="33">
        <v>0</v>
      </c>
      <c r="K141" s="33">
        <v>0</v>
      </c>
      <c r="L141" s="33">
        <v>0</v>
      </c>
      <c r="M141" s="33">
        <v>0</v>
      </c>
      <c r="N141" s="33">
        <v>0</v>
      </c>
      <c r="O141" s="188" t="s">
        <v>66</v>
      </c>
      <c r="P141" s="189"/>
      <c r="Q141" s="189"/>
      <c r="R141" s="190"/>
      <c r="S141" s="29" t="s">
        <v>51</v>
      </c>
    </row>
    <row r="142" spans="1:19" ht="174.95" customHeight="1" x14ac:dyDescent="0.25">
      <c r="A142" s="22">
        <v>129</v>
      </c>
      <c r="B142" s="25" t="s">
        <v>1137</v>
      </c>
      <c r="C142" s="194" t="s">
        <v>1138</v>
      </c>
      <c r="D142" s="195"/>
      <c r="E142" s="195"/>
      <c r="F142" s="196"/>
      <c r="G142" s="32" t="s">
        <v>1140</v>
      </c>
      <c r="H142" s="25" t="s">
        <v>1139</v>
      </c>
      <c r="I142" s="33">
        <v>1</v>
      </c>
      <c r="J142" s="33">
        <v>0</v>
      </c>
      <c r="K142" s="33">
        <v>0</v>
      </c>
      <c r="L142" s="33">
        <v>0</v>
      </c>
      <c r="M142" s="33">
        <v>0</v>
      </c>
      <c r="N142" s="33">
        <v>0</v>
      </c>
      <c r="O142" s="188" t="s">
        <v>65</v>
      </c>
      <c r="P142" s="189"/>
      <c r="Q142" s="189"/>
      <c r="R142" s="190"/>
      <c r="S142" s="29" t="s">
        <v>51</v>
      </c>
    </row>
    <row r="143" spans="1:19" ht="174.95" customHeight="1" x14ac:dyDescent="0.25">
      <c r="A143" s="31">
        <v>130</v>
      </c>
      <c r="B143" s="25" t="s">
        <v>1137</v>
      </c>
      <c r="C143" s="194" t="s">
        <v>1141</v>
      </c>
      <c r="D143" s="195"/>
      <c r="E143" s="195"/>
      <c r="F143" s="196"/>
      <c r="G143" s="32" t="s">
        <v>1142</v>
      </c>
      <c r="H143" s="25" t="s">
        <v>1143</v>
      </c>
      <c r="I143" s="33">
        <v>0</v>
      </c>
      <c r="J143" s="33">
        <v>1</v>
      </c>
      <c r="K143" s="33">
        <v>0</v>
      </c>
      <c r="L143" s="33">
        <v>0</v>
      </c>
      <c r="M143" s="33">
        <v>0</v>
      </c>
      <c r="N143" s="33">
        <v>0</v>
      </c>
      <c r="O143" s="188" t="s">
        <v>67</v>
      </c>
      <c r="P143" s="189"/>
      <c r="Q143" s="189"/>
      <c r="R143" s="190"/>
      <c r="S143" s="29" t="s">
        <v>2443</v>
      </c>
    </row>
    <row r="144" spans="1:19" ht="174.95" customHeight="1" x14ac:dyDescent="0.25">
      <c r="A144" s="22">
        <v>131</v>
      </c>
      <c r="B144" s="25" t="s">
        <v>1144</v>
      </c>
      <c r="C144" s="194" t="s">
        <v>1145</v>
      </c>
      <c r="D144" s="195"/>
      <c r="E144" s="195"/>
      <c r="F144" s="196"/>
      <c r="G144" s="32" t="s">
        <v>1147</v>
      </c>
      <c r="H144" s="25" t="s">
        <v>1146</v>
      </c>
      <c r="I144" s="33">
        <v>1</v>
      </c>
      <c r="J144" s="33">
        <v>0</v>
      </c>
      <c r="K144" s="33">
        <v>0</v>
      </c>
      <c r="L144" s="33">
        <v>0</v>
      </c>
      <c r="M144" s="33">
        <v>0</v>
      </c>
      <c r="N144" s="33">
        <v>0</v>
      </c>
      <c r="O144" s="188" t="s">
        <v>66</v>
      </c>
      <c r="P144" s="189"/>
      <c r="Q144" s="189"/>
      <c r="R144" s="190"/>
      <c r="S144" s="29" t="s">
        <v>51</v>
      </c>
    </row>
    <row r="145" spans="1:19" ht="174.95" customHeight="1" x14ac:dyDescent="0.25">
      <c r="A145" s="31">
        <v>132</v>
      </c>
      <c r="B145" s="25" t="s">
        <v>1144</v>
      </c>
      <c r="C145" s="194" t="s">
        <v>1148</v>
      </c>
      <c r="D145" s="195"/>
      <c r="E145" s="195"/>
      <c r="F145" s="196"/>
      <c r="G145" s="32" t="s">
        <v>1150</v>
      </c>
      <c r="H145" s="25" t="s">
        <v>1149</v>
      </c>
      <c r="I145" s="33">
        <v>1</v>
      </c>
      <c r="J145" s="33">
        <v>0</v>
      </c>
      <c r="K145" s="33">
        <v>0</v>
      </c>
      <c r="L145" s="33">
        <v>0</v>
      </c>
      <c r="M145" s="33">
        <v>0</v>
      </c>
      <c r="N145" s="33">
        <v>0</v>
      </c>
      <c r="O145" s="188" t="s">
        <v>1095</v>
      </c>
      <c r="P145" s="189"/>
      <c r="Q145" s="189"/>
      <c r="R145" s="190"/>
      <c r="S145" s="29" t="s">
        <v>51</v>
      </c>
    </row>
    <row r="146" spans="1:19" ht="174.95" customHeight="1" x14ac:dyDescent="0.25">
      <c r="A146" s="22">
        <v>133</v>
      </c>
      <c r="B146" s="25" t="s">
        <v>1151</v>
      </c>
      <c r="C146" s="194" t="s">
        <v>1152</v>
      </c>
      <c r="D146" s="195"/>
      <c r="E146" s="195"/>
      <c r="F146" s="196"/>
      <c r="G146" s="32" t="s">
        <v>1154</v>
      </c>
      <c r="H146" s="25" t="s">
        <v>1153</v>
      </c>
      <c r="I146" s="33">
        <v>1</v>
      </c>
      <c r="J146" s="33">
        <v>0</v>
      </c>
      <c r="K146" s="33">
        <v>0</v>
      </c>
      <c r="L146" s="33">
        <v>0</v>
      </c>
      <c r="M146" s="33">
        <v>0</v>
      </c>
      <c r="N146" s="33">
        <v>0</v>
      </c>
      <c r="O146" s="188" t="s">
        <v>1095</v>
      </c>
      <c r="P146" s="189"/>
      <c r="Q146" s="189"/>
      <c r="R146" s="190"/>
      <c r="S146" s="29" t="s">
        <v>51</v>
      </c>
    </row>
    <row r="147" spans="1:19" ht="174.95" customHeight="1" x14ac:dyDescent="0.25">
      <c r="A147" s="31">
        <v>134</v>
      </c>
      <c r="B147" s="25" t="s">
        <v>1155</v>
      </c>
      <c r="C147" s="194" t="s">
        <v>1156</v>
      </c>
      <c r="D147" s="195"/>
      <c r="E147" s="195"/>
      <c r="F147" s="196"/>
      <c r="G147" s="32" t="s">
        <v>1158</v>
      </c>
      <c r="H147" s="25" t="s">
        <v>1157</v>
      </c>
      <c r="I147" s="33">
        <v>1</v>
      </c>
      <c r="J147" s="33">
        <v>0</v>
      </c>
      <c r="K147" s="33">
        <v>0</v>
      </c>
      <c r="L147" s="33">
        <v>0</v>
      </c>
      <c r="M147" s="33">
        <v>0</v>
      </c>
      <c r="N147" s="33">
        <v>0</v>
      </c>
      <c r="O147" s="188" t="s">
        <v>57</v>
      </c>
      <c r="P147" s="189"/>
      <c r="Q147" s="189"/>
      <c r="R147" s="190"/>
      <c r="S147" s="29" t="s">
        <v>51</v>
      </c>
    </row>
    <row r="148" spans="1:19" ht="174.95" customHeight="1" x14ac:dyDescent="0.25">
      <c r="A148" s="22">
        <v>135</v>
      </c>
      <c r="B148" s="25" t="s">
        <v>1159</v>
      </c>
      <c r="C148" s="194" t="s">
        <v>1160</v>
      </c>
      <c r="D148" s="195"/>
      <c r="E148" s="195"/>
      <c r="F148" s="196"/>
      <c r="G148" s="32" t="s">
        <v>1162</v>
      </c>
      <c r="H148" s="25" t="s">
        <v>1161</v>
      </c>
      <c r="I148" s="33">
        <v>1</v>
      </c>
      <c r="J148" s="33">
        <v>0</v>
      </c>
      <c r="K148" s="33">
        <v>0</v>
      </c>
      <c r="L148" s="33">
        <v>0</v>
      </c>
      <c r="M148" s="33">
        <v>0</v>
      </c>
      <c r="N148" s="33">
        <v>0</v>
      </c>
      <c r="O148" s="188" t="s">
        <v>57</v>
      </c>
      <c r="P148" s="189"/>
      <c r="Q148" s="189"/>
      <c r="R148" s="190"/>
      <c r="S148" s="29" t="s">
        <v>62</v>
      </c>
    </row>
    <row r="149" spans="1:19" ht="174.95" customHeight="1" x14ac:dyDescent="0.25">
      <c r="A149" s="31">
        <v>136</v>
      </c>
      <c r="B149" s="25" t="s">
        <v>1163</v>
      </c>
      <c r="C149" s="194" t="s">
        <v>1164</v>
      </c>
      <c r="D149" s="195"/>
      <c r="E149" s="195"/>
      <c r="F149" s="196"/>
      <c r="G149" s="32" t="s">
        <v>1166</v>
      </c>
      <c r="H149" s="25" t="s">
        <v>1165</v>
      </c>
      <c r="I149" s="33">
        <v>1</v>
      </c>
      <c r="J149" s="33">
        <v>0</v>
      </c>
      <c r="K149" s="33">
        <v>0</v>
      </c>
      <c r="L149" s="33">
        <v>0</v>
      </c>
      <c r="M149" s="33">
        <v>0</v>
      </c>
      <c r="N149" s="33">
        <v>0</v>
      </c>
      <c r="O149" s="191" t="s">
        <v>71</v>
      </c>
      <c r="P149" s="192"/>
      <c r="Q149" s="192"/>
      <c r="R149" s="193"/>
      <c r="S149" s="29" t="s">
        <v>51</v>
      </c>
    </row>
    <row r="150" spans="1:19" ht="174.95" customHeight="1" x14ac:dyDescent="0.25">
      <c r="A150" s="22">
        <v>137</v>
      </c>
      <c r="B150" s="25" t="s">
        <v>1167</v>
      </c>
      <c r="C150" s="194" t="s">
        <v>1168</v>
      </c>
      <c r="D150" s="195"/>
      <c r="E150" s="195"/>
      <c r="F150" s="196"/>
      <c r="G150" s="32" t="s">
        <v>1170</v>
      </c>
      <c r="H150" s="25" t="s">
        <v>1169</v>
      </c>
      <c r="I150" s="33">
        <v>1</v>
      </c>
      <c r="J150" s="33">
        <v>0</v>
      </c>
      <c r="K150" s="33">
        <v>0</v>
      </c>
      <c r="L150" s="33">
        <v>0</v>
      </c>
      <c r="M150" s="33">
        <v>0</v>
      </c>
      <c r="N150" s="33">
        <v>0</v>
      </c>
      <c r="O150" s="191" t="s">
        <v>65</v>
      </c>
      <c r="P150" s="192"/>
      <c r="Q150" s="192"/>
      <c r="R150" s="193"/>
      <c r="S150" s="29" t="s">
        <v>51</v>
      </c>
    </row>
    <row r="151" spans="1:19" ht="174.95" customHeight="1" x14ac:dyDescent="0.25">
      <c r="A151" s="31">
        <v>138</v>
      </c>
      <c r="B151" s="25" t="s">
        <v>1167</v>
      </c>
      <c r="C151" s="194" t="s">
        <v>1171</v>
      </c>
      <c r="D151" s="195"/>
      <c r="E151" s="195"/>
      <c r="F151" s="196"/>
      <c r="G151" s="32" t="s">
        <v>1173</v>
      </c>
      <c r="H151" s="25" t="s">
        <v>1172</v>
      </c>
      <c r="I151" s="33">
        <v>0</v>
      </c>
      <c r="J151" s="33">
        <v>1</v>
      </c>
      <c r="K151" s="33">
        <v>0</v>
      </c>
      <c r="L151" s="33">
        <v>0</v>
      </c>
      <c r="M151" s="33">
        <v>0</v>
      </c>
      <c r="N151" s="33">
        <v>0</v>
      </c>
      <c r="O151" s="191" t="s">
        <v>57</v>
      </c>
      <c r="P151" s="192"/>
      <c r="Q151" s="192"/>
      <c r="R151" s="193"/>
      <c r="S151" s="29" t="s">
        <v>1174</v>
      </c>
    </row>
    <row r="152" spans="1:19" ht="174.95" customHeight="1" x14ac:dyDescent="0.25">
      <c r="A152" s="22">
        <v>139</v>
      </c>
      <c r="B152" s="25" t="s">
        <v>1175</v>
      </c>
      <c r="C152" s="194" t="s">
        <v>1176</v>
      </c>
      <c r="D152" s="195"/>
      <c r="E152" s="195"/>
      <c r="F152" s="196"/>
      <c r="G152" s="32" t="s">
        <v>1178</v>
      </c>
      <c r="H152" s="25" t="s">
        <v>1177</v>
      </c>
      <c r="I152" s="33">
        <v>1</v>
      </c>
      <c r="J152" s="33">
        <v>0</v>
      </c>
      <c r="K152" s="33">
        <v>0</v>
      </c>
      <c r="L152" s="33">
        <v>0</v>
      </c>
      <c r="M152" s="33">
        <v>0</v>
      </c>
      <c r="N152" s="33">
        <v>0</v>
      </c>
      <c r="O152" s="191" t="s">
        <v>1095</v>
      </c>
      <c r="P152" s="192"/>
      <c r="Q152" s="192"/>
      <c r="R152" s="193"/>
      <c r="S152" s="29" t="s">
        <v>1179</v>
      </c>
    </row>
    <row r="153" spans="1:19" ht="174.95" customHeight="1" x14ac:dyDescent="0.25">
      <c r="A153" s="31">
        <v>140</v>
      </c>
      <c r="B153" s="25" t="s">
        <v>1180</v>
      </c>
      <c r="C153" s="194" t="s">
        <v>1181</v>
      </c>
      <c r="D153" s="195"/>
      <c r="E153" s="195"/>
      <c r="F153" s="196"/>
      <c r="G153" s="32" t="s">
        <v>1183</v>
      </c>
      <c r="H153" s="25" t="s">
        <v>1182</v>
      </c>
      <c r="I153" s="33">
        <v>1</v>
      </c>
      <c r="J153" s="33">
        <v>0</v>
      </c>
      <c r="K153" s="33">
        <v>0</v>
      </c>
      <c r="L153" s="33">
        <v>0</v>
      </c>
      <c r="M153" s="33">
        <v>0</v>
      </c>
      <c r="N153" s="33">
        <v>0</v>
      </c>
      <c r="O153" s="191" t="s">
        <v>66</v>
      </c>
      <c r="P153" s="192"/>
      <c r="Q153" s="192"/>
      <c r="R153" s="193"/>
      <c r="S153" s="29" t="s">
        <v>62</v>
      </c>
    </row>
    <row r="154" spans="1:19" ht="174.95" customHeight="1" x14ac:dyDescent="0.25">
      <c r="A154" s="22">
        <v>141</v>
      </c>
      <c r="B154" s="25" t="s">
        <v>1180</v>
      </c>
      <c r="C154" s="194" t="s">
        <v>1184</v>
      </c>
      <c r="D154" s="195"/>
      <c r="E154" s="195"/>
      <c r="F154" s="196"/>
      <c r="G154" s="32" t="s">
        <v>1186</v>
      </c>
      <c r="H154" s="25" t="s">
        <v>1185</v>
      </c>
      <c r="I154" s="33">
        <v>1</v>
      </c>
      <c r="J154" s="33">
        <v>0</v>
      </c>
      <c r="K154" s="33">
        <v>0</v>
      </c>
      <c r="L154" s="33">
        <v>0</v>
      </c>
      <c r="M154" s="33">
        <v>0</v>
      </c>
      <c r="N154" s="33">
        <v>0</v>
      </c>
      <c r="O154" s="188" t="s">
        <v>55</v>
      </c>
      <c r="P154" s="189"/>
      <c r="Q154" s="189"/>
      <c r="R154" s="190"/>
      <c r="S154" s="29" t="s">
        <v>51</v>
      </c>
    </row>
    <row r="155" spans="1:19" ht="174.95" customHeight="1" x14ac:dyDescent="0.25">
      <c r="A155" s="31">
        <v>142</v>
      </c>
      <c r="B155" s="25" t="s">
        <v>1187</v>
      </c>
      <c r="C155" s="194" t="s">
        <v>1188</v>
      </c>
      <c r="D155" s="195"/>
      <c r="E155" s="195"/>
      <c r="F155" s="196"/>
      <c r="G155" s="32" t="s">
        <v>1190</v>
      </c>
      <c r="H155" s="25" t="s">
        <v>1189</v>
      </c>
      <c r="I155" s="33">
        <v>1</v>
      </c>
      <c r="J155" s="33">
        <v>0</v>
      </c>
      <c r="K155" s="33">
        <v>0</v>
      </c>
      <c r="L155" s="33">
        <v>0</v>
      </c>
      <c r="M155" s="33">
        <v>0</v>
      </c>
      <c r="N155" s="33">
        <v>0</v>
      </c>
      <c r="O155" s="191" t="s">
        <v>48</v>
      </c>
      <c r="P155" s="192"/>
      <c r="Q155" s="192"/>
      <c r="R155" s="193"/>
      <c r="S155" s="29" t="s">
        <v>61</v>
      </c>
    </row>
    <row r="156" spans="1:19" ht="174.95" customHeight="1" x14ac:dyDescent="0.25">
      <c r="A156" s="22">
        <v>143</v>
      </c>
      <c r="B156" s="25" t="s">
        <v>1191</v>
      </c>
      <c r="C156" s="194" t="s">
        <v>1192</v>
      </c>
      <c r="D156" s="195"/>
      <c r="E156" s="195"/>
      <c r="F156" s="196"/>
      <c r="G156" s="32" t="s">
        <v>1194</v>
      </c>
      <c r="H156" s="25" t="s">
        <v>1193</v>
      </c>
      <c r="I156" s="33">
        <v>1</v>
      </c>
      <c r="J156" s="33">
        <v>0</v>
      </c>
      <c r="K156" s="33">
        <v>0</v>
      </c>
      <c r="L156" s="33">
        <v>0</v>
      </c>
      <c r="M156" s="33">
        <v>0</v>
      </c>
      <c r="N156" s="33">
        <v>0</v>
      </c>
      <c r="O156" s="191" t="s">
        <v>72</v>
      </c>
      <c r="P156" s="192"/>
      <c r="Q156" s="192"/>
      <c r="R156" s="193"/>
      <c r="S156" s="29" t="s">
        <v>51</v>
      </c>
    </row>
    <row r="157" spans="1:19" ht="174.95" customHeight="1" x14ac:dyDescent="0.25">
      <c r="A157" s="31">
        <v>144</v>
      </c>
      <c r="B157" s="25" t="s">
        <v>1195</v>
      </c>
      <c r="C157" s="194" t="s">
        <v>1196</v>
      </c>
      <c r="D157" s="195"/>
      <c r="E157" s="195"/>
      <c r="F157" s="196"/>
      <c r="G157" s="32" t="s">
        <v>1198</v>
      </c>
      <c r="H157" s="25" t="s">
        <v>1197</v>
      </c>
      <c r="I157" s="33">
        <v>1</v>
      </c>
      <c r="J157" s="33">
        <v>0</v>
      </c>
      <c r="K157" s="33">
        <v>0</v>
      </c>
      <c r="L157" s="33">
        <v>0</v>
      </c>
      <c r="M157" s="33">
        <v>0</v>
      </c>
      <c r="N157" s="33">
        <v>0</v>
      </c>
      <c r="O157" s="191" t="s">
        <v>57</v>
      </c>
      <c r="P157" s="192"/>
      <c r="Q157" s="192"/>
      <c r="R157" s="193"/>
      <c r="S157" s="29" t="s">
        <v>51</v>
      </c>
    </row>
    <row r="158" spans="1:19" ht="174.95" customHeight="1" x14ac:dyDescent="0.25">
      <c r="A158" s="22">
        <v>145</v>
      </c>
      <c r="B158" s="25" t="s">
        <v>1199</v>
      </c>
      <c r="C158" s="194" t="s">
        <v>1200</v>
      </c>
      <c r="D158" s="195"/>
      <c r="E158" s="195"/>
      <c r="F158" s="196"/>
      <c r="G158" s="32" t="s">
        <v>1202</v>
      </c>
      <c r="H158" s="25" t="s">
        <v>1201</v>
      </c>
      <c r="I158" s="33">
        <v>1</v>
      </c>
      <c r="J158" s="33">
        <v>0</v>
      </c>
      <c r="K158" s="33">
        <v>0</v>
      </c>
      <c r="L158" s="33">
        <v>0</v>
      </c>
      <c r="M158" s="33">
        <v>0</v>
      </c>
      <c r="N158" s="33">
        <v>0</v>
      </c>
      <c r="O158" s="191" t="s">
        <v>72</v>
      </c>
      <c r="P158" s="192"/>
      <c r="Q158" s="192"/>
      <c r="R158" s="193"/>
      <c r="S158" s="29" t="s">
        <v>49</v>
      </c>
    </row>
    <row r="159" spans="1:19" ht="174.95" customHeight="1" x14ac:dyDescent="0.25">
      <c r="A159" s="31">
        <v>146</v>
      </c>
      <c r="B159" s="25" t="s">
        <v>1203</v>
      </c>
      <c r="C159" s="194" t="s">
        <v>1204</v>
      </c>
      <c r="D159" s="195"/>
      <c r="E159" s="195"/>
      <c r="F159" s="196"/>
      <c r="G159" s="32" t="s">
        <v>1206</v>
      </c>
      <c r="H159" s="25" t="s">
        <v>1205</v>
      </c>
      <c r="I159" s="33">
        <v>1</v>
      </c>
      <c r="J159" s="33">
        <v>0</v>
      </c>
      <c r="K159" s="33">
        <v>0</v>
      </c>
      <c r="L159" s="33">
        <v>0</v>
      </c>
      <c r="M159" s="33">
        <v>0</v>
      </c>
      <c r="N159" s="33">
        <v>0</v>
      </c>
      <c r="O159" s="191" t="s">
        <v>50</v>
      </c>
      <c r="P159" s="192"/>
      <c r="Q159" s="192"/>
      <c r="R159" s="193"/>
      <c r="S159" s="29" t="s">
        <v>51</v>
      </c>
    </row>
    <row r="160" spans="1:19" ht="174.95" customHeight="1" x14ac:dyDescent="0.25">
      <c r="A160" s="22">
        <v>147</v>
      </c>
      <c r="B160" s="25" t="s">
        <v>1203</v>
      </c>
      <c r="C160" s="194" t="s">
        <v>1207</v>
      </c>
      <c r="D160" s="195"/>
      <c r="E160" s="195"/>
      <c r="F160" s="196"/>
      <c r="G160" s="32" t="s">
        <v>1209</v>
      </c>
      <c r="H160" s="25" t="s">
        <v>1208</v>
      </c>
      <c r="I160" s="33">
        <v>1</v>
      </c>
      <c r="J160" s="33">
        <v>0</v>
      </c>
      <c r="K160" s="33">
        <v>0</v>
      </c>
      <c r="L160" s="33">
        <v>0</v>
      </c>
      <c r="M160" s="33">
        <v>0</v>
      </c>
      <c r="N160" s="33">
        <v>0</v>
      </c>
      <c r="O160" s="191" t="s">
        <v>57</v>
      </c>
      <c r="P160" s="192"/>
      <c r="Q160" s="192"/>
      <c r="R160" s="193"/>
      <c r="S160" s="29" t="s">
        <v>51</v>
      </c>
    </row>
    <row r="161" spans="1:19" ht="174.95" customHeight="1" x14ac:dyDescent="0.25">
      <c r="A161" s="31">
        <v>148</v>
      </c>
      <c r="B161" s="25" t="s">
        <v>1210</v>
      </c>
      <c r="C161" s="194" t="s">
        <v>1211</v>
      </c>
      <c r="D161" s="195"/>
      <c r="E161" s="195"/>
      <c r="F161" s="196"/>
      <c r="G161" s="32" t="s">
        <v>1213</v>
      </c>
      <c r="H161" s="25" t="s">
        <v>1212</v>
      </c>
      <c r="I161" s="33">
        <v>1</v>
      </c>
      <c r="J161" s="33">
        <v>0</v>
      </c>
      <c r="K161" s="33">
        <v>0</v>
      </c>
      <c r="L161" s="33">
        <v>0</v>
      </c>
      <c r="M161" s="33">
        <v>0</v>
      </c>
      <c r="N161" s="33">
        <v>0</v>
      </c>
      <c r="O161" s="191" t="s">
        <v>57</v>
      </c>
      <c r="P161" s="192"/>
      <c r="Q161" s="192"/>
      <c r="R161" s="193"/>
      <c r="S161" s="29" t="s">
        <v>51</v>
      </c>
    </row>
    <row r="162" spans="1:19" ht="174.95" customHeight="1" x14ac:dyDescent="0.25">
      <c r="A162" s="22">
        <v>149</v>
      </c>
      <c r="B162" s="25" t="s">
        <v>1214</v>
      </c>
      <c r="C162" s="194" t="s">
        <v>1215</v>
      </c>
      <c r="D162" s="195"/>
      <c r="E162" s="195"/>
      <c r="F162" s="196"/>
      <c r="G162" s="32" t="s">
        <v>1217</v>
      </c>
      <c r="H162" s="25" t="s">
        <v>1216</v>
      </c>
      <c r="I162" s="33">
        <v>1</v>
      </c>
      <c r="J162" s="33">
        <v>0</v>
      </c>
      <c r="K162" s="33">
        <v>0</v>
      </c>
      <c r="L162" s="33">
        <v>0</v>
      </c>
      <c r="M162" s="33">
        <v>0</v>
      </c>
      <c r="N162" s="33">
        <v>0</v>
      </c>
      <c r="O162" s="191" t="s">
        <v>57</v>
      </c>
      <c r="P162" s="192"/>
      <c r="Q162" s="192"/>
      <c r="R162" s="193"/>
      <c r="S162" s="29" t="s">
        <v>51</v>
      </c>
    </row>
    <row r="163" spans="1:19" ht="174.95" customHeight="1" x14ac:dyDescent="0.25">
      <c r="A163" s="31">
        <v>150</v>
      </c>
      <c r="B163" s="25" t="s">
        <v>1218</v>
      </c>
      <c r="C163" s="194" t="s">
        <v>1219</v>
      </c>
      <c r="D163" s="195"/>
      <c r="E163" s="195"/>
      <c r="F163" s="196"/>
      <c r="G163" s="32" t="s">
        <v>1221</v>
      </c>
      <c r="H163" s="25" t="s">
        <v>1220</v>
      </c>
      <c r="I163" s="33">
        <v>1</v>
      </c>
      <c r="J163" s="33">
        <v>0</v>
      </c>
      <c r="K163" s="33">
        <v>0</v>
      </c>
      <c r="L163" s="33">
        <v>0</v>
      </c>
      <c r="M163" s="33">
        <v>0</v>
      </c>
      <c r="N163" s="33">
        <v>0</v>
      </c>
      <c r="O163" s="191" t="s">
        <v>57</v>
      </c>
      <c r="P163" s="192"/>
      <c r="Q163" s="192"/>
      <c r="R163" s="193"/>
      <c r="S163" s="29" t="s">
        <v>61</v>
      </c>
    </row>
    <row r="164" spans="1:19" ht="174.95" customHeight="1" x14ac:dyDescent="0.25">
      <c r="A164" s="22">
        <v>151</v>
      </c>
      <c r="B164" s="25" t="s">
        <v>1222</v>
      </c>
      <c r="C164" s="194" t="s">
        <v>1223</v>
      </c>
      <c r="D164" s="195"/>
      <c r="E164" s="195"/>
      <c r="F164" s="196"/>
      <c r="G164" s="32" t="s">
        <v>1225</v>
      </c>
      <c r="H164" s="25" t="s">
        <v>1224</v>
      </c>
      <c r="I164" s="33">
        <v>1</v>
      </c>
      <c r="J164" s="33">
        <v>0</v>
      </c>
      <c r="K164" s="33">
        <v>0</v>
      </c>
      <c r="L164" s="33">
        <v>0</v>
      </c>
      <c r="M164" s="33">
        <v>0</v>
      </c>
      <c r="N164" s="33">
        <v>0</v>
      </c>
      <c r="O164" s="191" t="s">
        <v>57</v>
      </c>
      <c r="P164" s="192"/>
      <c r="Q164" s="192"/>
      <c r="R164" s="193"/>
      <c r="S164" s="29" t="s">
        <v>56</v>
      </c>
    </row>
    <row r="165" spans="1:19" ht="174.95" customHeight="1" x14ac:dyDescent="0.25">
      <c r="A165" s="31">
        <v>152</v>
      </c>
      <c r="B165" s="25" t="s">
        <v>1226</v>
      </c>
      <c r="C165" s="194" t="s">
        <v>1227</v>
      </c>
      <c r="D165" s="195"/>
      <c r="E165" s="195"/>
      <c r="F165" s="196"/>
      <c r="G165" s="32" t="s">
        <v>1229</v>
      </c>
      <c r="H165" s="25" t="s">
        <v>1228</v>
      </c>
      <c r="I165" s="33">
        <v>1</v>
      </c>
      <c r="J165" s="33">
        <v>0</v>
      </c>
      <c r="K165" s="33">
        <v>0</v>
      </c>
      <c r="L165" s="33">
        <v>0</v>
      </c>
      <c r="M165" s="33">
        <v>0</v>
      </c>
      <c r="N165" s="33">
        <v>0</v>
      </c>
      <c r="O165" s="191" t="s">
        <v>57</v>
      </c>
      <c r="P165" s="192"/>
      <c r="Q165" s="192"/>
      <c r="R165" s="193"/>
      <c r="S165" s="29" t="s">
        <v>51</v>
      </c>
    </row>
    <row r="166" spans="1:19" ht="174.95" customHeight="1" x14ac:dyDescent="0.25">
      <c r="A166" s="22">
        <v>153</v>
      </c>
      <c r="B166" s="25" t="s">
        <v>1230</v>
      </c>
      <c r="C166" s="194" t="s">
        <v>1231</v>
      </c>
      <c r="D166" s="195"/>
      <c r="E166" s="195"/>
      <c r="F166" s="196"/>
      <c r="G166" s="32" t="s">
        <v>1233</v>
      </c>
      <c r="H166" s="25" t="s">
        <v>1232</v>
      </c>
      <c r="I166" s="33">
        <v>1</v>
      </c>
      <c r="J166" s="33">
        <v>0</v>
      </c>
      <c r="K166" s="33">
        <v>0</v>
      </c>
      <c r="L166" s="33">
        <v>0</v>
      </c>
      <c r="M166" s="33">
        <v>0</v>
      </c>
      <c r="N166" s="33">
        <v>0</v>
      </c>
      <c r="O166" s="191" t="s">
        <v>57</v>
      </c>
      <c r="P166" s="192"/>
      <c r="Q166" s="192"/>
      <c r="R166" s="193"/>
      <c r="S166" s="29" t="s">
        <v>51</v>
      </c>
    </row>
    <row r="167" spans="1:19" ht="174.95" customHeight="1" x14ac:dyDescent="0.25">
      <c r="A167" s="31">
        <v>154</v>
      </c>
      <c r="B167" s="25" t="s">
        <v>1234</v>
      </c>
      <c r="C167" s="194" t="s">
        <v>1235</v>
      </c>
      <c r="D167" s="195"/>
      <c r="E167" s="195"/>
      <c r="F167" s="196"/>
      <c r="G167" s="32" t="s">
        <v>1237</v>
      </c>
      <c r="H167" s="25" t="s">
        <v>1236</v>
      </c>
      <c r="I167" s="33">
        <v>1</v>
      </c>
      <c r="J167" s="33">
        <v>0</v>
      </c>
      <c r="K167" s="33">
        <v>0</v>
      </c>
      <c r="L167" s="33">
        <v>0</v>
      </c>
      <c r="M167" s="33">
        <v>0</v>
      </c>
      <c r="N167" s="33">
        <v>0</v>
      </c>
      <c r="O167" s="191" t="s">
        <v>65</v>
      </c>
      <c r="P167" s="192"/>
      <c r="Q167" s="192"/>
      <c r="R167" s="193"/>
      <c r="S167" s="29" t="s">
        <v>51</v>
      </c>
    </row>
    <row r="168" spans="1:19" ht="174.95" customHeight="1" x14ac:dyDescent="0.25">
      <c r="A168" s="22">
        <v>155</v>
      </c>
      <c r="B168" s="25" t="s">
        <v>1234</v>
      </c>
      <c r="C168" s="194" t="s">
        <v>1238</v>
      </c>
      <c r="D168" s="195"/>
      <c r="E168" s="195"/>
      <c r="F168" s="196"/>
      <c r="G168" s="32" t="s">
        <v>1240</v>
      </c>
      <c r="H168" s="25" t="s">
        <v>1239</v>
      </c>
      <c r="I168" s="33">
        <v>0</v>
      </c>
      <c r="J168" s="33">
        <v>1</v>
      </c>
      <c r="K168" s="33">
        <v>0</v>
      </c>
      <c r="L168" s="33">
        <v>0</v>
      </c>
      <c r="M168" s="33">
        <v>0</v>
      </c>
      <c r="N168" s="33">
        <v>0</v>
      </c>
      <c r="O168" s="191" t="s">
        <v>57</v>
      </c>
      <c r="P168" s="192"/>
      <c r="Q168" s="192"/>
      <c r="R168" s="193"/>
      <c r="S168" s="29" t="s">
        <v>58</v>
      </c>
    </row>
    <row r="169" spans="1:19" ht="174.95" customHeight="1" x14ac:dyDescent="0.25">
      <c r="A169" s="31">
        <v>156</v>
      </c>
      <c r="B169" s="25" t="s">
        <v>1241</v>
      </c>
      <c r="C169" s="194" t="s">
        <v>1242</v>
      </c>
      <c r="D169" s="195"/>
      <c r="E169" s="195"/>
      <c r="F169" s="196"/>
      <c r="G169" s="32" t="s">
        <v>1244</v>
      </c>
      <c r="H169" s="25" t="s">
        <v>1243</v>
      </c>
      <c r="I169" s="33">
        <v>1</v>
      </c>
      <c r="J169" s="33">
        <v>0</v>
      </c>
      <c r="K169" s="33">
        <v>0</v>
      </c>
      <c r="L169" s="33">
        <v>0</v>
      </c>
      <c r="M169" s="33">
        <v>0</v>
      </c>
      <c r="N169" s="33">
        <v>0</v>
      </c>
      <c r="O169" s="191" t="s">
        <v>50</v>
      </c>
      <c r="P169" s="192"/>
      <c r="Q169" s="192"/>
      <c r="R169" s="193"/>
      <c r="S169" s="29" t="s">
        <v>51</v>
      </c>
    </row>
    <row r="170" spans="1:19" ht="174.95" customHeight="1" x14ac:dyDescent="0.25">
      <c r="A170" s="22">
        <v>157</v>
      </c>
      <c r="B170" s="25" t="s">
        <v>1241</v>
      </c>
      <c r="C170" s="194" t="s">
        <v>1245</v>
      </c>
      <c r="D170" s="195"/>
      <c r="E170" s="195"/>
      <c r="F170" s="196"/>
      <c r="G170" s="32" t="s">
        <v>1247</v>
      </c>
      <c r="H170" s="25" t="s">
        <v>1246</v>
      </c>
      <c r="I170" s="33">
        <v>0</v>
      </c>
      <c r="J170" s="33">
        <v>1</v>
      </c>
      <c r="K170" s="33">
        <v>0</v>
      </c>
      <c r="L170" s="33">
        <v>0</v>
      </c>
      <c r="M170" s="33">
        <v>0</v>
      </c>
      <c r="N170" s="33">
        <v>0</v>
      </c>
      <c r="O170" s="191" t="s">
        <v>57</v>
      </c>
      <c r="P170" s="192"/>
      <c r="Q170" s="192"/>
      <c r="R170" s="193"/>
      <c r="S170" s="29" t="s">
        <v>68</v>
      </c>
    </row>
    <row r="171" spans="1:19" ht="174.95" customHeight="1" x14ac:dyDescent="0.25">
      <c r="A171" s="31">
        <v>158</v>
      </c>
      <c r="B171" s="25" t="s">
        <v>1248</v>
      </c>
      <c r="C171" s="194" t="s">
        <v>1249</v>
      </c>
      <c r="D171" s="195"/>
      <c r="E171" s="195"/>
      <c r="F171" s="196"/>
      <c r="G171" s="32" t="s">
        <v>1251</v>
      </c>
      <c r="H171" s="25" t="s">
        <v>1250</v>
      </c>
      <c r="I171" s="33">
        <v>1</v>
      </c>
      <c r="J171" s="33">
        <v>0</v>
      </c>
      <c r="K171" s="33">
        <v>0</v>
      </c>
      <c r="L171" s="33">
        <v>0</v>
      </c>
      <c r="M171" s="33">
        <v>0</v>
      </c>
      <c r="N171" s="33">
        <v>0</v>
      </c>
      <c r="O171" s="191" t="s">
        <v>57</v>
      </c>
      <c r="P171" s="192"/>
      <c r="Q171" s="192"/>
      <c r="R171" s="193"/>
      <c r="S171" s="29" t="s">
        <v>63</v>
      </c>
    </row>
    <row r="172" spans="1:19" ht="174.95" customHeight="1" x14ac:dyDescent="0.25">
      <c r="A172" s="22">
        <v>159</v>
      </c>
      <c r="B172" s="25" t="s">
        <v>1252</v>
      </c>
      <c r="C172" s="194" t="s">
        <v>1253</v>
      </c>
      <c r="D172" s="195"/>
      <c r="E172" s="195"/>
      <c r="F172" s="196"/>
      <c r="G172" s="32" t="s">
        <v>1255</v>
      </c>
      <c r="H172" s="25" t="s">
        <v>1254</v>
      </c>
      <c r="I172" s="33">
        <v>1</v>
      </c>
      <c r="J172" s="33">
        <v>0</v>
      </c>
      <c r="K172" s="33">
        <v>0</v>
      </c>
      <c r="L172" s="33">
        <v>0</v>
      </c>
      <c r="M172" s="33">
        <v>0</v>
      </c>
      <c r="N172" s="33">
        <v>0</v>
      </c>
      <c r="O172" s="191" t="s">
        <v>57</v>
      </c>
      <c r="P172" s="192"/>
      <c r="Q172" s="192"/>
      <c r="R172" s="193"/>
      <c r="S172" s="29" t="s">
        <v>62</v>
      </c>
    </row>
    <row r="173" spans="1:19" ht="174.95" customHeight="1" x14ac:dyDescent="0.25">
      <c r="A173" s="31">
        <v>160</v>
      </c>
      <c r="B173" s="25" t="s">
        <v>1256</v>
      </c>
      <c r="C173" s="194" t="s">
        <v>1257</v>
      </c>
      <c r="D173" s="195"/>
      <c r="E173" s="195"/>
      <c r="F173" s="196"/>
      <c r="G173" s="32" t="s">
        <v>1259</v>
      </c>
      <c r="H173" s="25" t="s">
        <v>1258</v>
      </c>
      <c r="I173" s="33">
        <v>1</v>
      </c>
      <c r="J173" s="33">
        <v>0</v>
      </c>
      <c r="K173" s="33">
        <v>0</v>
      </c>
      <c r="L173" s="33">
        <v>0</v>
      </c>
      <c r="M173" s="33">
        <v>0</v>
      </c>
      <c r="N173" s="33">
        <v>0</v>
      </c>
      <c r="O173" s="191" t="s">
        <v>50</v>
      </c>
      <c r="P173" s="192"/>
      <c r="Q173" s="192"/>
      <c r="R173" s="193"/>
      <c r="S173" s="29" t="s">
        <v>51</v>
      </c>
    </row>
    <row r="174" spans="1:19" ht="174.95" customHeight="1" x14ac:dyDescent="0.25">
      <c r="A174" s="22">
        <v>161</v>
      </c>
      <c r="B174" s="25" t="s">
        <v>1256</v>
      </c>
      <c r="C174" s="194" t="s">
        <v>1260</v>
      </c>
      <c r="D174" s="195"/>
      <c r="E174" s="195"/>
      <c r="F174" s="196"/>
      <c r="G174" s="32" t="s">
        <v>1262</v>
      </c>
      <c r="H174" s="25" t="s">
        <v>1261</v>
      </c>
      <c r="I174" s="33">
        <v>1</v>
      </c>
      <c r="J174" s="33">
        <v>0</v>
      </c>
      <c r="K174" s="33">
        <v>0</v>
      </c>
      <c r="L174" s="33">
        <v>0</v>
      </c>
      <c r="M174" s="33">
        <v>0</v>
      </c>
      <c r="N174" s="33">
        <v>0</v>
      </c>
      <c r="O174" s="191" t="s">
        <v>57</v>
      </c>
      <c r="P174" s="192"/>
      <c r="Q174" s="192"/>
      <c r="R174" s="193"/>
      <c r="S174" s="29" t="s">
        <v>62</v>
      </c>
    </row>
    <row r="175" spans="1:19" ht="174.95" customHeight="1" x14ac:dyDescent="0.25">
      <c r="A175" s="31">
        <v>162</v>
      </c>
      <c r="B175" s="25" t="s">
        <v>1263</v>
      </c>
      <c r="C175" s="194" t="s">
        <v>1264</v>
      </c>
      <c r="D175" s="195"/>
      <c r="E175" s="195"/>
      <c r="F175" s="196"/>
      <c r="G175" s="32" t="s">
        <v>1266</v>
      </c>
      <c r="H175" s="25" t="s">
        <v>1265</v>
      </c>
      <c r="I175" s="33">
        <v>1</v>
      </c>
      <c r="J175" s="33">
        <v>0</v>
      </c>
      <c r="K175" s="33">
        <v>0</v>
      </c>
      <c r="L175" s="33">
        <v>0</v>
      </c>
      <c r="M175" s="33">
        <v>0</v>
      </c>
      <c r="N175" s="33">
        <v>0</v>
      </c>
      <c r="O175" s="191" t="s">
        <v>50</v>
      </c>
      <c r="P175" s="192"/>
      <c r="Q175" s="192"/>
      <c r="R175" s="193"/>
      <c r="S175" s="29" t="s">
        <v>51</v>
      </c>
    </row>
    <row r="176" spans="1:19" ht="174.95" customHeight="1" x14ac:dyDescent="0.25">
      <c r="A176" s="22">
        <v>163</v>
      </c>
      <c r="B176" s="25" t="s">
        <v>1263</v>
      </c>
      <c r="C176" s="194" t="s">
        <v>1267</v>
      </c>
      <c r="D176" s="195"/>
      <c r="E176" s="195"/>
      <c r="F176" s="196"/>
      <c r="G176" s="32" t="s">
        <v>1269</v>
      </c>
      <c r="H176" s="25" t="s">
        <v>1268</v>
      </c>
      <c r="I176" s="33">
        <v>1</v>
      </c>
      <c r="J176" s="33">
        <v>0</v>
      </c>
      <c r="K176" s="33">
        <v>0</v>
      </c>
      <c r="L176" s="33">
        <v>0</v>
      </c>
      <c r="M176" s="33">
        <v>0</v>
      </c>
      <c r="N176" s="33">
        <v>0</v>
      </c>
      <c r="O176" s="191" t="s">
        <v>54</v>
      </c>
      <c r="P176" s="192"/>
      <c r="Q176" s="192"/>
      <c r="R176" s="193"/>
      <c r="S176" s="29" t="s">
        <v>60</v>
      </c>
    </row>
    <row r="177" spans="1:19" ht="174.95" customHeight="1" x14ac:dyDescent="0.25">
      <c r="A177" s="31">
        <v>164</v>
      </c>
      <c r="B177" s="25" t="s">
        <v>1270</v>
      </c>
      <c r="C177" s="194" t="s">
        <v>1271</v>
      </c>
      <c r="D177" s="195"/>
      <c r="E177" s="195"/>
      <c r="F177" s="196"/>
      <c r="G177" s="32" t="s">
        <v>1273</v>
      </c>
      <c r="H177" s="25" t="s">
        <v>1272</v>
      </c>
      <c r="I177" s="33">
        <v>1</v>
      </c>
      <c r="J177" s="33">
        <v>0</v>
      </c>
      <c r="K177" s="33">
        <v>0</v>
      </c>
      <c r="L177" s="33">
        <v>0</v>
      </c>
      <c r="M177" s="33">
        <v>0</v>
      </c>
      <c r="N177" s="33">
        <v>0</v>
      </c>
      <c r="O177" s="191" t="s">
        <v>57</v>
      </c>
      <c r="P177" s="192"/>
      <c r="Q177" s="192"/>
      <c r="R177" s="193"/>
      <c r="S177" s="29" t="s">
        <v>51</v>
      </c>
    </row>
    <row r="178" spans="1:19" ht="174.95" customHeight="1" x14ac:dyDescent="0.25">
      <c r="A178" s="22">
        <v>165</v>
      </c>
      <c r="B178" s="25" t="s">
        <v>1274</v>
      </c>
      <c r="C178" s="194" t="s">
        <v>1275</v>
      </c>
      <c r="D178" s="195"/>
      <c r="E178" s="195"/>
      <c r="F178" s="196"/>
      <c r="G178" s="32" t="s">
        <v>1277</v>
      </c>
      <c r="H178" s="25" t="s">
        <v>1276</v>
      </c>
      <c r="I178" s="33">
        <v>1</v>
      </c>
      <c r="J178" s="33">
        <v>0</v>
      </c>
      <c r="K178" s="33">
        <v>0</v>
      </c>
      <c r="L178" s="33">
        <v>0</v>
      </c>
      <c r="M178" s="33">
        <v>0</v>
      </c>
      <c r="N178" s="33">
        <v>0</v>
      </c>
      <c r="O178" s="191" t="s">
        <v>50</v>
      </c>
      <c r="P178" s="192"/>
      <c r="Q178" s="192"/>
      <c r="R178" s="193"/>
      <c r="S178" s="29" t="s">
        <v>51</v>
      </c>
    </row>
    <row r="179" spans="1:19" ht="174.95" customHeight="1" x14ac:dyDescent="0.25">
      <c r="A179" s="31">
        <v>166</v>
      </c>
      <c r="B179" s="25" t="s">
        <v>1274</v>
      </c>
      <c r="C179" s="194" t="s">
        <v>1278</v>
      </c>
      <c r="D179" s="195"/>
      <c r="E179" s="195"/>
      <c r="F179" s="196"/>
      <c r="G179" s="32" t="s">
        <v>1280</v>
      </c>
      <c r="H179" s="25" t="s">
        <v>1279</v>
      </c>
      <c r="I179" s="33">
        <v>1</v>
      </c>
      <c r="J179" s="33">
        <v>0</v>
      </c>
      <c r="K179" s="33">
        <v>0</v>
      </c>
      <c r="L179" s="33">
        <v>0</v>
      </c>
      <c r="M179" s="33">
        <v>0</v>
      </c>
      <c r="N179" s="33">
        <v>0</v>
      </c>
      <c r="O179" s="191" t="s">
        <v>57</v>
      </c>
      <c r="P179" s="192"/>
      <c r="Q179" s="192"/>
      <c r="R179" s="193"/>
      <c r="S179" s="29" t="s">
        <v>51</v>
      </c>
    </row>
    <row r="180" spans="1:19" ht="174.95" customHeight="1" x14ac:dyDescent="0.25">
      <c r="A180" s="22">
        <v>167</v>
      </c>
      <c r="B180" s="25" t="s">
        <v>1281</v>
      </c>
      <c r="C180" s="194" t="s">
        <v>1282</v>
      </c>
      <c r="D180" s="195"/>
      <c r="E180" s="195"/>
      <c r="F180" s="196"/>
      <c r="G180" s="32" t="s">
        <v>1284</v>
      </c>
      <c r="H180" s="25" t="s">
        <v>1283</v>
      </c>
      <c r="I180" s="33">
        <v>1</v>
      </c>
      <c r="J180" s="33">
        <v>0</v>
      </c>
      <c r="K180" s="33">
        <v>0</v>
      </c>
      <c r="L180" s="33">
        <v>0</v>
      </c>
      <c r="M180" s="33">
        <v>0</v>
      </c>
      <c r="N180" s="33">
        <v>0</v>
      </c>
      <c r="O180" s="191" t="s">
        <v>50</v>
      </c>
      <c r="P180" s="192"/>
      <c r="Q180" s="192"/>
      <c r="R180" s="193"/>
      <c r="S180" s="29" t="s">
        <v>51</v>
      </c>
    </row>
    <row r="181" spans="1:19" ht="174.95" customHeight="1" x14ac:dyDescent="0.25">
      <c r="A181" s="31">
        <v>168</v>
      </c>
      <c r="B181" s="25" t="s">
        <v>1281</v>
      </c>
      <c r="C181" s="194" t="s">
        <v>1285</v>
      </c>
      <c r="D181" s="195"/>
      <c r="E181" s="195"/>
      <c r="F181" s="196"/>
      <c r="G181" s="24" t="s">
        <v>1287</v>
      </c>
      <c r="H181" s="25" t="s">
        <v>1286</v>
      </c>
      <c r="I181" s="26">
        <v>1</v>
      </c>
      <c r="J181" s="26">
        <v>0</v>
      </c>
      <c r="K181" s="26">
        <v>0</v>
      </c>
      <c r="L181" s="27">
        <v>0</v>
      </c>
      <c r="M181" s="28">
        <v>0</v>
      </c>
      <c r="N181" s="28">
        <v>0</v>
      </c>
      <c r="O181" s="188" t="s">
        <v>57</v>
      </c>
      <c r="P181" s="189"/>
      <c r="Q181" s="189"/>
      <c r="R181" s="190"/>
      <c r="S181" s="29" t="s">
        <v>51</v>
      </c>
    </row>
    <row r="182" spans="1:19" ht="174.95" customHeight="1" x14ac:dyDescent="0.25">
      <c r="A182" s="22">
        <v>169</v>
      </c>
      <c r="B182" s="25" t="s">
        <v>1288</v>
      </c>
      <c r="C182" s="194" t="s">
        <v>1289</v>
      </c>
      <c r="D182" s="195"/>
      <c r="E182" s="195"/>
      <c r="F182" s="196"/>
      <c r="G182" s="32" t="s">
        <v>1291</v>
      </c>
      <c r="H182" s="25" t="s">
        <v>1290</v>
      </c>
      <c r="I182" s="33">
        <v>1</v>
      </c>
      <c r="J182" s="33">
        <v>0</v>
      </c>
      <c r="K182" s="33">
        <v>0</v>
      </c>
      <c r="L182" s="33">
        <v>0</v>
      </c>
      <c r="M182" s="33">
        <v>0</v>
      </c>
      <c r="N182" s="33">
        <v>0</v>
      </c>
      <c r="O182" s="188" t="s">
        <v>54</v>
      </c>
      <c r="P182" s="189"/>
      <c r="Q182" s="189"/>
      <c r="R182" s="190"/>
      <c r="S182" s="29" t="s">
        <v>51</v>
      </c>
    </row>
    <row r="183" spans="1:19" ht="174.95" customHeight="1" x14ac:dyDescent="0.25">
      <c r="A183" s="31">
        <v>170</v>
      </c>
      <c r="B183" s="25" t="s">
        <v>1292</v>
      </c>
      <c r="C183" s="194" t="s">
        <v>1293</v>
      </c>
      <c r="D183" s="195"/>
      <c r="E183" s="195"/>
      <c r="F183" s="196"/>
      <c r="G183" s="35" t="s">
        <v>1295</v>
      </c>
      <c r="H183" s="25" t="s">
        <v>1294</v>
      </c>
      <c r="I183" s="33">
        <v>0</v>
      </c>
      <c r="J183" s="33">
        <v>1</v>
      </c>
      <c r="K183" s="33">
        <v>0</v>
      </c>
      <c r="L183" s="33">
        <v>0</v>
      </c>
      <c r="M183" s="33">
        <v>0</v>
      </c>
      <c r="N183" s="33">
        <v>0</v>
      </c>
      <c r="O183" s="188" t="s">
        <v>50</v>
      </c>
      <c r="P183" s="189"/>
      <c r="Q183" s="189"/>
      <c r="R183" s="190"/>
      <c r="S183" s="29" t="s">
        <v>58</v>
      </c>
    </row>
    <row r="184" spans="1:19" ht="182.25" customHeight="1" x14ac:dyDescent="0.25">
      <c r="A184" s="22">
        <v>171</v>
      </c>
      <c r="B184" s="25" t="s">
        <v>1292</v>
      </c>
      <c r="C184" s="194" t="s">
        <v>1296</v>
      </c>
      <c r="D184" s="195"/>
      <c r="E184" s="195"/>
      <c r="F184" s="196"/>
      <c r="G184" s="32" t="s">
        <v>1298</v>
      </c>
      <c r="H184" s="25" t="s">
        <v>1297</v>
      </c>
      <c r="I184" s="33">
        <v>1</v>
      </c>
      <c r="J184" s="33">
        <v>0</v>
      </c>
      <c r="K184" s="33">
        <v>0</v>
      </c>
      <c r="L184" s="33">
        <v>0</v>
      </c>
      <c r="M184" s="33">
        <v>0</v>
      </c>
      <c r="N184" s="33">
        <v>0</v>
      </c>
      <c r="O184" s="191" t="s">
        <v>55</v>
      </c>
      <c r="P184" s="192"/>
      <c r="Q184" s="192"/>
      <c r="R184" s="193"/>
      <c r="S184" s="29" t="s">
        <v>51</v>
      </c>
    </row>
    <row r="185" spans="1:19" ht="174.95" customHeight="1" x14ac:dyDescent="0.25">
      <c r="A185" s="31">
        <v>172</v>
      </c>
      <c r="B185" s="25" t="s">
        <v>1299</v>
      </c>
      <c r="C185" s="194" t="s">
        <v>1300</v>
      </c>
      <c r="D185" s="195"/>
      <c r="E185" s="195"/>
      <c r="F185" s="196"/>
      <c r="G185" s="32" t="s">
        <v>1302</v>
      </c>
      <c r="H185" s="25" t="s">
        <v>1301</v>
      </c>
      <c r="I185" s="33">
        <v>1</v>
      </c>
      <c r="J185" s="33">
        <v>0</v>
      </c>
      <c r="K185" s="33">
        <v>0</v>
      </c>
      <c r="L185" s="33">
        <v>0</v>
      </c>
      <c r="M185" s="33">
        <v>0</v>
      </c>
      <c r="N185" s="33">
        <v>0</v>
      </c>
      <c r="O185" s="191" t="s">
        <v>57</v>
      </c>
      <c r="P185" s="192"/>
      <c r="Q185" s="192"/>
      <c r="R185" s="193"/>
      <c r="S185" s="29" t="s">
        <v>51</v>
      </c>
    </row>
    <row r="186" spans="1:19" ht="182.25" customHeight="1" x14ac:dyDescent="0.25">
      <c r="A186" s="22">
        <v>173</v>
      </c>
      <c r="B186" s="25" t="s">
        <v>1303</v>
      </c>
      <c r="C186" s="194" t="s">
        <v>1304</v>
      </c>
      <c r="D186" s="195"/>
      <c r="E186" s="195"/>
      <c r="F186" s="196"/>
      <c r="G186" s="32" t="s">
        <v>1306</v>
      </c>
      <c r="H186" s="25" t="s">
        <v>1305</v>
      </c>
      <c r="I186" s="33">
        <v>0</v>
      </c>
      <c r="J186" s="33">
        <v>1</v>
      </c>
      <c r="K186" s="33">
        <v>0</v>
      </c>
      <c r="L186" s="33">
        <v>0</v>
      </c>
      <c r="M186" s="33">
        <v>0</v>
      </c>
      <c r="N186" s="33">
        <v>0</v>
      </c>
      <c r="O186" s="191" t="s">
        <v>57</v>
      </c>
      <c r="P186" s="192"/>
      <c r="Q186" s="192"/>
      <c r="R186" s="193"/>
      <c r="S186" s="29" t="s">
        <v>58</v>
      </c>
    </row>
    <row r="187" spans="1:19" ht="174.95" customHeight="1" x14ac:dyDescent="0.25">
      <c r="A187" s="31">
        <v>174</v>
      </c>
      <c r="B187" s="25" t="s">
        <v>1307</v>
      </c>
      <c r="C187" s="194" t="s">
        <v>1308</v>
      </c>
      <c r="D187" s="195"/>
      <c r="E187" s="195"/>
      <c r="F187" s="196"/>
      <c r="G187" s="32" t="s">
        <v>1310</v>
      </c>
      <c r="H187" s="25" t="s">
        <v>1309</v>
      </c>
      <c r="I187" s="33">
        <v>1</v>
      </c>
      <c r="J187" s="33">
        <v>0</v>
      </c>
      <c r="K187" s="33">
        <v>0</v>
      </c>
      <c r="L187" s="33">
        <v>0</v>
      </c>
      <c r="M187" s="33">
        <v>0</v>
      </c>
      <c r="N187" s="33">
        <v>0</v>
      </c>
      <c r="O187" s="191" t="s">
        <v>50</v>
      </c>
      <c r="P187" s="192"/>
      <c r="Q187" s="192"/>
      <c r="R187" s="193"/>
      <c r="S187" s="29" t="s">
        <v>53</v>
      </c>
    </row>
    <row r="188" spans="1:19" ht="174.95" customHeight="1" x14ac:dyDescent="0.25">
      <c r="A188" s="22">
        <v>175</v>
      </c>
      <c r="B188" s="25" t="s">
        <v>1307</v>
      </c>
      <c r="C188" s="194" t="s">
        <v>1311</v>
      </c>
      <c r="D188" s="195"/>
      <c r="E188" s="195"/>
      <c r="F188" s="196"/>
      <c r="G188" s="32" t="s">
        <v>1313</v>
      </c>
      <c r="H188" s="25" t="s">
        <v>1312</v>
      </c>
      <c r="I188" s="33">
        <v>1</v>
      </c>
      <c r="J188" s="33">
        <v>0</v>
      </c>
      <c r="K188" s="33">
        <v>0</v>
      </c>
      <c r="L188" s="33">
        <v>0</v>
      </c>
      <c r="M188" s="33">
        <v>0</v>
      </c>
      <c r="N188" s="33">
        <v>0</v>
      </c>
      <c r="O188" s="191" t="s">
        <v>57</v>
      </c>
      <c r="P188" s="192"/>
      <c r="Q188" s="192"/>
      <c r="R188" s="193"/>
      <c r="S188" s="29" t="s">
        <v>51</v>
      </c>
    </row>
    <row r="189" spans="1:19" ht="174.95" customHeight="1" x14ac:dyDescent="0.25">
      <c r="A189" s="31">
        <v>176</v>
      </c>
      <c r="B189" s="25" t="s">
        <v>1314</v>
      </c>
      <c r="C189" s="194" t="s">
        <v>1315</v>
      </c>
      <c r="D189" s="195"/>
      <c r="E189" s="195"/>
      <c r="F189" s="196"/>
      <c r="G189" s="32" t="s">
        <v>1317</v>
      </c>
      <c r="H189" s="25" t="s">
        <v>1316</v>
      </c>
      <c r="I189" s="33">
        <v>1</v>
      </c>
      <c r="J189" s="33">
        <v>0</v>
      </c>
      <c r="K189" s="33">
        <v>0</v>
      </c>
      <c r="L189" s="33">
        <v>0</v>
      </c>
      <c r="M189" s="33">
        <v>0</v>
      </c>
      <c r="N189" s="33">
        <v>0</v>
      </c>
      <c r="O189" s="191" t="s">
        <v>57</v>
      </c>
      <c r="P189" s="192"/>
      <c r="Q189" s="192"/>
      <c r="R189" s="193"/>
      <c r="S189" s="29" t="s">
        <v>51</v>
      </c>
    </row>
    <row r="190" spans="1:19" ht="174.95" customHeight="1" x14ac:dyDescent="0.25">
      <c r="A190" s="22">
        <v>177</v>
      </c>
      <c r="B190" s="25" t="s">
        <v>1318</v>
      </c>
      <c r="C190" s="194" t="s">
        <v>1319</v>
      </c>
      <c r="D190" s="195"/>
      <c r="E190" s="195"/>
      <c r="F190" s="196"/>
      <c r="G190" s="32" t="s">
        <v>1321</v>
      </c>
      <c r="H190" s="25" t="s">
        <v>1320</v>
      </c>
      <c r="I190" s="33">
        <v>1</v>
      </c>
      <c r="J190" s="33">
        <v>0</v>
      </c>
      <c r="K190" s="33">
        <v>0</v>
      </c>
      <c r="L190" s="33">
        <v>0</v>
      </c>
      <c r="M190" s="33">
        <v>0</v>
      </c>
      <c r="N190" s="33">
        <v>0</v>
      </c>
      <c r="O190" s="191" t="s">
        <v>57</v>
      </c>
      <c r="P190" s="192"/>
      <c r="Q190" s="192"/>
      <c r="R190" s="193"/>
      <c r="S190" s="29" t="s">
        <v>53</v>
      </c>
    </row>
    <row r="191" spans="1:19" ht="174.95" customHeight="1" x14ac:dyDescent="0.25">
      <c r="A191" s="31">
        <v>178</v>
      </c>
      <c r="B191" s="25" t="s">
        <v>1322</v>
      </c>
      <c r="C191" s="194" t="s">
        <v>1323</v>
      </c>
      <c r="D191" s="195"/>
      <c r="E191" s="195"/>
      <c r="F191" s="196"/>
      <c r="G191" s="32" t="s">
        <v>1325</v>
      </c>
      <c r="H191" s="25" t="s">
        <v>1324</v>
      </c>
      <c r="I191" s="33">
        <v>1</v>
      </c>
      <c r="J191" s="33">
        <v>0</v>
      </c>
      <c r="K191" s="33">
        <v>0</v>
      </c>
      <c r="L191" s="33">
        <v>0</v>
      </c>
      <c r="M191" s="33">
        <v>0</v>
      </c>
      <c r="N191" s="33">
        <v>0</v>
      </c>
      <c r="O191" s="191" t="s">
        <v>50</v>
      </c>
      <c r="P191" s="192"/>
      <c r="Q191" s="192"/>
      <c r="R191" s="193"/>
      <c r="S191" s="29" t="s">
        <v>60</v>
      </c>
    </row>
    <row r="192" spans="1:19" ht="174.95" customHeight="1" x14ac:dyDescent="0.25">
      <c r="A192" s="22">
        <v>179</v>
      </c>
      <c r="B192" s="25" t="s">
        <v>1322</v>
      </c>
      <c r="C192" s="194" t="s">
        <v>1326</v>
      </c>
      <c r="D192" s="195"/>
      <c r="E192" s="195"/>
      <c r="F192" s="196"/>
      <c r="G192" s="32" t="s">
        <v>1328</v>
      </c>
      <c r="H192" s="25" t="s">
        <v>1327</v>
      </c>
      <c r="I192" s="33">
        <v>1</v>
      </c>
      <c r="J192" s="33">
        <v>0</v>
      </c>
      <c r="K192" s="33">
        <v>0</v>
      </c>
      <c r="L192" s="33">
        <v>0</v>
      </c>
      <c r="M192" s="33">
        <v>0</v>
      </c>
      <c r="N192" s="33">
        <v>0</v>
      </c>
      <c r="O192" s="191" t="s">
        <v>57</v>
      </c>
      <c r="P192" s="192"/>
      <c r="Q192" s="192"/>
      <c r="R192" s="193"/>
      <c r="S192" s="29" t="s">
        <v>53</v>
      </c>
    </row>
    <row r="193" spans="1:19" ht="174.95" customHeight="1" x14ac:dyDescent="0.25">
      <c r="A193" s="31">
        <v>180</v>
      </c>
      <c r="B193" s="25" t="s">
        <v>1329</v>
      </c>
      <c r="C193" s="194" t="s">
        <v>1330</v>
      </c>
      <c r="D193" s="195"/>
      <c r="E193" s="195"/>
      <c r="F193" s="196"/>
      <c r="G193" s="32" t="s">
        <v>1332</v>
      </c>
      <c r="H193" s="25" t="s">
        <v>1331</v>
      </c>
      <c r="I193" s="33">
        <v>1</v>
      </c>
      <c r="J193" s="33">
        <v>0</v>
      </c>
      <c r="K193" s="33">
        <v>0</v>
      </c>
      <c r="L193" s="33">
        <v>0</v>
      </c>
      <c r="M193" s="33">
        <v>0</v>
      </c>
      <c r="N193" s="33">
        <v>0</v>
      </c>
      <c r="O193" s="191" t="s">
        <v>57</v>
      </c>
      <c r="P193" s="192"/>
      <c r="Q193" s="192"/>
      <c r="R193" s="193"/>
      <c r="S193" s="29" t="s">
        <v>51</v>
      </c>
    </row>
    <row r="194" spans="1:19" ht="174.95" customHeight="1" x14ac:dyDescent="0.25">
      <c r="A194" s="22">
        <v>181</v>
      </c>
      <c r="B194" s="25" t="s">
        <v>1333</v>
      </c>
      <c r="C194" s="194" t="s">
        <v>1334</v>
      </c>
      <c r="D194" s="195"/>
      <c r="E194" s="195"/>
      <c r="F194" s="196"/>
      <c r="G194" s="32" t="s">
        <v>1336</v>
      </c>
      <c r="H194" s="25" t="s">
        <v>1335</v>
      </c>
      <c r="I194" s="33">
        <v>1</v>
      </c>
      <c r="J194" s="33">
        <v>0</v>
      </c>
      <c r="K194" s="33">
        <v>0</v>
      </c>
      <c r="L194" s="33">
        <v>0</v>
      </c>
      <c r="M194" s="33">
        <v>0</v>
      </c>
      <c r="N194" s="33">
        <v>0</v>
      </c>
      <c r="O194" s="191" t="s">
        <v>57</v>
      </c>
      <c r="P194" s="192"/>
      <c r="Q194" s="192"/>
      <c r="R194" s="193"/>
      <c r="S194" s="29" t="s">
        <v>56</v>
      </c>
    </row>
    <row r="195" spans="1:19" ht="174.95" customHeight="1" x14ac:dyDescent="0.25">
      <c r="A195" s="31">
        <v>182</v>
      </c>
      <c r="B195" s="25" t="s">
        <v>1337</v>
      </c>
      <c r="C195" s="194" t="s">
        <v>1338</v>
      </c>
      <c r="D195" s="195"/>
      <c r="E195" s="195"/>
      <c r="F195" s="196"/>
      <c r="G195" s="32" t="s">
        <v>1340</v>
      </c>
      <c r="H195" s="25" t="s">
        <v>1339</v>
      </c>
      <c r="I195" s="33">
        <v>1</v>
      </c>
      <c r="J195" s="33">
        <v>0</v>
      </c>
      <c r="K195" s="33">
        <v>0</v>
      </c>
      <c r="L195" s="33">
        <v>0</v>
      </c>
      <c r="M195" s="33">
        <v>0</v>
      </c>
      <c r="N195" s="33">
        <v>0</v>
      </c>
      <c r="O195" s="191" t="s">
        <v>50</v>
      </c>
      <c r="P195" s="192"/>
      <c r="Q195" s="192"/>
      <c r="R195" s="193"/>
      <c r="S195" s="29" t="s">
        <v>61</v>
      </c>
    </row>
    <row r="196" spans="1:19" ht="174.95" customHeight="1" x14ac:dyDescent="0.25">
      <c r="A196" s="22">
        <v>183</v>
      </c>
      <c r="B196" s="25" t="s">
        <v>1337</v>
      </c>
      <c r="C196" s="194" t="s">
        <v>1341</v>
      </c>
      <c r="D196" s="195"/>
      <c r="E196" s="195"/>
      <c r="F196" s="196"/>
      <c r="G196" s="32" t="s">
        <v>1342</v>
      </c>
      <c r="H196" s="25" t="s">
        <v>2270</v>
      </c>
      <c r="I196" s="33">
        <v>1</v>
      </c>
      <c r="J196" s="33">
        <v>0</v>
      </c>
      <c r="K196" s="33">
        <v>0</v>
      </c>
      <c r="L196" s="33">
        <v>0</v>
      </c>
      <c r="M196" s="33">
        <v>0</v>
      </c>
      <c r="N196" s="33">
        <v>0</v>
      </c>
      <c r="O196" s="191" t="s">
        <v>57</v>
      </c>
      <c r="P196" s="192"/>
      <c r="Q196" s="192"/>
      <c r="R196" s="193"/>
      <c r="S196" s="29" t="s">
        <v>51</v>
      </c>
    </row>
    <row r="197" spans="1:19" ht="207.75" customHeight="1" x14ac:dyDescent="0.25">
      <c r="A197" s="31">
        <v>184</v>
      </c>
      <c r="B197" s="25" t="s">
        <v>1343</v>
      </c>
      <c r="C197" s="194" t="s">
        <v>723</v>
      </c>
      <c r="D197" s="195"/>
      <c r="E197" s="195"/>
      <c r="F197" s="196"/>
      <c r="G197" s="32" t="s">
        <v>1345</v>
      </c>
      <c r="H197" s="25" t="s">
        <v>1344</v>
      </c>
      <c r="I197" s="33">
        <v>1</v>
      </c>
      <c r="J197" s="33">
        <v>0</v>
      </c>
      <c r="K197" s="33">
        <v>0</v>
      </c>
      <c r="L197" s="33">
        <v>0</v>
      </c>
      <c r="M197" s="33">
        <v>0</v>
      </c>
      <c r="N197" s="33">
        <v>0</v>
      </c>
      <c r="O197" s="191" t="s">
        <v>50</v>
      </c>
      <c r="P197" s="192"/>
      <c r="Q197" s="192"/>
      <c r="R197" s="193"/>
      <c r="S197" s="29" t="s">
        <v>51</v>
      </c>
    </row>
    <row r="198" spans="1:19" ht="174.95" customHeight="1" x14ac:dyDescent="0.25">
      <c r="A198" s="22">
        <v>185</v>
      </c>
      <c r="B198" s="25" t="s">
        <v>1343</v>
      </c>
      <c r="C198" s="194" t="s">
        <v>1346</v>
      </c>
      <c r="D198" s="195"/>
      <c r="E198" s="195"/>
      <c r="F198" s="196"/>
      <c r="G198" s="32" t="s">
        <v>1348</v>
      </c>
      <c r="H198" s="25" t="s">
        <v>1347</v>
      </c>
      <c r="I198" s="33">
        <v>1</v>
      </c>
      <c r="J198" s="33">
        <v>0</v>
      </c>
      <c r="K198" s="33">
        <v>0</v>
      </c>
      <c r="L198" s="33">
        <v>0</v>
      </c>
      <c r="M198" s="33">
        <v>0</v>
      </c>
      <c r="N198" s="33">
        <v>0</v>
      </c>
      <c r="O198" s="191" t="s">
        <v>57</v>
      </c>
      <c r="P198" s="192"/>
      <c r="Q198" s="192"/>
      <c r="R198" s="193"/>
      <c r="S198" s="29" t="s">
        <v>51</v>
      </c>
    </row>
    <row r="199" spans="1:19" ht="174.95" customHeight="1" x14ac:dyDescent="0.25">
      <c r="A199" s="31">
        <v>186</v>
      </c>
      <c r="B199" s="25" t="s">
        <v>1349</v>
      </c>
      <c r="C199" s="194" t="s">
        <v>1350</v>
      </c>
      <c r="D199" s="195"/>
      <c r="E199" s="195"/>
      <c r="F199" s="196"/>
      <c r="G199" s="32" t="s">
        <v>1352</v>
      </c>
      <c r="H199" s="25" t="s">
        <v>1351</v>
      </c>
      <c r="I199" s="33">
        <v>0</v>
      </c>
      <c r="J199" s="33">
        <v>1</v>
      </c>
      <c r="K199" s="33">
        <v>0</v>
      </c>
      <c r="L199" s="33">
        <v>0</v>
      </c>
      <c r="M199" s="33">
        <v>0</v>
      </c>
      <c r="N199" s="33">
        <v>0</v>
      </c>
      <c r="O199" s="191" t="s">
        <v>98</v>
      </c>
      <c r="P199" s="192"/>
      <c r="Q199" s="192"/>
      <c r="R199" s="193"/>
      <c r="S199" s="29" t="s">
        <v>1353</v>
      </c>
    </row>
    <row r="200" spans="1:19" ht="150" customHeight="1" x14ac:dyDescent="0.25">
      <c r="A200" s="22">
        <v>187</v>
      </c>
      <c r="B200" s="25" t="s">
        <v>1354</v>
      </c>
      <c r="C200" s="194" t="s">
        <v>1355</v>
      </c>
      <c r="D200" s="195"/>
      <c r="E200" s="195"/>
      <c r="F200" s="196"/>
      <c r="G200" s="32" t="s">
        <v>1357</v>
      </c>
      <c r="H200" s="25" t="s">
        <v>1356</v>
      </c>
      <c r="I200" s="33">
        <v>1</v>
      </c>
      <c r="J200" s="33">
        <v>0</v>
      </c>
      <c r="K200" s="33">
        <v>0</v>
      </c>
      <c r="L200" s="33">
        <v>0</v>
      </c>
      <c r="M200" s="33">
        <v>0</v>
      </c>
      <c r="N200" s="33">
        <v>0</v>
      </c>
      <c r="O200" s="191" t="s">
        <v>57</v>
      </c>
      <c r="P200" s="192"/>
      <c r="Q200" s="192"/>
      <c r="R200" s="193"/>
      <c r="S200" s="29" t="s">
        <v>53</v>
      </c>
    </row>
    <row r="201" spans="1:19" ht="150" customHeight="1" x14ac:dyDescent="0.25">
      <c r="A201" s="31">
        <v>188</v>
      </c>
      <c r="B201" s="25" t="s">
        <v>1358</v>
      </c>
      <c r="C201" s="194" t="s">
        <v>1359</v>
      </c>
      <c r="D201" s="195"/>
      <c r="E201" s="195"/>
      <c r="F201" s="196"/>
      <c r="G201" s="32" t="s">
        <v>1361</v>
      </c>
      <c r="H201" s="25" t="s">
        <v>1360</v>
      </c>
      <c r="I201" s="33">
        <v>1</v>
      </c>
      <c r="J201" s="33">
        <v>0</v>
      </c>
      <c r="K201" s="33">
        <v>0</v>
      </c>
      <c r="L201" s="33">
        <v>0</v>
      </c>
      <c r="M201" s="33">
        <v>0</v>
      </c>
      <c r="N201" s="33">
        <v>0</v>
      </c>
      <c r="O201" s="191" t="s">
        <v>50</v>
      </c>
      <c r="P201" s="192"/>
      <c r="Q201" s="192"/>
      <c r="R201" s="193"/>
      <c r="S201" s="29" t="s">
        <v>53</v>
      </c>
    </row>
    <row r="202" spans="1:19" ht="150" customHeight="1" x14ac:dyDescent="0.25">
      <c r="A202" s="22">
        <v>189</v>
      </c>
      <c r="B202" s="25" t="s">
        <v>1358</v>
      </c>
      <c r="C202" s="194" t="s">
        <v>1362</v>
      </c>
      <c r="D202" s="195"/>
      <c r="E202" s="195"/>
      <c r="F202" s="196"/>
      <c r="G202" s="32" t="s">
        <v>1364</v>
      </c>
      <c r="H202" s="25" t="s">
        <v>1363</v>
      </c>
      <c r="I202" s="33">
        <v>1</v>
      </c>
      <c r="J202" s="33">
        <v>0</v>
      </c>
      <c r="K202" s="33">
        <v>0</v>
      </c>
      <c r="L202" s="33">
        <v>0</v>
      </c>
      <c r="M202" s="33">
        <v>0</v>
      </c>
      <c r="N202" s="33">
        <v>0</v>
      </c>
      <c r="O202" s="191" t="s">
        <v>57</v>
      </c>
      <c r="P202" s="192"/>
      <c r="Q202" s="192"/>
      <c r="R202" s="193"/>
      <c r="S202" s="29" t="s">
        <v>51</v>
      </c>
    </row>
    <row r="203" spans="1:19" ht="150" customHeight="1" x14ac:dyDescent="0.25">
      <c r="A203" s="31">
        <v>190</v>
      </c>
      <c r="B203" s="25" t="s">
        <v>1365</v>
      </c>
      <c r="C203" s="194" t="s">
        <v>1366</v>
      </c>
      <c r="D203" s="195"/>
      <c r="E203" s="195"/>
      <c r="F203" s="196"/>
      <c r="G203" s="32" t="s">
        <v>1368</v>
      </c>
      <c r="H203" s="25" t="s">
        <v>1367</v>
      </c>
      <c r="I203" s="33">
        <v>1</v>
      </c>
      <c r="J203" s="33">
        <v>0</v>
      </c>
      <c r="K203" s="33">
        <v>0</v>
      </c>
      <c r="L203" s="33">
        <v>0</v>
      </c>
      <c r="M203" s="33">
        <v>0</v>
      </c>
      <c r="N203" s="33">
        <v>0</v>
      </c>
      <c r="O203" s="191" t="s">
        <v>50</v>
      </c>
      <c r="P203" s="192"/>
      <c r="Q203" s="192"/>
      <c r="R203" s="193"/>
      <c r="S203" s="29" t="s">
        <v>51</v>
      </c>
    </row>
    <row r="204" spans="1:19" ht="150" customHeight="1" x14ac:dyDescent="0.25">
      <c r="A204" s="22">
        <v>191</v>
      </c>
      <c r="B204" s="25" t="s">
        <v>1369</v>
      </c>
      <c r="C204" s="194" t="s">
        <v>1370</v>
      </c>
      <c r="D204" s="195"/>
      <c r="E204" s="195"/>
      <c r="F204" s="196"/>
      <c r="G204" s="32" t="s">
        <v>1372</v>
      </c>
      <c r="H204" s="25" t="s">
        <v>1371</v>
      </c>
      <c r="I204" s="33">
        <v>0</v>
      </c>
      <c r="J204" s="33">
        <v>1</v>
      </c>
      <c r="K204" s="33">
        <v>0</v>
      </c>
      <c r="L204" s="33">
        <v>0</v>
      </c>
      <c r="M204" s="33">
        <v>0</v>
      </c>
      <c r="N204" s="33">
        <v>0</v>
      </c>
      <c r="O204" s="191" t="s">
        <v>65</v>
      </c>
      <c r="P204" s="192"/>
      <c r="Q204" s="192"/>
      <c r="R204" s="193"/>
      <c r="S204" s="29" t="s">
        <v>70</v>
      </c>
    </row>
    <row r="205" spans="1:19" ht="150" customHeight="1" x14ac:dyDescent="0.25">
      <c r="A205" s="31">
        <v>192</v>
      </c>
      <c r="B205" s="25" t="s">
        <v>1369</v>
      </c>
      <c r="C205" s="194" t="s">
        <v>1373</v>
      </c>
      <c r="D205" s="195"/>
      <c r="E205" s="195"/>
      <c r="F205" s="196"/>
      <c r="G205" s="32" t="s">
        <v>1375</v>
      </c>
      <c r="H205" s="25" t="s">
        <v>1374</v>
      </c>
      <c r="I205" s="33">
        <v>1</v>
      </c>
      <c r="J205" s="33">
        <v>0</v>
      </c>
      <c r="K205" s="33">
        <v>0</v>
      </c>
      <c r="L205" s="33">
        <v>0</v>
      </c>
      <c r="M205" s="33">
        <v>0</v>
      </c>
      <c r="N205" s="33">
        <v>0</v>
      </c>
      <c r="O205" s="191" t="s">
        <v>48</v>
      </c>
      <c r="P205" s="192"/>
      <c r="Q205" s="192"/>
      <c r="R205" s="193"/>
      <c r="S205" s="29" t="s">
        <v>61</v>
      </c>
    </row>
    <row r="206" spans="1:19" ht="150" customHeight="1" x14ac:dyDescent="0.25">
      <c r="A206" s="22">
        <v>193</v>
      </c>
      <c r="B206" s="25" t="s">
        <v>1376</v>
      </c>
      <c r="C206" s="194" t="s">
        <v>1377</v>
      </c>
      <c r="D206" s="195"/>
      <c r="E206" s="195"/>
      <c r="F206" s="196"/>
      <c r="G206" s="32" t="s">
        <v>1379</v>
      </c>
      <c r="H206" s="25" t="s">
        <v>1378</v>
      </c>
      <c r="I206" s="33">
        <v>1</v>
      </c>
      <c r="J206" s="33">
        <v>0</v>
      </c>
      <c r="K206" s="33">
        <v>0</v>
      </c>
      <c r="L206" s="33">
        <v>0</v>
      </c>
      <c r="M206" s="33">
        <v>0</v>
      </c>
      <c r="N206" s="33">
        <v>0</v>
      </c>
      <c r="O206" s="191" t="s">
        <v>50</v>
      </c>
      <c r="P206" s="192"/>
      <c r="Q206" s="192"/>
      <c r="R206" s="193"/>
      <c r="S206" s="29" t="s">
        <v>51</v>
      </c>
    </row>
    <row r="207" spans="1:19" ht="150" customHeight="1" x14ac:dyDescent="0.25">
      <c r="A207" s="31">
        <v>194</v>
      </c>
      <c r="B207" s="25" t="s">
        <v>1376</v>
      </c>
      <c r="C207" s="194" t="s">
        <v>1380</v>
      </c>
      <c r="D207" s="195"/>
      <c r="E207" s="195"/>
      <c r="F207" s="196"/>
      <c r="G207" s="32" t="s">
        <v>1382</v>
      </c>
      <c r="H207" s="25" t="s">
        <v>1381</v>
      </c>
      <c r="I207" s="33">
        <v>1</v>
      </c>
      <c r="J207" s="33">
        <v>0</v>
      </c>
      <c r="K207" s="33">
        <v>0</v>
      </c>
      <c r="L207" s="33">
        <v>0</v>
      </c>
      <c r="M207" s="33">
        <v>0</v>
      </c>
      <c r="N207" s="33">
        <v>0</v>
      </c>
      <c r="O207" s="191" t="s">
        <v>57</v>
      </c>
      <c r="P207" s="192"/>
      <c r="Q207" s="192"/>
      <c r="R207" s="193"/>
      <c r="S207" s="29" t="s">
        <v>51</v>
      </c>
    </row>
    <row r="208" spans="1:19" ht="150" customHeight="1" x14ac:dyDescent="0.25">
      <c r="A208" s="22">
        <v>195</v>
      </c>
      <c r="B208" s="25" t="s">
        <v>1383</v>
      </c>
      <c r="C208" s="194" t="s">
        <v>1384</v>
      </c>
      <c r="D208" s="195"/>
      <c r="E208" s="195"/>
      <c r="F208" s="196"/>
      <c r="G208" s="32" t="s">
        <v>1386</v>
      </c>
      <c r="H208" s="25" t="s">
        <v>1385</v>
      </c>
      <c r="I208" s="33">
        <v>0</v>
      </c>
      <c r="J208" s="33">
        <v>1</v>
      </c>
      <c r="K208" s="33">
        <v>0</v>
      </c>
      <c r="L208" s="33">
        <v>0</v>
      </c>
      <c r="M208" s="33">
        <v>0</v>
      </c>
      <c r="N208" s="33">
        <v>0</v>
      </c>
      <c r="O208" s="191" t="s">
        <v>65</v>
      </c>
      <c r="P208" s="192"/>
      <c r="Q208" s="192"/>
      <c r="R208" s="193"/>
      <c r="S208" s="29" t="s">
        <v>70</v>
      </c>
    </row>
    <row r="209" spans="1:19" ht="150" customHeight="1" x14ac:dyDescent="0.25">
      <c r="A209" s="31">
        <v>196</v>
      </c>
      <c r="B209" s="25" t="s">
        <v>1383</v>
      </c>
      <c r="C209" s="194" t="s">
        <v>1387</v>
      </c>
      <c r="D209" s="195"/>
      <c r="E209" s="195"/>
      <c r="F209" s="196"/>
      <c r="G209" s="32" t="s">
        <v>1389</v>
      </c>
      <c r="H209" s="25" t="s">
        <v>1388</v>
      </c>
      <c r="I209" s="33">
        <v>1</v>
      </c>
      <c r="J209" s="33">
        <v>0</v>
      </c>
      <c r="K209" s="33">
        <v>0</v>
      </c>
      <c r="L209" s="33">
        <v>0</v>
      </c>
      <c r="M209" s="33">
        <v>0</v>
      </c>
      <c r="N209" s="33">
        <v>0</v>
      </c>
      <c r="O209" s="191" t="s">
        <v>57</v>
      </c>
      <c r="P209" s="192"/>
      <c r="Q209" s="192"/>
      <c r="R209" s="193"/>
      <c r="S209" s="29" t="s">
        <v>51</v>
      </c>
    </row>
    <row r="210" spans="1:19" ht="150" customHeight="1" x14ac:dyDescent="0.25">
      <c r="A210" s="22">
        <v>197</v>
      </c>
      <c r="B210" s="25" t="s">
        <v>1390</v>
      </c>
      <c r="C210" s="194" t="s">
        <v>1391</v>
      </c>
      <c r="D210" s="195"/>
      <c r="E210" s="195"/>
      <c r="F210" s="196"/>
      <c r="G210" s="32" t="s">
        <v>1392</v>
      </c>
      <c r="H210" s="25" t="s">
        <v>1393</v>
      </c>
      <c r="I210" s="33">
        <v>1</v>
      </c>
      <c r="J210" s="33">
        <v>0</v>
      </c>
      <c r="K210" s="33">
        <v>0</v>
      </c>
      <c r="L210" s="33">
        <v>0</v>
      </c>
      <c r="M210" s="33">
        <v>0</v>
      </c>
      <c r="N210" s="33">
        <v>0</v>
      </c>
      <c r="O210" s="191" t="s">
        <v>50</v>
      </c>
      <c r="P210" s="192"/>
      <c r="Q210" s="192"/>
      <c r="R210" s="193"/>
      <c r="S210" s="29" t="s">
        <v>51</v>
      </c>
    </row>
    <row r="211" spans="1:19" ht="150" customHeight="1" x14ac:dyDescent="0.25">
      <c r="A211" s="31">
        <v>198</v>
      </c>
      <c r="B211" s="25" t="s">
        <v>1394</v>
      </c>
      <c r="C211" s="194" t="s">
        <v>1395</v>
      </c>
      <c r="D211" s="195"/>
      <c r="E211" s="195"/>
      <c r="F211" s="196"/>
      <c r="G211" s="32" t="s">
        <v>1397</v>
      </c>
      <c r="H211" s="25" t="s">
        <v>1396</v>
      </c>
      <c r="I211" s="33">
        <v>1</v>
      </c>
      <c r="J211" s="33">
        <v>0</v>
      </c>
      <c r="K211" s="33">
        <v>0</v>
      </c>
      <c r="L211" s="33">
        <v>0</v>
      </c>
      <c r="M211" s="33">
        <v>0</v>
      </c>
      <c r="N211" s="33">
        <v>0</v>
      </c>
      <c r="O211" s="191" t="s">
        <v>57</v>
      </c>
      <c r="P211" s="192"/>
      <c r="Q211" s="192"/>
      <c r="R211" s="193"/>
      <c r="S211" s="29" t="s">
        <v>51</v>
      </c>
    </row>
    <row r="212" spans="1:19" ht="150" customHeight="1" x14ac:dyDescent="0.25">
      <c r="A212" s="22">
        <v>199</v>
      </c>
      <c r="B212" s="25" t="s">
        <v>1398</v>
      </c>
      <c r="C212" s="194" t="s">
        <v>1399</v>
      </c>
      <c r="D212" s="195"/>
      <c r="E212" s="195"/>
      <c r="F212" s="196"/>
      <c r="G212" s="32" t="s">
        <v>1401</v>
      </c>
      <c r="H212" s="25" t="s">
        <v>1400</v>
      </c>
      <c r="I212" s="33">
        <v>0</v>
      </c>
      <c r="J212" s="33">
        <v>1</v>
      </c>
      <c r="K212" s="33">
        <v>0</v>
      </c>
      <c r="L212" s="33">
        <v>0</v>
      </c>
      <c r="M212" s="33">
        <v>0</v>
      </c>
      <c r="N212" s="33">
        <v>0</v>
      </c>
      <c r="O212" s="191" t="s">
        <v>57</v>
      </c>
      <c r="P212" s="192"/>
      <c r="Q212" s="192"/>
      <c r="R212" s="193"/>
      <c r="S212" s="29" t="s">
        <v>70</v>
      </c>
    </row>
    <row r="213" spans="1:19" ht="150" customHeight="1" x14ac:dyDescent="0.25">
      <c r="A213" s="31">
        <v>200</v>
      </c>
      <c r="B213" s="25" t="s">
        <v>1402</v>
      </c>
      <c r="C213" s="194" t="s">
        <v>1403</v>
      </c>
      <c r="D213" s="195"/>
      <c r="E213" s="195"/>
      <c r="F213" s="196"/>
      <c r="G213" s="32" t="s">
        <v>1405</v>
      </c>
      <c r="H213" s="25" t="s">
        <v>1404</v>
      </c>
      <c r="I213" s="33">
        <v>1</v>
      </c>
      <c r="J213" s="33">
        <v>0</v>
      </c>
      <c r="K213" s="33">
        <v>0</v>
      </c>
      <c r="L213" s="33">
        <v>0</v>
      </c>
      <c r="M213" s="33">
        <v>0</v>
      </c>
      <c r="N213" s="33">
        <v>0</v>
      </c>
      <c r="O213" s="191" t="s">
        <v>50</v>
      </c>
      <c r="P213" s="192"/>
      <c r="Q213" s="192"/>
      <c r="R213" s="193"/>
      <c r="S213" s="29" t="s">
        <v>56</v>
      </c>
    </row>
    <row r="214" spans="1:19" ht="174.95" customHeight="1" x14ac:dyDescent="0.25">
      <c r="A214" s="22">
        <v>201</v>
      </c>
      <c r="B214" s="25" t="s">
        <v>1406</v>
      </c>
      <c r="C214" s="194" t="s">
        <v>1407</v>
      </c>
      <c r="D214" s="195"/>
      <c r="E214" s="195"/>
      <c r="F214" s="196"/>
      <c r="G214" s="32" t="s">
        <v>1409</v>
      </c>
      <c r="H214" s="25" t="s">
        <v>1408</v>
      </c>
      <c r="I214" s="33">
        <v>1</v>
      </c>
      <c r="J214" s="33">
        <v>0</v>
      </c>
      <c r="K214" s="33">
        <v>0</v>
      </c>
      <c r="L214" s="33">
        <v>0</v>
      </c>
      <c r="M214" s="33">
        <v>0</v>
      </c>
      <c r="N214" s="33">
        <v>0</v>
      </c>
      <c r="O214" s="191" t="s">
        <v>50</v>
      </c>
      <c r="P214" s="192"/>
      <c r="Q214" s="192"/>
      <c r="R214" s="193"/>
      <c r="S214" s="29" t="s">
        <v>51</v>
      </c>
    </row>
    <row r="215" spans="1:19" ht="150" customHeight="1" x14ac:dyDescent="0.25">
      <c r="A215" s="31">
        <v>202</v>
      </c>
      <c r="B215" s="25" t="s">
        <v>1406</v>
      </c>
      <c r="C215" s="194" t="s">
        <v>1410</v>
      </c>
      <c r="D215" s="195"/>
      <c r="E215" s="195"/>
      <c r="F215" s="196"/>
      <c r="G215" s="32" t="s">
        <v>1412</v>
      </c>
      <c r="H215" s="25" t="s">
        <v>1411</v>
      </c>
      <c r="I215" s="33">
        <v>1</v>
      </c>
      <c r="J215" s="33">
        <v>0</v>
      </c>
      <c r="K215" s="33">
        <v>0</v>
      </c>
      <c r="L215" s="33">
        <v>0</v>
      </c>
      <c r="M215" s="33">
        <v>0</v>
      </c>
      <c r="N215" s="33">
        <v>0</v>
      </c>
      <c r="O215" s="191" t="s">
        <v>57</v>
      </c>
      <c r="P215" s="192"/>
      <c r="Q215" s="192"/>
      <c r="R215" s="193"/>
      <c r="S215" s="29" t="s">
        <v>51</v>
      </c>
    </row>
    <row r="216" spans="1:19" ht="150" customHeight="1" x14ac:dyDescent="0.25">
      <c r="A216" s="22">
        <v>203</v>
      </c>
      <c r="B216" s="25" t="s">
        <v>1413</v>
      </c>
      <c r="C216" s="194" t="s">
        <v>1414</v>
      </c>
      <c r="D216" s="195"/>
      <c r="E216" s="195"/>
      <c r="F216" s="196"/>
      <c r="G216" s="32" t="s">
        <v>1416</v>
      </c>
      <c r="H216" s="25" t="s">
        <v>1415</v>
      </c>
      <c r="I216" s="33">
        <v>1</v>
      </c>
      <c r="J216" s="33">
        <v>0</v>
      </c>
      <c r="K216" s="33">
        <v>0</v>
      </c>
      <c r="L216" s="33">
        <v>0</v>
      </c>
      <c r="M216" s="33">
        <v>0</v>
      </c>
      <c r="N216" s="33">
        <v>0</v>
      </c>
      <c r="O216" s="191" t="s">
        <v>57</v>
      </c>
      <c r="P216" s="192"/>
      <c r="Q216" s="192"/>
      <c r="R216" s="193"/>
      <c r="S216" s="29" t="s">
        <v>51</v>
      </c>
    </row>
    <row r="217" spans="1:19" ht="150" customHeight="1" x14ac:dyDescent="0.25">
      <c r="A217" s="31">
        <v>204</v>
      </c>
      <c r="B217" s="25" t="s">
        <v>1417</v>
      </c>
      <c r="C217" s="194" t="s">
        <v>1418</v>
      </c>
      <c r="D217" s="195"/>
      <c r="E217" s="195"/>
      <c r="F217" s="196"/>
      <c r="G217" s="32" t="s">
        <v>1420</v>
      </c>
      <c r="H217" s="25" t="s">
        <v>1419</v>
      </c>
      <c r="I217" s="33">
        <v>1</v>
      </c>
      <c r="J217" s="33">
        <v>0</v>
      </c>
      <c r="K217" s="33">
        <v>0</v>
      </c>
      <c r="L217" s="33">
        <v>0</v>
      </c>
      <c r="M217" s="33">
        <v>0</v>
      </c>
      <c r="N217" s="33">
        <v>0</v>
      </c>
      <c r="O217" s="191" t="s">
        <v>50</v>
      </c>
      <c r="P217" s="192"/>
      <c r="Q217" s="192"/>
      <c r="R217" s="193"/>
      <c r="S217" s="29" t="s">
        <v>51</v>
      </c>
    </row>
    <row r="218" spans="1:19" ht="174.95" customHeight="1" x14ac:dyDescent="0.25">
      <c r="A218" s="22">
        <v>205</v>
      </c>
      <c r="B218" s="25" t="s">
        <v>1417</v>
      </c>
      <c r="C218" s="194" t="s">
        <v>1421</v>
      </c>
      <c r="D218" s="195"/>
      <c r="E218" s="195"/>
      <c r="F218" s="196"/>
      <c r="G218" s="32" t="s">
        <v>1423</v>
      </c>
      <c r="H218" s="25" t="s">
        <v>1422</v>
      </c>
      <c r="I218" s="33">
        <v>1</v>
      </c>
      <c r="J218" s="33">
        <v>0</v>
      </c>
      <c r="K218" s="33">
        <v>0</v>
      </c>
      <c r="L218" s="33">
        <v>0</v>
      </c>
      <c r="M218" s="33">
        <v>0</v>
      </c>
      <c r="N218" s="33">
        <v>0</v>
      </c>
      <c r="O218" s="191" t="s">
        <v>57</v>
      </c>
      <c r="P218" s="192"/>
      <c r="Q218" s="192"/>
      <c r="R218" s="193"/>
      <c r="S218" s="29" t="s">
        <v>51</v>
      </c>
    </row>
    <row r="219" spans="1:19" ht="150" customHeight="1" x14ac:dyDescent="0.25">
      <c r="A219" s="31">
        <v>206</v>
      </c>
      <c r="B219" s="25" t="s">
        <v>1424</v>
      </c>
      <c r="C219" s="194" t="s">
        <v>1425</v>
      </c>
      <c r="D219" s="195"/>
      <c r="E219" s="195"/>
      <c r="F219" s="196"/>
      <c r="G219" s="32" t="s">
        <v>1427</v>
      </c>
      <c r="H219" s="25" t="s">
        <v>1426</v>
      </c>
      <c r="I219" s="33">
        <v>1</v>
      </c>
      <c r="J219" s="33">
        <v>0</v>
      </c>
      <c r="K219" s="33">
        <v>0</v>
      </c>
      <c r="L219" s="33">
        <v>0</v>
      </c>
      <c r="M219" s="33">
        <v>0</v>
      </c>
      <c r="N219" s="33">
        <v>0</v>
      </c>
      <c r="O219" s="191" t="s">
        <v>50</v>
      </c>
      <c r="P219" s="192"/>
      <c r="Q219" s="192"/>
      <c r="R219" s="193"/>
      <c r="S219" s="29" t="s">
        <v>53</v>
      </c>
    </row>
    <row r="220" spans="1:19" ht="150" customHeight="1" x14ac:dyDescent="0.25">
      <c r="A220" s="22">
        <v>207</v>
      </c>
      <c r="B220" s="25" t="s">
        <v>1424</v>
      </c>
      <c r="C220" s="194" t="s">
        <v>1428</v>
      </c>
      <c r="D220" s="195"/>
      <c r="E220" s="195"/>
      <c r="F220" s="196"/>
      <c r="G220" s="32" t="s">
        <v>1430</v>
      </c>
      <c r="H220" s="25" t="s">
        <v>1429</v>
      </c>
      <c r="I220" s="33">
        <v>0</v>
      </c>
      <c r="J220" s="33">
        <v>1</v>
      </c>
      <c r="K220" s="33">
        <v>0</v>
      </c>
      <c r="L220" s="33">
        <v>0</v>
      </c>
      <c r="M220" s="33">
        <v>0</v>
      </c>
      <c r="N220" s="33">
        <v>0</v>
      </c>
      <c r="O220" s="191" t="s">
        <v>57</v>
      </c>
      <c r="P220" s="192"/>
      <c r="Q220" s="192"/>
      <c r="R220" s="193"/>
      <c r="S220" s="29" t="s">
        <v>2436</v>
      </c>
    </row>
    <row r="221" spans="1:19" ht="150" customHeight="1" x14ac:dyDescent="0.25">
      <c r="A221" s="31">
        <v>208</v>
      </c>
      <c r="B221" s="25" t="s">
        <v>1431</v>
      </c>
      <c r="C221" s="194" t="s">
        <v>1432</v>
      </c>
      <c r="D221" s="195"/>
      <c r="E221" s="195"/>
      <c r="F221" s="196"/>
      <c r="G221" s="32" t="s">
        <v>1434</v>
      </c>
      <c r="H221" s="25" t="s">
        <v>1433</v>
      </c>
      <c r="I221" s="33">
        <v>1</v>
      </c>
      <c r="J221" s="33">
        <v>0</v>
      </c>
      <c r="K221" s="33">
        <v>0</v>
      </c>
      <c r="L221" s="33">
        <v>0</v>
      </c>
      <c r="M221" s="33">
        <v>0</v>
      </c>
      <c r="N221" s="33">
        <v>0</v>
      </c>
      <c r="O221" s="191" t="s">
        <v>65</v>
      </c>
      <c r="P221" s="192"/>
      <c r="Q221" s="192"/>
      <c r="R221" s="193"/>
      <c r="S221" s="29" t="s">
        <v>51</v>
      </c>
    </row>
    <row r="222" spans="1:19" ht="200.25" customHeight="1" x14ac:dyDescent="0.25">
      <c r="A222" s="22">
        <v>209</v>
      </c>
      <c r="B222" s="25" t="s">
        <v>1431</v>
      </c>
      <c r="C222" s="194" t="s">
        <v>1435</v>
      </c>
      <c r="D222" s="195"/>
      <c r="E222" s="195"/>
      <c r="F222" s="196"/>
      <c r="G222" s="32" t="s">
        <v>905</v>
      </c>
      <c r="H222" s="25" t="s">
        <v>1436</v>
      </c>
      <c r="I222" s="33">
        <v>0</v>
      </c>
      <c r="J222" s="33">
        <v>1</v>
      </c>
      <c r="K222" s="33">
        <v>1</v>
      </c>
      <c r="L222" s="33">
        <v>0</v>
      </c>
      <c r="M222" s="33">
        <v>0</v>
      </c>
      <c r="N222" s="33">
        <v>0</v>
      </c>
      <c r="O222" s="191" t="s">
        <v>96</v>
      </c>
      <c r="P222" s="192"/>
      <c r="Q222" s="192"/>
      <c r="R222" s="193"/>
      <c r="S222" s="29" t="s">
        <v>1437</v>
      </c>
    </row>
    <row r="223" spans="1:19" ht="148.5" customHeight="1" x14ac:dyDescent="0.25">
      <c r="A223" s="31">
        <v>210</v>
      </c>
      <c r="B223" s="25" t="s">
        <v>1438</v>
      </c>
      <c r="C223" s="194" t="s">
        <v>1439</v>
      </c>
      <c r="D223" s="195"/>
      <c r="E223" s="195"/>
      <c r="F223" s="196"/>
      <c r="G223" s="32" t="s">
        <v>1441</v>
      </c>
      <c r="H223" s="25" t="s">
        <v>1440</v>
      </c>
      <c r="I223" s="33">
        <v>1</v>
      </c>
      <c r="J223" s="33">
        <v>0</v>
      </c>
      <c r="K223" s="33">
        <v>0</v>
      </c>
      <c r="L223" s="33">
        <v>0</v>
      </c>
      <c r="M223" s="33">
        <v>0</v>
      </c>
      <c r="N223" s="33">
        <v>0</v>
      </c>
      <c r="O223" s="191" t="s">
        <v>50</v>
      </c>
      <c r="P223" s="192"/>
      <c r="Q223" s="192"/>
      <c r="R223" s="193"/>
      <c r="S223" s="29" t="s">
        <v>53</v>
      </c>
    </row>
    <row r="224" spans="1:19" ht="174.95" customHeight="1" x14ac:dyDescent="0.25">
      <c r="A224" s="22">
        <v>211</v>
      </c>
      <c r="B224" s="25" t="s">
        <v>1438</v>
      </c>
      <c r="C224" s="194" t="s">
        <v>1442</v>
      </c>
      <c r="D224" s="195"/>
      <c r="E224" s="195"/>
      <c r="F224" s="196"/>
      <c r="G224" s="32" t="s">
        <v>1444</v>
      </c>
      <c r="H224" s="25" t="s">
        <v>1443</v>
      </c>
      <c r="I224" s="33">
        <v>1</v>
      </c>
      <c r="J224" s="33">
        <v>0</v>
      </c>
      <c r="K224" s="33">
        <v>0</v>
      </c>
      <c r="L224" s="33">
        <v>0</v>
      </c>
      <c r="M224" s="33">
        <v>0</v>
      </c>
      <c r="N224" s="33">
        <v>0</v>
      </c>
      <c r="O224" s="191" t="s">
        <v>57</v>
      </c>
      <c r="P224" s="192"/>
      <c r="Q224" s="192"/>
      <c r="R224" s="193"/>
      <c r="S224" s="29" t="s">
        <v>51</v>
      </c>
    </row>
    <row r="225" spans="1:19" ht="144" customHeight="1" x14ac:dyDescent="0.25">
      <c r="A225" s="31">
        <v>212</v>
      </c>
      <c r="B225" s="25" t="s">
        <v>1445</v>
      </c>
      <c r="C225" s="194" t="s">
        <v>1446</v>
      </c>
      <c r="D225" s="195"/>
      <c r="E225" s="195"/>
      <c r="F225" s="196"/>
      <c r="G225" s="32" t="s">
        <v>1448</v>
      </c>
      <c r="H225" s="25" t="s">
        <v>1447</v>
      </c>
      <c r="I225" s="33">
        <v>1</v>
      </c>
      <c r="J225" s="33">
        <v>0</v>
      </c>
      <c r="K225" s="33">
        <v>0</v>
      </c>
      <c r="L225" s="33">
        <v>0</v>
      </c>
      <c r="M225" s="33">
        <v>0</v>
      </c>
      <c r="N225" s="33">
        <v>0</v>
      </c>
      <c r="O225" s="191" t="s">
        <v>57</v>
      </c>
      <c r="P225" s="192"/>
      <c r="Q225" s="192"/>
      <c r="R225" s="193"/>
      <c r="S225" s="29" t="s">
        <v>51</v>
      </c>
    </row>
    <row r="226" spans="1:19" ht="174.95" customHeight="1" x14ac:dyDescent="0.25">
      <c r="A226" s="22">
        <v>213</v>
      </c>
      <c r="B226" s="25" t="s">
        <v>1449</v>
      </c>
      <c r="C226" s="194" t="s">
        <v>1450</v>
      </c>
      <c r="D226" s="195"/>
      <c r="E226" s="195"/>
      <c r="F226" s="196"/>
      <c r="G226" s="32" t="s">
        <v>1452</v>
      </c>
      <c r="H226" s="25" t="s">
        <v>1451</v>
      </c>
      <c r="I226" s="33">
        <v>0</v>
      </c>
      <c r="J226" s="33">
        <v>1</v>
      </c>
      <c r="K226" s="33">
        <v>0</v>
      </c>
      <c r="L226" s="33">
        <v>0</v>
      </c>
      <c r="M226" s="33">
        <v>0</v>
      </c>
      <c r="N226" s="33">
        <v>0</v>
      </c>
      <c r="O226" s="191" t="s">
        <v>65</v>
      </c>
      <c r="P226" s="192"/>
      <c r="Q226" s="192"/>
      <c r="R226" s="193"/>
      <c r="S226" s="29" t="s">
        <v>58</v>
      </c>
    </row>
    <row r="227" spans="1:19" ht="186.75" customHeight="1" x14ac:dyDescent="0.25">
      <c r="A227" s="31">
        <v>214</v>
      </c>
      <c r="B227" s="25" t="s">
        <v>1449</v>
      </c>
      <c r="C227" s="194" t="s">
        <v>1453</v>
      </c>
      <c r="D227" s="195"/>
      <c r="E227" s="195"/>
      <c r="F227" s="196"/>
      <c r="G227" s="32" t="s">
        <v>1455</v>
      </c>
      <c r="H227" s="25" t="s">
        <v>1454</v>
      </c>
      <c r="I227" s="33">
        <v>1</v>
      </c>
      <c r="J227" s="33">
        <v>0</v>
      </c>
      <c r="K227" s="33">
        <v>0</v>
      </c>
      <c r="L227" s="33">
        <v>0</v>
      </c>
      <c r="M227" s="33">
        <v>0</v>
      </c>
      <c r="N227" s="33">
        <v>0</v>
      </c>
      <c r="O227" s="191" t="s">
        <v>57</v>
      </c>
      <c r="P227" s="192"/>
      <c r="Q227" s="192"/>
      <c r="R227" s="193"/>
      <c r="S227" s="29" t="s">
        <v>56</v>
      </c>
    </row>
    <row r="228" spans="1:19" ht="174.95" customHeight="1" x14ac:dyDescent="0.25">
      <c r="A228" s="22">
        <v>215</v>
      </c>
      <c r="B228" s="25" t="s">
        <v>1456</v>
      </c>
      <c r="C228" s="194" t="s">
        <v>1457</v>
      </c>
      <c r="D228" s="195"/>
      <c r="E228" s="195"/>
      <c r="F228" s="196"/>
      <c r="G228" s="32" t="s">
        <v>1459</v>
      </c>
      <c r="H228" s="25" t="s">
        <v>1458</v>
      </c>
      <c r="I228" s="33">
        <v>1</v>
      </c>
      <c r="J228" s="33">
        <v>0</v>
      </c>
      <c r="K228" s="33">
        <v>0</v>
      </c>
      <c r="L228" s="33">
        <v>0</v>
      </c>
      <c r="M228" s="33">
        <v>0</v>
      </c>
      <c r="N228" s="33">
        <v>0</v>
      </c>
      <c r="O228" s="191" t="s">
        <v>50</v>
      </c>
      <c r="P228" s="192"/>
      <c r="Q228" s="192"/>
      <c r="R228" s="193"/>
      <c r="S228" s="29" t="s">
        <v>51</v>
      </c>
    </row>
    <row r="229" spans="1:19" ht="174.95" customHeight="1" x14ac:dyDescent="0.25">
      <c r="A229" s="31">
        <v>216</v>
      </c>
      <c r="B229" s="25" t="s">
        <v>1456</v>
      </c>
      <c r="C229" s="194" t="s">
        <v>1460</v>
      </c>
      <c r="D229" s="195"/>
      <c r="E229" s="195"/>
      <c r="F229" s="196"/>
      <c r="G229" s="32" t="s">
        <v>1462</v>
      </c>
      <c r="H229" s="25" t="s">
        <v>1461</v>
      </c>
      <c r="I229" s="33">
        <v>1</v>
      </c>
      <c r="J229" s="33">
        <v>0</v>
      </c>
      <c r="K229" s="33">
        <v>0</v>
      </c>
      <c r="L229" s="33">
        <v>0</v>
      </c>
      <c r="M229" s="33">
        <v>0</v>
      </c>
      <c r="N229" s="33">
        <v>0</v>
      </c>
      <c r="O229" s="191" t="s">
        <v>57</v>
      </c>
      <c r="P229" s="192"/>
      <c r="Q229" s="192"/>
      <c r="R229" s="193"/>
      <c r="S229" s="29" t="s">
        <v>61</v>
      </c>
    </row>
    <row r="230" spans="1:19" ht="174.95" customHeight="1" x14ac:dyDescent="0.25">
      <c r="A230" s="22">
        <v>217</v>
      </c>
      <c r="B230" s="25" t="s">
        <v>1463</v>
      </c>
      <c r="C230" s="194" t="s">
        <v>1464</v>
      </c>
      <c r="D230" s="195"/>
      <c r="E230" s="195"/>
      <c r="F230" s="196"/>
      <c r="G230" s="32" t="s">
        <v>1466</v>
      </c>
      <c r="H230" s="25" t="s">
        <v>1465</v>
      </c>
      <c r="I230" s="33">
        <v>1</v>
      </c>
      <c r="J230" s="33">
        <v>0</v>
      </c>
      <c r="K230" s="33">
        <v>0</v>
      </c>
      <c r="L230" s="33">
        <v>0</v>
      </c>
      <c r="M230" s="33">
        <v>0</v>
      </c>
      <c r="N230" s="33">
        <v>0</v>
      </c>
      <c r="O230" s="191" t="s">
        <v>57</v>
      </c>
      <c r="P230" s="192"/>
      <c r="Q230" s="192"/>
      <c r="R230" s="193"/>
      <c r="S230" s="29" t="s">
        <v>51</v>
      </c>
    </row>
    <row r="231" spans="1:19" ht="174.95" customHeight="1" x14ac:dyDescent="0.25">
      <c r="A231" s="31">
        <v>218</v>
      </c>
      <c r="B231" s="25" t="s">
        <v>1467</v>
      </c>
      <c r="C231" s="194" t="s">
        <v>1468</v>
      </c>
      <c r="D231" s="195"/>
      <c r="E231" s="195"/>
      <c r="F231" s="196"/>
      <c r="G231" s="32" t="s">
        <v>1470</v>
      </c>
      <c r="H231" s="25" t="s">
        <v>1469</v>
      </c>
      <c r="I231" s="33">
        <v>0</v>
      </c>
      <c r="J231" s="33">
        <v>1</v>
      </c>
      <c r="K231" s="33">
        <v>0</v>
      </c>
      <c r="L231" s="33">
        <v>0</v>
      </c>
      <c r="M231" s="33">
        <v>0</v>
      </c>
      <c r="N231" s="33">
        <v>0</v>
      </c>
      <c r="O231" s="191" t="s">
        <v>57</v>
      </c>
      <c r="P231" s="192"/>
      <c r="Q231" s="192"/>
      <c r="R231" s="193"/>
      <c r="S231" s="29" t="s">
        <v>58</v>
      </c>
    </row>
    <row r="232" spans="1:19" ht="150" customHeight="1" x14ac:dyDescent="0.25">
      <c r="A232" s="22">
        <v>219</v>
      </c>
      <c r="B232" s="25" t="s">
        <v>1471</v>
      </c>
      <c r="C232" s="194" t="s">
        <v>1472</v>
      </c>
      <c r="D232" s="195"/>
      <c r="E232" s="195"/>
      <c r="F232" s="196"/>
      <c r="G232" s="32" t="s">
        <v>1474</v>
      </c>
      <c r="H232" s="25" t="s">
        <v>1473</v>
      </c>
      <c r="I232" s="33">
        <v>1</v>
      </c>
      <c r="J232" s="33">
        <v>0</v>
      </c>
      <c r="K232" s="33">
        <v>0</v>
      </c>
      <c r="L232" s="33">
        <v>0</v>
      </c>
      <c r="M232" s="33">
        <v>0</v>
      </c>
      <c r="N232" s="33">
        <v>0</v>
      </c>
      <c r="O232" s="191" t="s">
        <v>54</v>
      </c>
      <c r="P232" s="192"/>
      <c r="Q232" s="192"/>
      <c r="R232" s="193"/>
      <c r="S232" s="29" t="s">
        <v>51</v>
      </c>
    </row>
    <row r="233" spans="1:19" ht="150" customHeight="1" x14ac:dyDescent="0.25">
      <c r="A233" s="31">
        <v>220</v>
      </c>
      <c r="B233" s="25" t="s">
        <v>1475</v>
      </c>
      <c r="C233" s="194" t="s">
        <v>1476</v>
      </c>
      <c r="D233" s="195"/>
      <c r="E233" s="195"/>
      <c r="F233" s="196"/>
      <c r="G233" s="32" t="s">
        <v>1478</v>
      </c>
      <c r="H233" s="25" t="s">
        <v>1477</v>
      </c>
      <c r="I233" s="33">
        <v>1</v>
      </c>
      <c r="J233" s="33">
        <v>0</v>
      </c>
      <c r="K233" s="33">
        <v>0</v>
      </c>
      <c r="L233" s="33">
        <v>0</v>
      </c>
      <c r="M233" s="33">
        <v>0</v>
      </c>
      <c r="N233" s="33">
        <v>0</v>
      </c>
      <c r="O233" s="191" t="s">
        <v>57</v>
      </c>
      <c r="P233" s="192"/>
      <c r="Q233" s="192"/>
      <c r="R233" s="193"/>
      <c r="S233" s="29" t="s">
        <v>51</v>
      </c>
    </row>
    <row r="234" spans="1:19" ht="150" customHeight="1" x14ac:dyDescent="0.25">
      <c r="A234" s="22">
        <v>221</v>
      </c>
      <c r="B234" s="25" t="s">
        <v>1479</v>
      </c>
      <c r="C234" s="194" t="s">
        <v>1480</v>
      </c>
      <c r="D234" s="195"/>
      <c r="E234" s="195"/>
      <c r="F234" s="196"/>
      <c r="G234" s="32" t="s">
        <v>1482</v>
      </c>
      <c r="H234" s="25" t="s">
        <v>1481</v>
      </c>
      <c r="I234" s="33">
        <v>1</v>
      </c>
      <c r="J234" s="33">
        <v>0</v>
      </c>
      <c r="K234" s="33">
        <v>0</v>
      </c>
      <c r="L234" s="33">
        <v>0</v>
      </c>
      <c r="M234" s="33">
        <v>0</v>
      </c>
      <c r="N234" s="33">
        <v>0</v>
      </c>
      <c r="O234" s="191" t="s">
        <v>57</v>
      </c>
      <c r="P234" s="192"/>
      <c r="Q234" s="192"/>
      <c r="R234" s="193"/>
      <c r="S234" s="29" t="s">
        <v>56</v>
      </c>
    </row>
    <row r="235" spans="1:19" ht="150" customHeight="1" x14ac:dyDescent="0.25">
      <c r="A235" s="31">
        <v>222</v>
      </c>
      <c r="B235" s="25" t="s">
        <v>1483</v>
      </c>
      <c r="C235" s="194" t="s">
        <v>1484</v>
      </c>
      <c r="D235" s="195"/>
      <c r="E235" s="195"/>
      <c r="F235" s="196"/>
      <c r="G235" s="32" t="s">
        <v>1486</v>
      </c>
      <c r="H235" s="25" t="s">
        <v>1485</v>
      </c>
      <c r="I235" s="33">
        <v>1</v>
      </c>
      <c r="J235" s="33">
        <v>0</v>
      </c>
      <c r="K235" s="33">
        <v>0</v>
      </c>
      <c r="L235" s="33">
        <v>0</v>
      </c>
      <c r="M235" s="33">
        <v>0</v>
      </c>
      <c r="N235" s="33">
        <v>0</v>
      </c>
      <c r="O235" s="191" t="s">
        <v>50</v>
      </c>
      <c r="P235" s="192"/>
      <c r="Q235" s="192"/>
      <c r="R235" s="193"/>
      <c r="S235" s="29" t="s">
        <v>51</v>
      </c>
    </row>
    <row r="236" spans="1:19" ht="150" customHeight="1" x14ac:dyDescent="0.25">
      <c r="A236" s="22">
        <v>223</v>
      </c>
      <c r="B236" s="25" t="s">
        <v>1483</v>
      </c>
      <c r="C236" s="194" t="s">
        <v>1487</v>
      </c>
      <c r="D236" s="195"/>
      <c r="E236" s="195"/>
      <c r="F236" s="196"/>
      <c r="G236" s="32" t="s">
        <v>1489</v>
      </c>
      <c r="H236" s="25" t="s">
        <v>1488</v>
      </c>
      <c r="I236" s="33">
        <v>1</v>
      </c>
      <c r="J236" s="33">
        <v>0</v>
      </c>
      <c r="K236" s="33">
        <v>0</v>
      </c>
      <c r="L236" s="33">
        <v>0</v>
      </c>
      <c r="M236" s="33">
        <v>0</v>
      </c>
      <c r="N236" s="33">
        <v>0</v>
      </c>
      <c r="O236" s="191" t="s">
        <v>57</v>
      </c>
      <c r="P236" s="192"/>
      <c r="Q236" s="192"/>
      <c r="R236" s="193"/>
      <c r="S236" s="29" t="s">
        <v>53</v>
      </c>
    </row>
    <row r="237" spans="1:19" ht="150" customHeight="1" x14ac:dyDescent="0.25">
      <c r="A237" s="31">
        <v>224</v>
      </c>
      <c r="B237" s="25" t="s">
        <v>1491</v>
      </c>
      <c r="C237" s="194" t="s">
        <v>1492</v>
      </c>
      <c r="D237" s="195"/>
      <c r="E237" s="195"/>
      <c r="F237" s="196"/>
      <c r="G237" s="32" t="s">
        <v>1494</v>
      </c>
      <c r="H237" s="25" t="s">
        <v>1493</v>
      </c>
      <c r="I237" s="33">
        <v>1</v>
      </c>
      <c r="J237" s="33">
        <v>0</v>
      </c>
      <c r="K237" s="33">
        <v>0</v>
      </c>
      <c r="L237" s="33">
        <v>0</v>
      </c>
      <c r="M237" s="33">
        <v>0</v>
      </c>
      <c r="N237" s="33">
        <v>0</v>
      </c>
      <c r="O237" s="191" t="s">
        <v>57</v>
      </c>
      <c r="P237" s="192"/>
      <c r="Q237" s="192"/>
      <c r="R237" s="193"/>
      <c r="S237" s="29" t="s">
        <v>62</v>
      </c>
    </row>
    <row r="238" spans="1:19" ht="150" customHeight="1" x14ac:dyDescent="0.25">
      <c r="A238" s="22">
        <v>225</v>
      </c>
      <c r="B238" s="25" t="s">
        <v>1495</v>
      </c>
      <c r="C238" s="194" t="s">
        <v>1496</v>
      </c>
      <c r="D238" s="195"/>
      <c r="E238" s="195"/>
      <c r="F238" s="196"/>
      <c r="G238" s="32" t="s">
        <v>1498</v>
      </c>
      <c r="H238" s="25" t="s">
        <v>1497</v>
      </c>
      <c r="I238" s="33">
        <v>1</v>
      </c>
      <c r="J238" s="33">
        <v>0</v>
      </c>
      <c r="K238" s="33">
        <v>0</v>
      </c>
      <c r="L238" s="33">
        <v>0</v>
      </c>
      <c r="M238" s="33">
        <v>0</v>
      </c>
      <c r="N238" s="33">
        <v>0</v>
      </c>
      <c r="O238" s="191" t="s">
        <v>89</v>
      </c>
      <c r="P238" s="192"/>
      <c r="Q238" s="192"/>
      <c r="R238" s="193"/>
      <c r="S238" s="29" t="s">
        <v>53</v>
      </c>
    </row>
    <row r="239" spans="1:19" ht="150" customHeight="1" x14ac:dyDescent="0.25">
      <c r="A239" s="31">
        <v>226</v>
      </c>
      <c r="B239" s="25" t="s">
        <v>1499</v>
      </c>
      <c r="C239" s="194" t="s">
        <v>1500</v>
      </c>
      <c r="D239" s="195"/>
      <c r="E239" s="195"/>
      <c r="F239" s="196"/>
      <c r="G239" s="32" t="s">
        <v>1502</v>
      </c>
      <c r="H239" s="25" t="s">
        <v>1501</v>
      </c>
      <c r="I239" s="33">
        <v>1</v>
      </c>
      <c r="J239" s="33">
        <v>0</v>
      </c>
      <c r="K239" s="33">
        <v>0</v>
      </c>
      <c r="L239" s="33">
        <v>0</v>
      </c>
      <c r="M239" s="33">
        <v>0</v>
      </c>
      <c r="N239" s="33">
        <v>0</v>
      </c>
      <c r="O239" s="191" t="s">
        <v>48</v>
      </c>
      <c r="P239" s="192"/>
      <c r="Q239" s="192"/>
      <c r="R239" s="193"/>
      <c r="S239" s="29" t="s">
        <v>51</v>
      </c>
    </row>
    <row r="240" spans="1:19" ht="150" customHeight="1" x14ac:dyDescent="0.25">
      <c r="A240" s="22">
        <v>227</v>
      </c>
      <c r="B240" s="25" t="s">
        <v>1499</v>
      </c>
      <c r="C240" s="194" t="s">
        <v>1503</v>
      </c>
      <c r="D240" s="195"/>
      <c r="E240" s="195"/>
      <c r="F240" s="196"/>
      <c r="G240" s="32" t="s">
        <v>1505</v>
      </c>
      <c r="H240" s="25" t="s">
        <v>1504</v>
      </c>
      <c r="I240" s="33">
        <v>1</v>
      </c>
      <c r="J240" s="33">
        <v>0</v>
      </c>
      <c r="K240" s="33">
        <v>0</v>
      </c>
      <c r="L240" s="33">
        <v>0</v>
      </c>
      <c r="M240" s="33">
        <v>0</v>
      </c>
      <c r="N240" s="33">
        <v>0</v>
      </c>
      <c r="O240" s="191" t="s">
        <v>57</v>
      </c>
      <c r="P240" s="192"/>
      <c r="Q240" s="192"/>
      <c r="R240" s="193"/>
      <c r="S240" s="29" t="s">
        <v>51</v>
      </c>
    </row>
    <row r="241" spans="1:19" ht="150" customHeight="1" x14ac:dyDescent="0.25">
      <c r="A241" s="31">
        <v>228</v>
      </c>
      <c r="B241" s="25" t="s">
        <v>1506</v>
      </c>
      <c r="C241" s="194" t="s">
        <v>1507</v>
      </c>
      <c r="D241" s="195"/>
      <c r="E241" s="195"/>
      <c r="F241" s="196"/>
      <c r="G241" s="32" t="s">
        <v>1509</v>
      </c>
      <c r="H241" s="25" t="s">
        <v>1508</v>
      </c>
      <c r="I241" s="33">
        <v>1</v>
      </c>
      <c r="J241" s="33">
        <v>0</v>
      </c>
      <c r="K241" s="33">
        <v>0</v>
      </c>
      <c r="L241" s="33">
        <v>0</v>
      </c>
      <c r="M241" s="33">
        <v>0</v>
      </c>
      <c r="N241" s="33">
        <v>0</v>
      </c>
      <c r="O241" s="191" t="s">
        <v>57</v>
      </c>
      <c r="P241" s="192"/>
      <c r="Q241" s="192"/>
      <c r="R241" s="193"/>
      <c r="S241" s="29" t="s">
        <v>51</v>
      </c>
    </row>
    <row r="242" spans="1:19" ht="174.95" customHeight="1" x14ac:dyDescent="0.25">
      <c r="A242" s="22">
        <v>229</v>
      </c>
      <c r="B242" s="25" t="s">
        <v>1510</v>
      </c>
      <c r="C242" s="194" t="s">
        <v>1511</v>
      </c>
      <c r="D242" s="195"/>
      <c r="E242" s="195"/>
      <c r="F242" s="196"/>
      <c r="G242" s="32" t="s">
        <v>1513</v>
      </c>
      <c r="H242" s="25" t="s">
        <v>1512</v>
      </c>
      <c r="I242" s="33">
        <v>1</v>
      </c>
      <c r="J242" s="33">
        <v>0</v>
      </c>
      <c r="K242" s="33">
        <v>0</v>
      </c>
      <c r="L242" s="33">
        <v>0</v>
      </c>
      <c r="M242" s="33">
        <v>0</v>
      </c>
      <c r="N242" s="33">
        <v>0</v>
      </c>
      <c r="O242" s="191" t="s">
        <v>57</v>
      </c>
      <c r="P242" s="192"/>
      <c r="Q242" s="192"/>
      <c r="R242" s="193"/>
      <c r="S242" s="29" t="s">
        <v>51</v>
      </c>
    </row>
    <row r="243" spans="1:19" ht="174.95" customHeight="1" x14ac:dyDescent="0.25">
      <c r="A243" s="31">
        <v>230</v>
      </c>
      <c r="B243" s="25" t="s">
        <v>1514</v>
      </c>
      <c r="C243" s="194" t="s">
        <v>1515</v>
      </c>
      <c r="D243" s="195"/>
      <c r="E243" s="195"/>
      <c r="F243" s="196"/>
      <c r="G243" s="32" t="s">
        <v>1517</v>
      </c>
      <c r="H243" s="25" t="s">
        <v>1516</v>
      </c>
      <c r="I243" s="33">
        <v>1</v>
      </c>
      <c r="J243" s="33">
        <v>0</v>
      </c>
      <c r="K243" s="33">
        <v>0</v>
      </c>
      <c r="L243" s="33">
        <v>0</v>
      </c>
      <c r="M243" s="33">
        <v>0</v>
      </c>
      <c r="N243" s="33">
        <v>0</v>
      </c>
      <c r="O243" s="191" t="s">
        <v>1490</v>
      </c>
      <c r="P243" s="192"/>
      <c r="Q243" s="192"/>
      <c r="R243" s="193"/>
      <c r="S243" s="29" t="s">
        <v>53</v>
      </c>
    </row>
    <row r="244" spans="1:19" ht="174.95" customHeight="1" x14ac:dyDescent="0.25">
      <c r="A244" s="22">
        <v>231</v>
      </c>
      <c r="B244" s="25" t="s">
        <v>1518</v>
      </c>
      <c r="C244" s="194" t="s">
        <v>1519</v>
      </c>
      <c r="D244" s="195"/>
      <c r="E244" s="195"/>
      <c r="F244" s="196"/>
      <c r="G244" s="32" t="s">
        <v>1521</v>
      </c>
      <c r="H244" s="25" t="s">
        <v>1520</v>
      </c>
      <c r="I244" s="33">
        <v>1</v>
      </c>
      <c r="J244" s="33">
        <v>0</v>
      </c>
      <c r="K244" s="33">
        <v>0</v>
      </c>
      <c r="L244" s="33">
        <v>0</v>
      </c>
      <c r="M244" s="33">
        <v>0</v>
      </c>
      <c r="N244" s="33">
        <v>0</v>
      </c>
      <c r="O244" s="191" t="s">
        <v>57</v>
      </c>
      <c r="P244" s="192"/>
      <c r="Q244" s="192"/>
      <c r="R244" s="193"/>
      <c r="S244" s="29" t="s">
        <v>51</v>
      </c>
    </row>
    <row r="245" spans="1:19" ht="174.95" customHeight="1" x14ac:dyDescent="0.25">
      <c r="A245" s="31">
        <v>232</v>
      </c>
      <c r="B245" s="25" t="s">
        <v>1522</v>
      </c>
      <c r="C245" s="194" t="s">
        <v>1523</v>
      </c>
      <c r="D245" s="195"/>
      <c r="E245" s="195"/>
      <c r="F245" s="196"/>
      <c r="G245" s="32" t="s">
        <v>1525</v>
      </c>
      <c r="H245" s="25" t="s">
        <v>1524</v>
      </c>
      <c r="I245" s="33">
        <v>1</v>
      </c>
      <c r="J245" s="33">
        <v>0</v>
      </c>
      <c r="K245" s="33">
        <v>0</v>
      </c>
      <c r="L245" s="33">
        <v>0</v>
      </c>
      <c r="M245" s="33">
        <v>0</v>
      </c>
      <c r="N245" s="33">
        <v>0</v>
      </c>
      <c r="O245" s="191" t="s">
        <v>57</v>
      </c>
      <c r="P245" s="192"/>
      <c r="Q245" s="192"/>
      <c r="R245" s="193"/>
      <c r="S245" s="29" t="s">
        <v>62</v>
      </c>
    </row>
    <row r="246" spans="1:19" ht="174.95" customHeight="1" x14ac:dyDescent="0.25">
      <c r="A246" s="22">
        <v>233</v>
      </c>
      <c r="B246" s="25" t="s">
        <v>1526</v>
      </c>
      <c r="C246" s="194" t="s">
        <v>1527</v>
      </c>
      <c r="D246" s="195"/>
      <c r="E246" s="195"/>
      <c r="F246" s="196"/>
      <c r="G246" s="32" t="s">
        <v>1529</v>
      </c>
      <c r="H246" s="25" t="s">
        <v>1528</v>
      </c>
      <c r="I246" s="33">
        <v>1</v>
      </c>
      <c r="J246" s="33">
        <v>0</v>
      </c>
      <c r="K246" s="33">
        <v>0</v>
      </c>
      <c r="L246" s="33">
        <v>0</v>
      </c>
      <c r="M246" s="33">
        <v>0</v>
      </c>
      <c r="N246" s="33">
        <v>0</v>
      </c>
      <c r="O246" s="191" t="s">
        <v>57</v>
      </c>
      <c r="P246" s="192"/>
      <c r="Q246" s="192"/>
      <c r="R246" s="193"/>
      <c r="S246" s="29" t="s">
        <v>51</v>
      </c>
    </row>
    <row r="247" spans="1:19" ht="150" customHeight="1" x14ac:dyDescent="0.25">
      <c r="A247" s="31">
        <v>234</v>
      </c>
      <c r="B247" s="25" t="s">
        <v>1530</v>
      </c>
      <c r="C247" s="194" t="s">
        <v>1531</v>
      </c>
      <c r="D247" s="195"/>
      <c r="E247" s="195"/>
      <c r="F247" s="196"/>
      <c r="G247" s="32" t="s">
        <v>1533</v>
      </c>
      <c r="H247" s="25" t="s">
        <v>1532</v>
      </c>
      <c r="I247" s="33">
        <v>1</v>
      </c>
      <c r="J247" s="33">
        <v>0</v>
      </c>
      <c r="K247" s="33">
        <v>0</v>
      </c>
      <c r="L247" s="33">
        <v>0</v>
      </c>
      <c r="M247" s="33">
        <v>0</v>
      </c>
      <c r="N247" s="33">
        <v>0</v>
      </c>
      <c r="O247" s="191" t="s">
        <v>57</v>
      </c>
      <c r="P247" s="192"/>
      <c r="Q247" s="192"/>
      <c r="R247" s="193"/>
      <c r="S247" s="29" t="s">
        <v>51</v>
      </c>
    </row>
    <row r="248" spans="1:19" ht="150" customHeight="1" x14ac:dyDescent="0.25">
      <c r="A248" s="22">
        <v>235</v>
      </c>
      <c r="B248" s="25" t="s">
        <v>1534</v>
      </c>
      <c r="C248" s="194" t="s">
        <v>1535</v>
      </c>
      <c r="D248" s="195"/>
      <c r="E248" s="195"/>
      <c r="F248" s="196"/>
      <c r="G248" s="32" t="s">
        <v>1537</v>
      </c>
      <c r="H248" s="25" t="s">
        <v>1536</v>
      </c>
      <c r="I248" s="33">
        <v>1</v>
      </c>
      <c r="J248" s="33">
        <v>0</v>
      </c>
      <c r="K248" s="33">
        <v>0</v>
      </c>
      <c r="L248" s="33">
        <v>0</v>
      </c>
      <c r="M248" s="33">
        <v>0</v>
      </c>
      <c r="N248" s="33">
        <v>0</v>
      </c>
      <c r="O248" s="191" t="s">
        <v>57</v>
      </c>
      <c r="P248" s="192"/>
      <c r="Q248" s="192"/>
      <c r="R248" s="193"/>
      <c r="S248" s="29" t="s">
        <v>62</v>
      </c>
    </row>
    <row r="249" spans="1:19" ht="153.75" customHeight="1" x14ac:dyDescent="0.25">
      <c r="A249" s="31">
        <v>236</v>
      </c>
      <c r="B249" s="25" t="s">
        <v>1538</v>
      </c>
      <c r="C249" s="194" t="s">
        <v>1539</v>
      </c>
      <c r="D249" s="195"/>
      <c r="E249" s="195"/>
      <c r="F249" s="196"/>
      <c r="G249" s="32" t="s">
        <v>1541</v>
      </c>
      <c r="H249" s="25" t="s">
        <v>1540</v>
      </c>
      <c r="I249" s="33">
        <v>1</v>
      </c>
      <c r="J249" s="33">
        <v>0</v>
      </c>
      <c r="K249" s="33">
        <v>0</v>
      </c>
      <c r="L249" s="33">
        <v>0</v>
      </c>
      <c r="M249" s="33">
        <v>0</v>
      </c>
      <c r="N249" s="33">
        <v>0</v>
      </c>
      <c r="O249" s="191" t="s">
        <v>54</v>
      </c>
      <c r="P249" s="192"/>
      <c r="Q249" s="192"/>
      <c r="R249" s="193"/>
      <c r="S249" s="29" t="s">
        <v>53</v>
      </c>
    </row>
    <row r="250" spans="1:19" ht="150" customHeight="1" x14ac:dyDescent="0.25">
      <c r="A250" s="22">
        <v>237</v>
      </c>
      <c r="B250" s="25" t="s">
        <v>1538</v>
      </c>
      <c r="C250" s="194" t="s">
        <v>1542</v>
      </c>
      <c r="D250" s="195"/>
      <c r="E250" s="195"/>
      <c r="F250" s="196"/>
      <c r="G250" s="32" t="s">
        <v>1544</v>
      </c>
      <c r="H250" s="25" t="s">
        <v>1543</v>
      </c>
      <c r="I250" s="33">
        <v>1</v>
      </c>
      <c r="J250" s="33">
        <v>0</v>
      </c>
      <c r="K250" s="33">
        <v>0</v>
      </c>
      <c r="L250" s="33">
        <v>0</v>
      </c>
      <c r="M250" s="33">
        <v>0</v>
      </c>
      <c r="N250" s="33">
        <v>0</v>
      </c>
      <c r="O250" s="191" t="s">
        <v>57</v>
      </c>
      <c r="P250" s="192"/>
      <c r="Q250" s="192"/>
      <c r="R250" s="193"/>
      <c r="S250" s="29" t="s">
        <v>51</v>
      </c>
    </row>
    <row r="251" spans="1:19" ht="150" customHeight="1" x14ac:dyDescent="0.25">
      <c r="A251" s="31">
        <v>238</v>
      </c>
      <c r="B251" s="25" t="s">
        <v>1545</v>
      </c>
      <c r="C251" s="194" t="s">
        <v>1546</v>
      </c>
      <c r="D251" s="195"/>
      <c r="E251" s="195"/>
      <c r="F251" s="196"/>
      <c r="G251" s="32" t="s">
        <v>1548</v>
      </c>
      <c r="H251" s="25" t="s">
        <v>1547</v>
      </c>
      <c r="I251" s="33">
        <v>1</v>
      </c>
      <c r="J251" s="33">
        <v>0</v>
      </c>
      <c r="K251" s="33">
        <v>0</v>
      </c>
      <c r="L251" s="33">
        <v>0</v>
      </c>
      <c r="M251" s="33">
        <v>0</v>
      </c>
      <c r="N251" s="33">
        <v>0</v>
      </c>
      <c r="O251" s="191" t="s">
        <v>55</v>
      </c>
      <c r="P251" s="192"/>
      <c r="Q251" s="192"/>
      <c r="R251" s="193"/>
      <c r="S251" s="29" t="s">
        <v>51</v>
      </c>
    </row>
    <row r="252" spans="1:19" ht="150" customHeight="1" x14ac:dyDescent="0.25">
      <c r="A252" s="22">
        <v>239</v>
      </c>
      <c r="B252" s="25" t="s">
        <v>1545</v>
      </c>
      <c r="C252" s="194" t="s">
        <v>1549</v>
      </c>
      <c r="D252" s="195"/>
      <c r="E252" s="195"/>
      <c r="F252" s="196"/>
      <c r="G252" s="32" t="s">
        <v>1551</v>
      </c>
      <c r="H252" s="25" t="s">
        <v>1550</v>
      </c>
      <c r="I252" s="33">
        <v>1</v>
      </c>
      <c r="J252" s="33">
        <v>0</v>
      </c>
      <c r="K252" s="33">
        <v>0</v>
      </c>
      <c r="L252" s="33">
        <v>0</v>
      </c>
      <c r="M252" s="33">
        <v>0</v>
      </c>
      <c r="N252" s="33">
        <v>0</v>
      </c>
      <c r="O252" s="191" t="s">
        <v>57</v>
      </c>
      <c r="P252" s="192"/>
      <c r="Q252" s="192"/>
      <c r="R252" s="193"/>
      <c r="S252" s="29" t="s">
        <v>51</v>
      </c>
    </row>
    <row r="253" spans="1:19" ht="174.95" customHeight="1" x14ac:dyDescent="0.25">
      <c r="A253" s="31">
        <v>240</v>
      </c>
      <c r="B253" s="25" t="s">
        <v>1552</v>
      </c>
      <c r="C253" s="194" t="s">
        <v>1553</v>
      </c>
      <c r="D253" s="195"/>
      <c r="E253" s="195"/>
      <c r="F253" s="196"/>
      <c r="G253" s="32" t="s">
        <v>1555</v>
      </c>
      <c r="H253" s="25" t="s">
        <v>1554</v>
      </c>
      <c r="I253" s="33">
        <v>1</v>
      </c>
      <c r="J253" s="33">
        <v>0</v>
      </c>
      <c r="K253" s="33">
        <v>0</v>
      </c>
      <c r="L253" s="33">
        <v>0</v>
      </c>
      <c r="M253" s="33">
        <v>0</v>
      </c>
      <c r="N253" s="33">
        <v>0</v>
      </c>
      <c r="O253" s="191" t="s">
        <v>57</v>
      </c>
      <c r="P253" s="192"/>
      <c r="Q253" s="192"/>
      <c r="R253" s="193"/>
      <c r="S253" s="29" t="s">
        <v>51</v>
      </c>
    </row>
    <row r="254" spans="1:19" ht="174.95" customHeight="1" x14ac:dyDescent="0.25">
      <c r="A254" s="22">
        <v>241</v>
      </c>
      <c r="B254" s="25" t="s">
        <v>1556</v>
      </c>
      <c r="C254" s="194" t="s">
        <v>1557</v>
      </c>
      <c r="D254" s="195"/>
      <c r="E254" s="195"/>
      <c r="F254" s="196"/>
      <c r="G254" s="32" t="s">
        <v>1559</v>
      </c>
      <c r="H254" s="25" t="s">
        <v>1558</v>
      </c>
      <c r="I254" s="33">
        <v>1</v>
      </c>
      <c r="J254" s="33">
        <v>0</v>
      </c>
      <c r="K254" s="33">
        <v>0</v>
      </c>
      <c r="L254" s="33">
        <v>0</v>
      </c>
      <c r="M254" s="33">
        <v>0</v>
      </c>
      <c r="N254" s="33">
        <v>0</v>
      </c>
      <c r="O254" s="191" t="s">
        <v>54</v>
      </c>
      <c r="P254" s="192"/>
      <c r="Q254" s="192"/>
      <c r="R254" s="193"/>
      <c r="S254" s="29" t="s">
        <v>51</v>
      </c>
    </row>
    <row r="255" spans="1:19" ht="150" customHeight="1" x14ac:dyDescent="0.25">
      <c r="A255" s="31">
        <v>242</v>
      </c>
      <c r="B255" s="25" t="s">
        <v>1560</v>
      </c>
      <c r="C255" s="194" t="s">
        <v>1561</v>
      </c>
      <c r="D255" s="195"/>
      <c r="E255" s="195"/>
      <c r="F255" s="196"/>
      <c r="G255" s="32" t="s">
        <v>1563</v>
      </c>
      <c r="H255" s="25" t="s">
        <v>1562</v>
      </c>
      <c r="I255" s="33">
        <v>1</v>
      </c>
      <c r="J255" s="33">
        <v>0</v>
      </c>
      <c r="K255" s="33">
        <v>0</v>
      </c>
      <c r="L255" s="33">
        <v>0</v>
      </c>
      <c r="M255" s="33">
        <v>0</v>
      </c>
      <c r="N255" s="33">
        <v>0</v>
      </c>
      <c r="O255" s="191" t="s">
        <v>57</v>
      </c>
      <c r="P255" s="192"/>
      <c r="Q255" s="192"/>
      <c r="R255" s="193"/>
      <c r="S255" s="29" t="s">
        <v>51</v>
      </c>
    </row>
    <row r="256" spans="1:19" ht="174.95" customHeight="1" x14ac:dyDescent="0.25">
      <c r="A256" s="22">
        <v>243</v>
      </c>
      <c r="B256" s="25" t="s">
        <v>1564</v>
      </c>
      <c r="C256" s="194" t="s">
        <v>1565</v>
      </c>
      <c r="D256" s="195"/>
      <c r="E256" s="195"/>
      <c r="F256" s="196"/>
      <c r="G256" s="32" t="s">
        <v>1567</v>
      </c>
      <c r="H256" s="25" t="s">
        <v>1566</v>
      </c>
      <c r="I256" s="33">
        <v>1</v>
      </c>
      <c r="J256" s="33">
        <v>0</v>
      </c>
      <c r="K256" s="33">
        <v>0</v>
      </c>
      <c r="L256" s="33">
        <v>0</v>
      </c>
      <c r="M256" s="33">
        <v>0</v>
      </c>
      <c r="N256" s="33">
        <v>0</v>
      </c>
      <c r="O256" s="191" t="s">
        <v>57</v>
      </c>
      <c r="P256" s="192"/>
      <c r="Q256" s="192"/>
      <c r="R256" s="193"/>
      <c r="S256" s="29" t="s">
        <v>51</v>
      </c>
    </row>
    <row r="257" spans="1:19" ht="150" customHeight="1" x14ac:dyDescent="0.25">
      <c r="A257" s="31">
        <v>244</v>
      </c>
      <c r="B257" s="25" t="s">
        <v>1568</v>
      </c>
      <c r="C257" s="194" t="s">
        <v>1569</v>
      </c>
      <c r="D257" s="195"/>
      <c r="E257" s="195"/>
      <c r="F257" s="196"/>
      <c r="G257" s="32" t="s">
        <v>1571</v>
      </c>
      <c r="H257" s="25" t="s">
        <v>1570</v>
      </c>
      <c r="I257" s="33">
        <v>1</v>
      </c>
      <c r="J257" s="33">
        <v>0</v>
      </c>
      <c r="K257" s="33">
        <v>0</v>
      </c>
      <c r="L257" s="33">
        <v>0</v>
      </c>
      <c r="M257" s="33">
        <v>0</v>
      </c>
      <c r="N257" s="33">
        <v>0</v>
      </c>
      <c r="O257" s="191" t="s">
        <v>55</v>
      </c>
      <c r="P257" s="192"/>
      <c r="Q257" s="192"/>
      <c r="R257" s="193"/>
      <c r="S257" s="29" t="s">
        <v>53</v>
      </c>
    </row>
    <row r="258" spans="1:19" ht="150" customHeight="1" x14ac:dyDescent="0.25">
      <c r="A258" s="22">
        <v>245</v>
      </c>
      <c r="B258" s="25" t="s">
        <v>1568</v>
      </c>
      <c r="C258" s="194" t="s">
        <v>1572</v>
      </c>
      <c r="D258" s="195"/>
      <c r="E258" s="195"/>
      <c r="F258" s="196"/>
      <c r="G258" s="32" t="s">
        <v>1574</v>
      </c>
      <c r="H258" s="25" t="s">
        <v>1573</v>
      </c>
      <c r="I258" s="33">
        <v>1</v>
      </c>
      <c r="J258" s="33">
        <v>0</v>
      </c>
      <c r="K258" s="33">
        <v>0</v>
      </c>
      <c r="L258" s="33">
        <v>0</v>
      </c>
      <c r="M258" s="33">
        <v>0</v>
      </c>
      <c r="N258" s="33">
        <v>0</v>
      </c>
      <c r="O258" s="191" t="s">
        <v>57</v>
      </c>
      <c r="P258" s="192"/>
      <c r="Q258" s="192"/>
      <c r="R258" s="193"/>
      <c r="S258" s="29" t="s">
        <v>53</v>
      </c>
    </row>
    <row r="259" spans="1:19" ht="150" customHeight="1" x14ac:dyDescent="0.25">
      <c r="A259" s="31">
        <v>246</v>
      </c>
      <c r="B259" s="25" t="s">
        <v>1575</v>
      </c>
      <c r="C259" s="194" t="s">
        <v>1576</v>
      </c>
      <c r="D259" s="195"/>
      <c r="E259" s="195"/>
      <c r="F259" s="196"/>
      <c r="G259" s="32" t="s">
        <v>1578</v>
      </c>
      <c r="H259" s="25" t="s">
        <v>1577</v>
      </c>
      <c r="I259" s="33">
        <v>1</v>
      </c>
      <c r="J259" s="33">
        <v>0</v>
      </c>
      <c r="K259" s="33">
        <v>0</v>
      </c>
      <c r="L259" s="33">
        <v>0</v>
      </c>
      <c r="M259" s="33">
        <v>0</v>
      </c>
      <c r="N259" s="33">
        <v>0</v>
      </c>
      <c r="O259" s="191" t="s">
        <v>48</v>
      </c>
      <c r="P259" s="192"/>
      <c r="Q259" s="192"/>
      <c r="R259" s="193"/>
      <c r="S259" s="29" t="s">
        <v>51</v>
      </c>
    </row>
    <row r="260" spans="1:19" ht="174.95" customHeight="1" x14ac:dyDescent="0.25">
      <c r="A260" s="22">
        <v>247</v>
      </c>
      <c r="B260" s="25" t="s">
        <v>1575</v>
      </c>
      <c r="C260" s="194" t="s">
        <v>1579</v>
      </c>
      <c r="D260" s="195"/>
      <c r="E260" s="195"/>
      <c r="F260" s="196"/>
      <c r="G260" s="32" t="s">
        <v>1581</v>
      </c>
      <c r="H260" s="25" t="s">
        <v>1580</v>
      </c>
      <c r="I260" s="33">
        <v>1</v>
      </c>
      <c r="J260" s="33">
        <v>0</v>
      </c>
      <c r="K260" s="33">
        <v>0</v>
      </c>
      <c r="L260" s="33">
        <v>0</v>
      </c>
      <c r="M260" s="33">
        <v>0</v>
      </c>
      <c r="N260" s="33">
        <v>0</v>
      </c>
      <c r="O260" s="191" t="s">
        <v>57</v>
      </c>
      <c r="P260" s="192"/>
      <c r="Q260" s="192"/>
      <c r="R260" s="193"/>
      <c r="S260" s="29" t="s">
        <v>53</v>
      </c>
    </row>
    <row r="261" spans="1:19" ht="174.95" customHeight="1" x14ac:dyDescent="0.25">
      <c r="A261" s="31">
        <v>248</v>
      </c>
      <c r="B261" s="25" t="s">
        <v>1582</v>
      </c>
      <c r="C261" s="194" t="s">
        <v>1583</v>
      </c>
      <c r="D261" s="195"/>
      <c r="E261" s="195"/>
      <c r="F261" s="196"/>
      <c r="G261" s="32" t="s">
        <v>1585</v>
      </c>
      <c r="H261" s="25" t="s">
        <v>1584</v>
      </c>
      <c r="I261" s="33">
        <v>0</v>
      </c>
      <c r="J261" s="33">
        <v>1</v>
      </c>
      <c r="K261" s="33">
        <v>0</v>
      </c>
      <c r="L261" s="33">
        <v>0</v>
      </c>
      <c r="M261" s="33">
        <v>0</v>
      </c>
      <c r="N261" s="33">
        <v>0</v>
      </c>
      <c r="O261" s="191" t="s">
        <v>57</v>
      </c>
      <c r="P261" s="192"/>
      <c r="Q261" s="192"/>
      <c r="R261" s="193"/>
      <c r="S261" s="29" t="s">
        <v>2437</v>
      </c>
    </row>
    <row r="262" spans="1:19" ht="174.95" customHeight="1" x14ac:dyDescent="0.25">
      <c r="A262" s="22">
        <v>249</v>
      </c>
      <c r="B262" s="25" t="s">
        <v>1586</v>
      </c>
      <c r="C262" s="194" t="s">
        <v>1587</v>
      </c>
      <c r="D262" s="195"/>
      <c r="E262" s="195"/>
      <c r="F262" s="196"/>
      <c r="G262" s="32" t="s">
        <v>1589</v>
      </c>
      <c r="H262" s="25" t="s">
        <v>1588</v>
      </c>
      <c r="I262" s="33">
        <v>1</v>
      </c>
      <c r="J262" s="33">
        <v>0</v>
      </c>
      <c r="K262" s="33">
        <v>0</v>
      </c>
      <c r="L262" s="33">
        <v>0</v>
      </c>
      <c r="M262" s="33">
        <v>0</v>
      </c>
      <c r="N262" s="33">
        <v>0</v>
      </c>
      <c r="O262" s="191" t="s">
        <v>57</v>
      </c>
      <c r="P262" s="192"/>
      <c r="Q262" s="192"/>
      <c r="R262" s="193"/>
      <c r="S262" s="29" t="s">
        <v>61</v>
      </c>
    </row>
    <row r="263" spans="1:19" ht="174.95" customHeight="1" x14ac:dyDescent="0.25">
      <c r="A263" s="31">
        <v>250</v>
      </c>
      <c r="B263" s="25" t="s">
        <v>1590</v>
      </c>
      <c r="C263" s="194" t="s">
        <v>1591</v>
      </c>
      <c r="D263" s="195"/>
      <c r="E263" s="195"/>
      <c r="F263" s="196"/>
      <c r="G263" s="32" t="s">
        <v>1593</v>
      </c>
      <c r="H263" s="25" t="s">
        <v>1592</v>
      </c>
      <c r="I263" s="33">
        <v>1</v>
      </c>
      <c r="J263" s="33">
        <v>0</v>
      </c>
      <c r="K263" s="33">
        <v>0</v>
      </c>
      <c r="L263" s="33">
        <v>0</v>
      </c>
      <c r="M263" s="33">
        <v>0</v>
      </c>
      <c r="N263" s="33">
        <v>0</v>
      </c>
      <c r="O263" s="191" t="s">
        <v>57</v>
      </c>
      <c r="P263" s="192"/>
      <c r="Q263" s="192"/>
      <c r="R263" s="193"/>
      <c r="S263" s="29" t="s">
        <v>51</v>
      </c>
    </row>
    <row r="264" spans="1:19" ht="174.95" customHeight="1" x14ac:dyDescent="0.25">
      <c r="A264" s="22">
        <v>251</v>
      </c>
      <c r="B264" s="25" t="s">
        <v>1594</v>
      </c>
      <c r="C264" s="194" t="s">
        <v>1595</v>
      </c>
      <c r="D264" s="195"/>
      <c r="E264" s="195"/>
      <c r="F264" s="196"/>
      <c r="G264" s="32" t="s">
        <v>1597</v>
      </c>
      <c r="H264" s="25" t="s">
        <v>1596</v>
      </c>
      <c r="I264" s="33">
        <v>1</v>
      </c>
      <c r="J264" s="33">
        <v>0</v>
      </c>
      <c r="K264" s="33">
        <v>0</v>
      </c>
      <c r="L264" s="33">
        <v>0</v>
      </c>
      <c r="M264" s="33">
        <v>0</v>
      </c>
      <c r="N264" s="33">
        <v>0</v>
      </c>
      <c r="O264" s="191" t="s">
        <v>57</v>
      </c>
      <c r="P264" s="192"/>
      <c r="Q264" s="192"/>
      <c r="R264" s="193"/>
      <c r="S264" s="29" t="s">
        <v>49</v>
      </c>
    </row>
    <row r="265" spans="1:19" ht="174.95" customHeight="1" x14ac:dyDescent="0.25">
      <c r="A265" s="31">
        <v>252</v>
      </c>
      <c r="B265" s="25" t="s">
        <v>1598</v>
      </c>
      <c r="C265" s="194" t="s">
        <v>1599</v>
      </c>
      <c r="D265" s="195"/>
      <c r="E265" s="195"/>
      <c r="F265" s="196"/>
      <c r="G265" s="32" t="s">
        <v>1601</v>
      </c>
      <c r="H265" s="25" t="s">
        <v>1600</v>
      </c>
      <c r="I265" s="33">
        <v>1</v>
      </c>
      <c r="J265" s="33">
        <v>0</v>
      </c>
      <c r="K265" s="33">
        <v>0</v>
      </c>
      <c r="L265" s="33">
        <v>0</v>
      </c>
      <c r="M265" s="33">
        <v>0</v>
      </c>
      <c r="N265" s="33">
        <v>0</v>
      </c>
      <c r="O265" s="191" t="s">
        <v>55</v>
      </c>
      <c r="P265" s="192"/>
      <c r="Q265" s="192"/>
      <c r="R265" s="193"/>
      <c r="S265" s="29" t="s">
        <v>51</v>
      </c>
    </row>
    <row r="266" spans="1:19" ht="174.95" customHeight="1" x14ac:dyDescent="0.25">
      <c r="A266" s="22">
        <v>253</v>
      </c>
      <c r="B266" s="25" t="s">
        <v>1598</v>
      </c>
      <c r="C266" s="194" t="s">
        <v>1602</v>
      </c>
      <c r="D266" s="195"/>
      <c r="E266" s="195"/>
      <c r="F266" s="196"/>
      <c r="G266" s="32" t="s">
        <v>1604</v>
      </c>
      <c r="H266" s="25" t="s">
        <v>1603</v>
      </c>
      <c r="I266" s="33">
        <v>1</v>
      </c>
      <c r="J266" s="33">
        <v>0</v>
      </c>
      <c r="K266" s="33">
        <v>0</v>
      </c>
      <c r="L266" s="33">
        <v>0</v>
      </c>
      <c r="M266" s="33">
        <v>0</v>
      </c>
      <c r="N266" s="33">
        <v>0</v>
      </c>
      <c r="O266" s="191" t="s">
        <v>57</v>
      </c>
      <c r="P266" s="192"/>
      <c r="Q266" s="192"/>
      <c r="R266" s="193"/>
      <c r="S266" s="29" t="s">
        <v>51</v>
      </c>
    </row>
    <row r="267" spans="1:19" ht="174.95" customHeight="1" x14ac:dyDescent="0.25">
      <c r="A267" s="31">
        <v>254</v>
      </c>
      <c r="B267" s="25" t="s">
        <v>1605</v>
      </c>
      <c r="C267" s="194" t="s">
        <v>1606</v>
      </c>
      <c r="D267" s="195"/>
      <c r="E267" s="195"/>
      <c r="F267" s="196"/>
      <c r="G267" s="32" t="s">
        <v>1607</v>
      </c>
      <c r="H267" s="25" t="s">
        <v>1608</v>
      </c>
      <c r="I267" s="33">
        <v>1</v>
      </c>
      <c r="J267" s="33">
        <v>0</v>
      </c>
      <c r="K267" s="33">
        <v>0</v>
      </c>
      <c r="L267" s="33">
        <v>0</v>
      </c>
      <c r="M267" s="33">
        <v>0</v>
      </c>
      <c r="N267" s="33">
        <v>0</v>
      </c>
      <c r="O267" s="191" t="s">
        <v>57</v>
      </c>
      <c r="P267" s="192"/>
      <c r="Q267" s="192"/>
      <c r="R267" s="193"/>
      <c r="S267" s="29" t="s">
        <v>51</v>
      </c>
    </row>
    <row r="268" spans="1:19" ht="174.95" customHeight="1" x14ac:dyDescent="0.25">
      <c r="A268" s="22">
        <v>255</v>
      </c>
      <c r="B268" s="25" t="s">
        <v>1609</v>
      </c>
      <c r="C268" s="194" t="s">
        <v>1610</v>
      </c>
      <c r="D268" s="195"/>
      <c r="E268" s="195"/>
      <c r="F268" s="196"/>
      <c r="G268" s="32" t="s">
        <v>1612</v>
      </c>
      <c r="H268" s="25" t="s">
        <v>1611</v>
      </c>
      <c r="I268" s="33">
        <v>1</v>
      </c>
      <c r="J268" s="33">
        <v>0</v>
      </c>
      <c r="K268" s="33">
        <v>0</v>
      </c>
      <c r="L268" s="33">
        <v>0</v>
      </c>
      <c r="M268" s="33">
        <v>0</v>
      </c>
      <c r="N268" s="33">
        <v>0</v>
      </c>
      <c r="O268" s="191" t="s">
        <v>54</v>
      </c>
      <c r="P268" s="192"/>
      <c r="Q268" s="192"/>
      <c r="R268" s="193"/>
      <c r="S268" s="29" t="s">
        <v>62</v>
      </c>
    </row>
    <row r="269" spans="1:19" ht="174.95" customHeight="1" x14ac:dyDescent="0.25">
      <c r="A269" s="31">
        <v>256</v>
      </c>
      <c r="B269" s="25" t="s">
        <v>1609</v>
      </c>
      <c r="C269" s="194" t="s">
        <v>1613</v>
      </c>
      <c r="D269" s="195"/>
      <c r="E269" s="195"/>
      <c r="F269" s="196"/>
      <c r="G269" s="32" t="s">
        <v>1615</v>
      </c>
      <c r="H269" s="25" t="s">
        <v>1614</v>
      </c>
      <c r="I269" s="33">
        <v>1</v>
      </c>
      <c r="J269" s="33">
        <v>0</v>
      </c>
      <c r="K269" s="33">
        <v>0</v>
      </c>
      <c r="L269" s="33">
        <v>0</v>
      </c>
      <c r="M269" s="33">
        <v>0</v>
      </c>
      <c r="N269" s="33">
        <v>0</v>
      </c>
      <c r="O269" s="191" t="s">
        <v>48</v>
      </c>
      <c r="P269" s="192"/>
      <c r="Q269" s="192"/>
      <c r="R269" s="193"/>
      <c r="S269" s="29" t="s">
        <v>51</v>
      </c>
    </row>
    <row r="270" spans="1:19" ht="174.95" customHeight="1" x14ac:dyDescent="0.25">
      <c r="A270" s="22">
        <v>257</v>
      </c>
      <c r="B270" s="25" t="s">
        <v>1616</v>
      </c>
      <c r="C270" s="194" t="s">
        <v>1617</v>
      </c>
      <c r="D270" s="195"/>
      <c r="E270" s="195"/>
      <c r="F270" s="196"/>
      <c r="G270" s="32" t="s">
        <v>1618</v>
      </c>
      <c r="H270" s="25" t="s">
        <v>1619</v>
      </c>
      <c r="I270" s="33">
        <v>1</v>
      </c>
      <c r="J270" s="33">
        <v>0</v>
      </c>
      <c r="K270" s="33">
        <v>0</v>
      </c>
      <c r="L270" s="33">
        <v>0</v>
      </c>
      <c r="M270" s="33">
        <v>0</v>
      </c>
      <c r="N270" s="33">
        <v>0</v>
      </c>
      <c r="O270" s="191" t="s">
        <v>50</v>
      </c>
      <c r="P270" s="192"/>
      <c r="Q270" s="192"/>
      <c r="R270" s="193"/>
      <c r="S270" s="29" t="s">
        <v>51</v>
      </c>
    </row>
    <row r="271" spans="1:19" ht="174.95" customHeight="1" x14ac:dyDescent="0.25">
      <c r="A271" s="31">
        <v>258</v>
      </c>
      <c r="B271" s="25" t="s">
        <v>1616</v>
      </c>
      <c r="C271" s="194" t="s">
        <v>1620</v>
      </c>
      <c r="D271" s="195"/>
      <c r="E271" s="195"/>
      <c r="F271" s="196"/>
      <c r="G271" s="32" t="s">
        <v>1622</v>
      </c>
      <c r="H271" s="25" t="s">
        <v>1621</v>
      </c>
      <c r="I271" s="33">
        <v>0</v>
      </c>
      <c r="J271" s="33">
        <v>1</v>
      </c>
      <c r="K271" s="33">
        <v>0</v>
      </c>
      <c r="L271" s="33">
        <v>0</v>
      </c>
      <c r="M271" s="33">
        <v>0</v>
      </c>
      <c r="N271" s="33">
        <v>0</v>
      </c>
      <c r="O271" s="191" t="s">
        <v>57</v>
      </c>
      <c r="P271" s="192"/>
      <c r="Q271" s="192"/>
      <c r="R271" s="193"/>
      <c r="S271" s="29" t="s">
        <v>73</v>
      </c>
    </row>
    <row r="272" spans="1:19" ht="204" customHeight="1" x14ac:dyDescent="0.25">
      <c r="A272" s="22">
        <v>259</v>
      </c>
      <c r="B272" s="25" t="s">
        <v>1623</v>
      </c>
      <c r="C272" s="194" t="s">
        <v>1624</v>
      </c>
      <c r="D272" s="195"/>
      <c r="E272" s="195"/>
      <c r="F272" s="196"/>
      <c r="G272" s="32" t="s">
        <v>1626</v>
      </c>
      <c r="H272" s="25" t="s">
        <v>1625</v>
      </c>
      <c r="I272" s="33">
        <v>1</v>
      </c>
      <c r="J272" s="33">
        <v>0</v>
      </c>
      <c r="K272" s="33">
        <v>0</v>
      </c>
      <c r="L272" s="33">
        <v>0</v>
      </c>
      <c r="M272" s="33">
        <v>0</v>
      </c>
      <c r="N272" s="33">
        <v>0</v>
      </c>
      <c r="O272" s="191" t="s">
        <v>57</v>
      </c>
      <c r="P272" s="192"/>
      <c r="Q272" s="192"/>
      <c r="R272" s="193"/>
      <c r="S272" s="29" t="s">
        <v>51</v>
      </c>
    </row>
    <row r="273" spans="1:19" ht="174.95" customHeight="1" x14ac:dyDescent="0.25">
      <c r="A273" s="31">
        <v>260</v>
      </c>
      <c r="B273" s="25" t="s">
        <v>1627</v>
      </c>
      <c r="C273" s="194" t="s">
        <v>1628</v>
      </c>
      <c r="D273" s="195"/>
      <c r="E273" s="195"/>
      <c r="F273" s="196"/>
      <c r="G273" s="32" t="s">
        <v>1630</v>
      </c>
      <c r="H273" s="25" t="s">
        <v>1629</v>
      </c>
      <c r="I273" s="33">
        <v>1</v>
      </c>
      <c r="J273" s="33">
        <v>0</v>
      </c>
      <c r="K273" s="33">
        <v>0</v>
      </c>
      <c r="L273" s="33">
        <v>0</v>
      </c>
      <c r="M273" s="33">
        <v>0</v>
      </c>
      <c r="N273" s="33">
        <v>0</v>
      </c>
      <c r="O273" s="191" t="s">
        <v>57</v>
      </c>
      <c r="P273" s="192"/>
      <c r="Q273" s="192"/>
      <c r="R273" s="193"/>
      <c r="S273" s="29" t="s">
        <v>51</v>
      </c>
    </row>
    <row r="274" spans="1:19" ht="174.95" customHeight="1" x14ac:dyDescent="0.25">
      <c r="A274" s="22">
        <v>261</v>
      </c>
      <c r="B274" s="25" t="s">
        <v>1631</v>
      </c>
      <c r="C274" s="194" t="s">
        <v>1632</v>
      </c>
      <c r="D274" s="195"/>
      <c r="E274" s="195"/>
      <c r="F274" s="196"/>
      <c r="G274" s="32" t="s">
        <v>1634</v>
      </c>
      <c r="H274" s="25" t="s">
        <v>1633</v>
      </c>
      <c r="I274" s="33">
        <v>1</v>
      </c>
      <c r="J274" s="33">
        <v>0</v>
      </c>
      <c r="K274" s="33">
        <v>0</v>
      </c>
      <c r="L274" s="33">
        <v>0</v>
      </c>
      <c r="M274" s="33">
        <v>0</v>
      </c>
      <c r="N274" s="33">
        <v>0</v>
      </c>
      <c r="O274" s="191" t="s">
        <v>57</v>
      </c>
      <c r="P274" s="192"/>
      <c r="Q274" s="192"/>
      <c r="R274" s="193"/>
      <c r="S274" s="29" t="s">
        <v>1635</v>
      </c>
    </row>
    <row r="275" spans="1:19" ht="174.95" customHeight="1" x14ac:dyDescent="0.25">
      <c r="A275" s="31">
        <v>262</v>
      </c>
      <c r="B275" s="25" t="s">
        <v>1636</v>
      </c>
      <c r="C275" s="194" t="s">
        <v>1637</v>
      </c>
      <c r="D275" s="195"/>
      <c r="E275" s="195"/>
      <c r="F275" s="196"/>
      <c r="G275" s="32" t="s">
        <v>1639</v>
      </c>
      <c r="H275" s="25" t="s">
        <v>1638</v>
      </c>
      <c r="I275" s="33">
        <v>1</v>
      </c>
      <c r="J275" s="33">
        <v>0</v>
      </c>
      <c r="K275" s="33">
        <v>0</v>
      </c>
      <c r="L275" s="33">
        <v>0</v>
      </c>
      <c r="M275" s="33">
        <v>0</v>
      </c>
      <c r="N275" s="33">
        <v>0</v>
      </c>
      <c r="O275" s="191" t="s">
        <v>54</v>
      </c>
      <c r="P275" s="192"/>
      <c r="Q275" s="192"/>
      <c r="R275" s="193"/>
      <c r="S275" s="29" t="s">
        <v>63</v>
      </c>
    </row>
    <row r="276" spans="1:19" ht="174.95" customHeight="1" x14ac:dyDescent="0.25">
      <c r="A276" s="22">
        <v>263</v>
      </c>
      <c r="B276" s="25" t="s">
        <v>1636</v>
      </c>
      <c r="C276" s="194" t="s">
        <v>1640</v>
      </c>
      <c r="D276" s="195"/>
      <c r="E276" s="195"/>
      <c r="F276" s="196"/>
      <c r="G276" s="32" t="s">
        <v>1641</v>
      </c>
      <c r="H276" s="25" t="s">
        <v>1642</v>
      </c>
      <c r="I276" s="33">
        <v>1</v>
      </c>
      <c r="J276" s="33">
        <v>0</v>
      </c>
      <c r="K276" s="33">
        <v>0</v>
      </c>
      <c r="L276" s="33">
        <v>0</v>
      </c>
      <c r="M276" s="33">
        <v>0</v>
      </c>
      <c r="N276" s="33">
        <v>0</v>
      </c>
      <c r="O276" s="191" t="s">
        <v>57</v>
      </c>
      <c r="P276" s="192"/>
      <c r="Q276" s="192"/>
      <c r="R276" s="193"/>
      <c r="S276" s="29" t="s">
        <v>49</v>
      </c>
    </row>
    <row r="277" spans="1:19" ht="174.95" customHeight="1" x14ac:dyDescent="0.25">
      <c r="A277" s="31">
        <v>264</v>
      </c>
      <c r="B277" s="25" t="s">
        <v>1643</v>
      </c>
      <c r="C277" s="194" t="s">
        <v>851</v>
      </c>
      <c r="D277" s="195"/>
      <c r="E277" s="195"/>
      <c r="F277" s="196"/>
      <c r="G277" s="32" t="s">
        <v>1645</v>
      </c>
      <c r="H277" s="25" t="s">
        <v>1644</v>
      </c>
      <c r="I277" s="33">
        <v>0</v>
      </c>
      <c r="J277" s="33">
        <v>1</v>
      </c>
      <c r="K277" s="33">
        <v>0</v>
      </c>
      <c r="L277" s="33">
        <v>0</v>
      </c>
      <c r="M277" s="33">
        <v>0</v>
      </c>
      <c r="N277" s="33">
        <v>0</v>
      </c>
      <c r="O277" s="191" t="s">
        <v>50</v>
      </c>
      <c r="P277" s="192"/>
      <c r="Q277" s="192"/>
      <c r="R277" s="193"/>
      <c r="S277" s="29" t="s">
        <v>1646</v>
      </c>
    </row>
    <row r="278" spans="1:19" ht="174.95" customHeight="1" x14ac:dyDescent="0.25">
      <c r="A278" s="22">
        <v>265</v>
      </c>
      <c r="B278" s="25" t="s">
        <v>1643</v>
      </c>
      <c r="C278" s="194" t="s">
        <v>1647</v>
      </c>
      <c r="D278" s="195"/>
      <c r="E278" s="195"/>
      <c r="F278" s="196"/>
      <c r="G278" s="32" t="s">
        <v>1649</v>
      </c>
      <c r="H278" s="25" t="s">
        <v>1648</v>
      </c>
      <c r="I278" s="33">
        <v>1</v>
      </c>
      <c r="J278" s="33">
        <v>0</v>
      </c>
      <c r="K278" s="33">
        <v>0</v>
      </c>
      <c r="L278" s="33">
        <v>0</v>
      </c>
      <c r="M278" s="33">
        <v>0</v>
      </c>
      <c r="N278" s="33">
        <v>0</v>
      </c>
      <c r="O278" s="191" t="s">
        <v>57</v>
      </c>
      <c r="P278" s="192"/>
      <c r="Q278" s="192"/>
      <c r="R278" s="193"/>
      <c r="S278" s="29" t="s">
        <v>51</v>
      </c>
    </row>
    <row r="279" spans="1:19" ht="174.95" customHeight="1" x14ac:dyDescent="0.25">
      <c r="A279" s="31">
        <v>266</v>
      </c>
      <c r="B279" s="25" t="s">
        <v>1650</v>
      </c>
      <c r="C279" s="194" t="s">
        <v>1651</v>
      </c>
      <c r="D279" s="195"/>
      <c r="E279" s="195"/>
      <c r="F279" s="196"/>
      <c r="G279" s="32" t="s">
        <v>1653</v>
      </c>
      <c r="H279" s="25" t="s">
        <v>1652</v>
      </c>
      <c r="I279" s="33">
        <v>1</v>
      </c>
      <c r="J279" s="33">
        <v>0</v>
      </c>
      <c r="K279" s="33">
        <v>0</v>
      </c>
      <c r="L279" s="33">
        <v>0</v>
      </c>
      <c r="M279" s="33">
        <v>0</v>
      </c>
      <c r="N279" s="33">
        <v>0</v>
      </c>
      <c r="O279" s="191" t="s">
        <v>48</v>
      </c>
      <c r="P279" s="192"/>
      <c r="Q279" s="192"/>
      <c r="R279" s="193"/>
      <c r="S279" s="29" t="s">
        <v>51</v>
      </c>
    </row>
    <row r="280" spans="1:19" ht="174.95" customHeight="1" x14ac:dyDescent="0.25">
      <c r="A280" s="22">
        <v>267</v>
      </c>
      <c r="B280" s="25" t="s">
        <v>1650</v>
      </c>
      <c r="C280" s="194" t="s">
        <v>1654</v>
      </c>
      <c r="D280" s="195"/>
      <c r="E280" s="195"/>
      <c r="F280" s="196"/>
      <c r="G280" s="32" t="s">
        <v>1656</v>
      </c>
      <c r="H280" s="25" t="s">
        <v>1655</v>
      </c>
      <c r="I280" s="33">
        <v>1</v>
      </c>
      <c r="J280" s="33">
        <v>0</v>
      </c>
      <c r="K280" s="33">
        <v>0</v>
      </c>
      <c r="L280" s="33">
        <v>0</v>
      </c>
      <c r="M280" s="33">
        <v>0</v>
      </c>
      <c r="N280" s="33">
        <v>0</v>
      </c>
      <c r="O280" s="191" t="s">
        <v>48</v>
      </c>
      <c r="P280" s="192"/>
      <c r="Q280" s="192"/>
      <c r="R280" s="193"/>
      <c r="S280" s="29" t="s">
        <v>51</v>
      </c>
    </row>
    <row r="281" spans="1:19" ht="174.95" customHeight="1" x14ac:dyDescent="0.25">
      <c r="A281" s="31">
        <v>268</v>
      </c>
      <c r="B281" s="25" t="s">
        <v>1657</v>
      </c>
      <c r="C281" s="194" t="s">
        <v>1658</v>
      </c>
      <c r="D281" s="195"/>
      <c r="E281" s="195"/>
      <c r="F281" s="196"/>
      <c r="G281" s="32" t="s">
        <v>1660</v>
      </c>
      <c r="H281" s="25" t="s">
        <v>1659</v>
      </c>
      <c r="I281" s="33">
        <v>1</v>
      </c>
      <c r="J281" s="33">
        <v>0</v>
      </c>
      <c r="K281" s="33">
        <v>0</v>
      </c>
      <c r="L281" s="33">
        <v>0</v>
      </c>
      <c r="M281" s="33">
        <v>0</v>
      </c>
      <c r="N281" s="33">
        <v>0</v>
      </c>
      <c r="O281" s="191" t="s">
        <v>57</v>
      </c>
      <c r="P281" s="192"/>
      <c r="Q281" s="192"/>
      <c r="R281" s="193"/>
      <c r="S281" s="29" t="s">
        <v>51</v>
      </c>
    </row>
    <row r="282" spans="1:19" ht="174.95" customHeight="1" x14ac:dyDescent="0.25">
      <c r="A282" s="22">
        <v>269</v>
      </c>
      <c r="B282" s="25" t="s">
        <v>1661</v>
      </c>
      <c r="C282" s="194" t="s">
        <v>1662</v>
      </c>
      <c r="D282" s="195"/>
      <c r="E282" s="195"/>
      <c r="F282" s="196"/>
      <c r="G282" s="32" t="s">
        <v>1664</v>
      </c>
      <c r="H282" s="25" t="s">
        <v>1663</v>
      </c>
      <c r="I282" s="33">
        <v>1</v>
      </c>
      <c r="J282" s="33">
        <v>0</v>
      </c>
      <c r="K282" s="33">
        <v>0</v>
      </c>
      <c r="L282" s="33">
        <v>0</v>
      </c>
      <c r="M282" s="33">
        <v>0</v>
      </c>
      <c r="N282" s="33">
        <v>0</v>
      </c>
      <c r="O282" s="191" t="s">
        <v>57</v>
      </c>
      <c r="P282" s="192"/>
      <c r="Q282" s="192"/>
      <c r="R282" s="193"/>
      <c r="S282" s="29" t="s">
        <v>51</v>
      </c>
    </row>
    <row r="283" spans="1:19" ht="174.95" customHeight="1" x14ac:dyDescent="0.25">
      <c r="A283" s="31">
        <v>270</v>
      </c>
      <c r="B283" s="25" t="s">
        <v>1665</v>
      </c>
      <c r="C283" s="194" t="s">
        <v>1666</v>
      </c>
      <c r="D283" s="195"/>
      <c r="E283" s="195"/>
      <c r="F283" s="196"/>
      <c r="G283" s="32" t="s">
        <v>1668</v>
      </c>
      <c r="H283" s="25" t="s">
        <v>1667</v>
      </c>
      <c r="I283" s="33">
        <v>1</v>
      </c>
      <c r="J283" s="33">
        <v>0</v>
      </c>
      <c r="K283" s="33">
        <v>0</v>
      </c>
      <c r="L283" s="33">
        <v>0</v>
      </c>
      <c r="M283" s="33">
        <v>0</v>
      </c>
      <c r="N283" s="33">
        <v>0</v>
      </c>
      <c r="O283" s="191" t="s">
        <v>50</v>
      </c>
      <c r="P283" s="192"/>
      <c r="Q283" s="192"/>
      <c r="R283" s="193"/>
      <c r="S283" s="29" t="s">
        <v>51</v>
      </c>
    </row>
    <row r="284" spans="1:19" ht="183" customHeight="1" x14ac:dyDescent="0.25">
      <c r="A284" s="22">
        <v>271</v>
      </c>
      <c r="B284" s="25" t="s">
        <v>1665</v>
      </c>
      <c r="C284" s="194" t="s">
        <v>1669</v>
      </c>
      <c r="D284" s="195"/>
      <c r="E284" s="195"/>
      <c r="F284" s="196"/>
      <c r="G284" s="32" t="s">
        <v>1671</v>
      </c>
      <c r="H284" s="25" t="s">
        <v>1670</v>
      </c>
      <c r="I284" s="33">
        <v>1</v>
      </c>
      <c r="J284" s="33">
        <v>0</v>
      </c>
      <c r="K284" s="33">
        <v>0</v>
      </c>
      <c r="L284" s="33">
        <v>0</v>
      </c>
      <c r="M284" s="33">
        <v>0</v>
      </c>
      <c r="N284" s="33">
        <v>0</v>
      </c>
      <c r="O284" s="191" t="s">
        <v>57</v>
      </c>
      <c r="P284" s="192"/>
      <c r="Q284" s="192"/>
      <c r="R284" s="193"/>
      <c r="S284" s="29" t="s">
        <v>51</v>
      </c>
    </row>
    <row r="285" spans="1:19" ht="150" customHeight="1" x14ac:dyDescent="0.25">
      <c r="A285" s="31">
        <v>272</v>
      </c>
      <c r="B285" s="25" t="s">
        <v>1672</v>
      </c>
      <c r="C285" s="194" t="s">
        <v>1673</v>
      </c>
      <c r="D285" s="195"/>
      <c r="E285" s="195"/>
      <c r="F285" s="196"/>
      <c r="G285" s="32" t="s">
        <v>1675</v>
      </c>
      <c r="H285" s="25" t="s">
        <v>1674</v>
      </c>
      <c r="I285" s="33">
        <v>1</v>
      </c>
      <c r="J285" s="33">
        <v>0</v>
      </c>
      <c r="K285" s="33">
        <v>0</v>
      </c>
      <c r="L285" s="33">
        <v>0</v>
      </c>
      <c r="M285" s="33">
        <v>0</v>
      </c>
      <c r="N285" s="33">
        <v>0</v>
      </c>
      <c r="O285" s="191" t="s">
        <v>57</v>
      </c>
      <c r="P285" s="192"/>
      <c r="Q285" s="192"/>
      <c r="R285" s="193"/>
      <c r="S285" s="29" t="s">
        <v>56</v>
      </c>
    </row>
    <row r="286" spans="1:19" ht="150" customHeight="1" x14ac:dyDescent="0.25">
      <c r="A286" s="22">
        <v>273</v>
      </c>
      <c r="B286" s="25" t="s">
        <v>1676</v>
      </c>
      <c r="C286" s="194" t="s">
        <v>1677</v>
      </c>
      <c r="D286" s="195"/>
      <c r="E286" s="195"/>
      <c r="F286" s="196"/>
      <c r="G286" s="32" t="s">
        <v>1679</v>
      </c>
      <c r="H286" s="25" t="s">
        <v>1678</v>
      </c>
      <c r="I286" s="33">
        <v>1</v>
      </c>
      <c r="J286" s="33">
        <v>0</v>
      </c>
      <c r="K286" s="33">
        <v>0</v>
      </c>
      <c r="L286" s="33">
        <v>0</v>
      </c>
      <c r="M286" s="33">
        <v>0</v>
      </c>
      <c r="N286" s="33">
        <v>0</v>
      </c>
      <c r="O286" s="191" t="s">
        <v>55</v>
      </c>
      <c r="P286" s="192"/>
      <c r="Q286" s="192"/>
      <c r="R286" s="193"/>
      <c r="S286" s="29" t="s">
        <v>51</v>
      </c>
    </row>
    <row r="287" spans="1:19" ht="174.95" customHeight="1" x14ac:dyDescent="0.25">
      <c r="A287" s="31">
        <v>274</v>
      </c>
      <c r="B287" s="25" t="s">
        <v>1676</v>
      </c>
      <c r="C287" s="194" t="s">
        <v>1680</v>
      </c>
      <c r="D287" s="195"/>
      <c r="E287" s="195"/>
      <c r="F287" s="196"/>
      <c r="G287" s="32" t="s">
        <v>1682</v>
      </c>
      <c r="H287" s="25" t="s">
        <v>1681</v>
      </c>
      <c r="I287" s="33">
        <v>1</v>
      </c>
      <c r="J287" s="33">
        <v>0</v>
      </c>
      <c r="K287" s="33">
        <v>0</v>
      </c>
      <c r="L287" s="33">
        <v>0</v>
      </c>
      <c r="M287" s="33">
        <v>0</v>
      </c>
      <c r="N287" s="33">
        <v>0</v>
      </c>
      <c r="O287" s="191" t="s">
        <v>50</v>
      </c>
      <c r="P287" s="192"/>
      <c r="Q287" s="192"/>
      <c r="R287" s="193"/>
      <c r="S287" s="29" t="s">
        <v>51</v>
      </c>
    </row>
    <row r="288" spans="1:19" ht="174.95" customHeight="1" x14ac:dyDescent="0.25">
      <c r="A288" s="22">
        <v>275</v>
      </c>
      <c r="B288" s="25" t="s">
        <v>1683</v>
      </c>
      <c r="C288" s="194" t="s">
        <v>1684</v>
      </c>
      <c r="D288" s="195"/>
      <c r="E288" s="195"/>
      <c r="F288" s="196"/>
      <c r="G288" s="32" t="s">
        <v>1686</v>
      </c>
      <c r="H288" s="25" t="s">
        <v>1685</v>
      </c>
      <c r="I288" s="33">
        <v>1</v>
      </c>
      <c r="J288" s="33">
        <v>0</v>
      </c>
      <c r="K288" s="33">
        <v>0</v>
      </c>
      <c r="L288" s="33">
        <v>0</v>
      </c>
      <c r="M288" s="33">
        <v>0</v>
      </c>
      <c r="N288" s="33">
        <v>0</v>
      </c>
      <c r="O288" s="191" t="s">
        <v>54</v>
      </c>
      <c r="P288" s="192"/>
      <c r="Q288" s="192"/>
      <c r="R288" s="193"/>
      <c r="S288" s="29" t="s">
        <v>53</v>
      </c>
    </row>
    <row r="289" spans="1:19" ht="174.95" customHeight="1" x14ac:dyDescent="0.25">
      <c r="A289" s="31">
        <v>276</v>
      </c>
      <c r="B289" s="25" t="s">
        <v>1683</v>
      </c>
      <c r="C289" s="194" t="s">
        <v>1687</v>
      </c>
      <c r="D289" s="195"/>
      <c r="E289" s="195"/>
      <c r="F289" s="196"/>
      <c r="G289" s="32" t="s">
        <v>1689</v>
      </c>
      <c r="H289" s="25" t="s">
        <v>1688</v>
      </c>
      <c r="I289" s="33">
        <v>1</v>
      </c>
      <c r="J289" s="33">
        <v>0</v>
      </c>
      <c r="K289" s="33">
        <v>0</v>
      </c>
      <c r="L289" s="33">
        <v>0</v>
      </c>
      <c r="M289" s="33">
        <v>0</v>
      </c>
      <c r="N289" s="33">
        <v>0</v>
      </c>
      <c r="O289" s="191" t="s">
        <v>57</v>
      </c>
      <c r="P289" s="192"/>
      <c r="Q289" s="192"/>
      <c r="R289" s="193"/>
      <c r="S289" s="29" t="s">
        <v>62</v>
      </c>
    </row>
    <row r="290" spans="1:19" ht="174.95" customHeight="1" x14ac:dyDescent="0.25">
      <c r="A290" s="22">
        <v>277</v>
      </c>
      <c r="B290" s="25" t="s">
        <v>1690</v>
      </c>
      <c r="C290" s="194" t="s">
        <v>1691</v>
      </c>
      <c r="D290" s="195"/>
      <c r="E290" s="195"/>
      <c r="F290" s="196"/>
      <c r="G290" s="32" t="s">
        <v>1693</v>
      </c>
      <c r="H290" s="25" t="s">
        <v>1692</v>
      </c>
      <c r="I290" s="33">
        <v>1</v>
      </c>
      <c r="J290" s="33">
        <v>0</v>
      </c>
      <c r="K290" s="33">
        <v>0</v>
      </c>
      <c r="L290" s="33">
        <v>0</v>
      </c>
      <c r="M290" s="33">
        <v>0</v>
      </c>
      <c r="N290" s="33">
        <v>0</v>
      </c>
      <c r="O290" s="191" t="s">
        <v>50</v>
      </c>
      <c r="P290" s="192"/>
      <c r="Q290" s="192"/>
      <c r="R290" s="193"/>
      <c r="S290" s="29" t="s">
        <v>51</v>
      </c>
    </row>
    <row r="291" spans="1:19" ht="174.95" customHeight="1" x14ac:dyDescent="0.25">
      <c r="A291" s="31">
        <v>278</v>
      </c>
      <c r="B291" s="25" t="s">
        <v>1690</v>
      </c>
      <c r="C291" s="194" t="s">
        <v>1694</v>
      </c>
      <c r="D291" s="195"/>
      <c r="E291" s="195"/>
      <c r="F291" s="196"/>
      <c r="G291" s="32" t="s">
        <v>1696</v>
      </c>
      <c r="H291" s="25" t="s">
        <v>1695</v>
      </c>
      <c r="I291" s="33">
        <v>1</v>
      </c>
      <c r="J291" s="33">
        <v>0</v>
      </c>
      <c r="K291" s="33">
        <v>0</v>
      </c>
      <c r="L291" s="33">
        <v>0</v>
      </c>
      <c r="M291" s="33">
        <v>0</v>
      </c>
      <c r="N291" s="33">
        <v>0</v>
      </c>
      <c r="O291" s="191" t="s">
        <v>57</v>
      </c>
      <c r="P291" s="192"/>
      <c r="Q291" s="192"/>
      <c r="R291" s="193"/>
      <c r="S291" s="29" t="s">
        <v>51</v>
      </c>
    </row>
    <row r="292" spans="1:19" ht="174.95" customHeight="1" x14ac:dyDescent="0.25">
      <c r="A292" s="22">
        <v>279</v>
      </c>
      <c r="B292" s="25" t="s">
        <v>1697</v>
      </c>
      <c r="C292" s="194" t="s">
        <v>1698</v>
      </c>
      <c r="D292" s="195"/>
      <c r="E292" s="195"/>
      <c r="F292" s="196"/>
      <c r="G292" s="32" t="s">
        <v>1700</v>
      </c>
      <c r="H292" s="25" t="s">
        <v>1699</v>
      </c>
      <c r="I292" s="33">
        <v>1</v>
      </c>
      <c r="J292" s="33">
        <v>0</v>
      </c>
      <c r="K292" s="33">
        <v>0</v>
      </c>
      <c r="L292" s="33">
        <v>0</v>
      </c>
      <c r="M292" s="33">
        <v>0</v>
      </c>
      <c r="N292" s="33">
        <v>0</v>
      </c>
      <c r="O292" s="191" t="s">
        <v>55</v>
      </c>
      <c r="P292" s="192"/>
      <c r="Q292" s="192"/>
      <c r="R292" s="193"/>
      <c r="S292" s="29" t="s">
        <v>51</v>
      </c>
    </row>
    <row r="293" spans="1:19" ht="174.95" customHeight="1" x14ac:dyDescent="0.25">
      <c r="A293" s="31">
        <v>280</v>
      </c>
      <c r="B293" s="25" t="s">
        <v>1697</v>
      </c>
      <c r="C293" s="194" t="s">
        <v>1701</v>
      </c>
      <c r="D293" s="195"/>
      <c r="E293" s="195"/>
      <c r="F293" s="196"/>
      <c r="G293" s="32" t="s">
        <v>1703</v>
      </c>
      <c r="H293" s="25" t="s">
        <v>1702</v>
      </c>
      <c r="I293" s="33">
        <v>0</v>
      </c>
      <c r="J293" s="33">
        <v>1</v>
      </c>
      <c r="K293" s="33">
        <v>0</v>
      </c>
      <c r="L293" s="33">
        <v>0</v>
      </c>
      <c r="M293" s="33">
        <v>0</v>
      </c>
      <c r="N293" s="33">
        <v>0</v>
      </c>
      <c r="O293" s="191" t="s">
        <v>57</v>
      </c>
      <c r="P293" s="192"/>
      <c r="Q293" s="192"/>
      <c r="R293" s="193"/>
      <c r="S293" s="29" t="s">
        <v>2194</v>
      </c>
    </row>
    <row r="294" spans="1:19" ht="174.95" customHeight="1" x14ac:dyDescent="0.25">
      <c r="A294" s="22">
        <v>281</v>
      </c>
      <c r="B294" s="25" t="s">
        <v>1704</v>
      </c>
      <c r="C294" s="194" t="s">
        <v>1705</v>
      </c>
      <c r="D294" s="195"/>
      <c r="E294" s="195"/>
      <c r="F294" s="196"/>
      <c r="G294" s="32" t="s">
        <v>1707</v>
      </c>
      <c r="H294" s="25" t="s">
        <v>1706</v>
      </c>
      <c r="I294" s="33">
        <v>1</v>
      </c>
      <c r="J294" s="33">
        <v>0</v>
      </c>
      <c r="K294" s="33">
        <v>0</v>
      </c>
      <c r="L294" s="33">
        <v>0</v>
      </c>
      <c r="M294" s="33">
        <v>0</v>
      </c>
      <c r="N294" s="33">
        <v>0</v>
      </c>
      <c r="O294" s="191" t="s">
        <v>57</v>
      </c>
      <c r="P294" s="192"/>
      <c r="Q294" s="192"/>
      <c r="R294" s="193"/>
      <c r="S294" s="29" t="s">
        <v>51</v>
      </c>
    </row>
    <row r="295" spans="1:19" ht="174.95" customHeight="1" x14ac:dyDescent="0.25">
      <c r="A295" s="31">
        <v>282</v>
      </c>
      <c r="B295" s="25" t="s">
        <v>1708</v>
      </c>
      <c r="C295" s="194" t="s">
        <v>1709</v>
      </c>
      <c r="D295" s="195"/>
      <c r="E295" s="195"/>
      <c r="F295" s="196"/>
      <c r="G295" s="32" t="s">
        <v>1711</v>
      </c>
      <c r="H295" s="25" t="s">
        <v>1710</v>
      </c>
      <c r="I295" s="33">
        <v>1</v>
      </c>
      <c r="J295" s="33">
        <v>0</v>
      </c>
      <c r="K295" s="33">
        <v>0</v>
      </c>
      <c r="L295" s="33">
        <v>0</v>
      </c>
      <c r="M295" s="33">
        <v>0</v>
      </c>
      <c r="N295" s="33">
        <v>0</v>
      </c>
      <c r="O295" s="191" t="s">
        <v>54</v>
      </c>
      <c r="P295" s="192"/>
      <c r="Q295" s="192"/>
      <c r="R295" s="193"/>
      <c r="S295" s="29" t="s">
        <v>63</v>
      </c>
    </row>
    <row r="296" spans="1:19" ht="174.95" customHeight="1" x14ac:dyDescent="0.25">
      <c r="A296" s="22">
        <v>283</v>
      </c>
      <c r="B296" s="25" t="s">
        <v>1712</v>
      </c>
      <c r="C296" s="194" t="s">
        <v>1713</v>
      </c>
      <c r="D296" s="195"/>
      <c r="E296" s="195"/>
      <c r="F296" s="196"/>
      <c r="G296" s="32" t="s">
        <v>1715</v>
      </c>
      <c r="H296" s="25" t="s">
        <v>1714</v>
      </c>
      <c r="I296" s="33">
        <v>0</v>
      </c>
      <c r="J296" s="33">
        <v>1</v>
      </c>
      <c r="K296" s="33">
        <v>0</v>
      </c>
      <c r="L296" s="33">
        <v>0</v>
      </c>
      <c r="M296" s="33">
        <v>0</v>
      </c>
      <c r="N296" s="33">
        <v>0</v>
      </c>
      <c r="O296" s="191" t="s">
        <v>54</v>
      </c>
      <c r="P296" s="192"/>
      <c r="Q296" s="192"/>
      <c r="R296" s="193"/>
      <c r="S296" s="29" t="s">
        <v>2491</v>
      </c>
    </row>
    <row r="297" spans="1:19" ht="174.95" customHeight="1" x14ac:dyDescent="0.25">
      <c r="A297" s="31">
        <v>284</v>
      </c>
      <c r="B297" s="25" t="s">
        <v>1712</v>
      </c>
      <c r="C297" s="194" t="s">
        <v>1716</v>
      </c>
      <c r="D297" s="195"/>
      <c r="E297" s="195"/>
      <c r="F297" s="196"/>
      <c r="G297" s="32" t="s">
        <v>1718</v>
      </c>
      <c r="H297" s="25" t="s">
        <v>1717</v>
      </c>
      <c r="I297" s="33">
        <v>1</v>
      </c>
      <c r="J297" s="33">
        <v>0</v>
      </c>
      <c r="K297" s="33">
        <v>0</v>
      </c>
      <c r="L297" s="33">
        <v>0</v>
      </c>
      <c r="M297" s="33">
        <v>0</v>
      </c>
      <c r="N297" s="33">
        <v>0</v>
      </c>
      <c r="O297" s="191" t="s">
        <v>57</v>
      </c>
      <c r="P297" s="192"/>
      <c r="Q297" s="192"/>
      <c r="R297" s="193"/>
      <c r="S297" s="29" t="s">
        <v>62</v>
      </c>
    </row>
    <row r="298" spans="1:19" ht="174.95" customHeight="1" x14ac:dyDescent="0.25">
      <c r="A298" s="22">
        <v>285</v>
      </c>
      <c r="B298" s="25" t="s">
        <v>1719</v>
      </c>
      <c r="C298" s="194" t="s">
        <v>1720</v>
      </c>
      <c r="D298" s="195"/>
      <c r="E298" s="195"/>
      <c r="F298" s="196"/>
      <c r="G298" s="32" t="s">
        <v>1722</v>
      </c>
      <c r="H298" s="25" t="s">
        <v>1721</v>
      </c>
      <c r="I298" s="33">
        <v>1</v>
      </c>
      <c r="J298" s="33">
        <v>0</v>
      </c>
      <c r="K298" s="33">
        <v>0</v>
      </c>
      <c r="L298" s="33">
        <v>0</v>
      </c>
      <c r="M298" s="33">
        <v>0</v>
      </c>
      <c r="N298" s="33">
        <v>0</v>
      </c>
      <c r="O298" s="191" t="s">
        <v>57</v>
      </c>
      <c r="P298" s="192"/>
      <c r="Q298" s="192"/>
      <c r="R298" s="193"/>
      <c r="S298" s="29" t="s">
        <v>51</v>
      </c>
    </row>
    <row r="299" spans="1:19" ht="150" customHeight="1" x14ac:dyDescent="0.25">
      <c r="A299" s="31">
        <v>286</v>
      </c>
      <c r="B299" s="25" t="s">
        <v>1723</v>
      </c>
      <c r="C299" s="194" t="s">
        <v>1724</v>
      </c>
      <c r="D299" s="195"/>
      <c r="E299" s="195"/>
      <c r="F299" s="196"/>
      <c r="G299" s="32" t="s">
        <v>1726</v>
      </c>
      <c r="H299" s="25" t="s">
        <v>1725</v>
      </c>
      <c r="I299" s="33">
        <v>1</v>
      </c>
      <c r="J299" s="33">
        <v>0</v>
      </c>
      <c r="K299" s="33">
        <v>0</v>
      </c>
      <c r="L299" s="33">
        <v>0</v>
      </c>
      <c r="M299" s="33">
        <v>0</v>
      </c>
      <c r="N299" s="33">
        <v>0</v>
      </c>
      <c r="O299" s="191" t="s">
        <v>55</v>
      </c>
      <c r="P299" s="192"/>
      <c r="Q299" s="192"/>
      <c r="R299" s="193"/>
      <c r="S299" s="29" t="s">
        <v>51</v>
      </c>
    </row>
    <row r="300" spans="1:19" ht="150" customHeight="1" x14ac:dyDescent="0.25">
      <c r="A300" s="22">
        <v>287</v>
      </c>
      <c r="B300" s="25" t="s">
        <v>1723</v>
      </c>
      <c r="C300" s="194" t="s">
        <v>1727</v>
      </c>
      <c r="D300" s="195"/>
      <c r="E300" s="195"/>
      <c r="F300" s="196"/>
      <c r="G300" s="32" t="s">
        <v>1729</v>
      </c>
      <c r="H300" s="25" t="s">
        <v>1728</v>
      </c>
      <c r="I300" s="33">
        <v>1</v>
      </c>
      <c r="J300" s="33">
        <v>0</v>
      </c>
      <c r="K300" s="33">
        <v>0</v>
      </c>
      <c r="L300" s="33">
        <v>0</v>
      </c>
      <c r="M300" s="33">
        <v>0</v>
      </c>
      <c r="N300" s="33">
        <v>0</v>
      </c>
      <c r="O300" s="191" t="s">
        <v>48</v>
      </c>
      <c r="P300" s="192"/>
      <c r="Q300" s="192"/>
      <c r="R300" s="193"/>
      <c r="S300" s="29" t="s">
        <v>51</v>
      </c>
    </row>
    <row r="301" spans="1:19" ht="150" customHeight="1" x14ac:dyDescent="0.25">
      <c r="A301" s="31">
        <v>288</v>
      </c>
      <c r="B301" s="25" t="s">
        <v>1730</v>
      </c>
      <c r="C301" s="194" t="s">
        <v>1731</v>
      </c>
      <c r="D301" s="195"/>
      <c r="E301" s="195"/>
      <c r="F301" s="196"/>
      <c r="G301" s="32" t="s">
        <v>1733</v>
      </c>
      <c r="H301" s="25" t="s">
        <v>1732</v>
      </c>
      <c r="I301" s="33">
        <v>1</v>
      </c>
      <c r="J301" s="33">
        <v>0</v>
      </c>
      <c r="K301" s="33">
        <v>0</v>
      </c>
      <c r="L301" s="33">
        <v>0</v>
      </c>
      <c r="M301" s="33">
        <v>0</v>
      </c>
      <c r="N301" s="33">
        <v>0</v>
      </c>
      <c r="O301" s="191" t="s">
        <v>50</v>
      </c>
      <c r="P301" s="192"/>
      <c r="Q301" s="192"/>
      <c r="R301" s="193"/>
      <c r="S301" s="29" t="s">
        <v>53</v>
      </c>
    </row>
    <row r="302" spans="1:19" ht="189.75" customHeight="1" x14ac:dyDescent="0.25">
      <c r="A302" s="22">
        <v>289</v>
      </c>
      <c r="B302" s="25" t="s">
        <v>1730</v>
      </c>
      <c r="C302" s="194" t="s">
        <v>1734</v>
      </c>
      <c r="D302" s="195"/>
      <c r="E302" s="195"/>
      <c r="F302" s="196"/>
      <c r="G302" s="32" t="s">
        <v>1735</v>
      </c>
      <c r="H302" s="25" t="s">
        <v>1737</v>
      </c>
      <c r="I302" s="33">
        <v>0</v>
      </c>
      <c r="J302" s="33">
        <v>1</v>
      </c>
      <c r="K302" s="33">
        <v>0</v>
      </c>
      <c r="L302" s="33">
        <v>0</v>
      </c>
      <c r="M302" s="33">
        <v>0</v>
      </c>
      <c r="N302" s="33">
        <v>0</v>
      </c>
      <c r="O302" s="191" t="s">
        <v>57</v>
      </c>
      <c r="P302" s="192"/>
      <c r="Q302" s="192"/>
      <c r="R302" s="193"/>
      <c r="S302" s="29" t="s">
        <v>1736</v>
      </c>
    </row>
    <row r="303" spans="1:19" ht="189.75" customHeight="1" x14ac:dyDescent="0.25">
      <c r="A303" s="31">
        <v>290</v>
      </c>
      <c r="B303" s="25" t="s">
        <v>2495</v>
      </c>
      <c r="C303" s="194" t="s">
        <v>1734</v>
      </c>
      <c r="D303" s="195"/>
      <c r="E303" s="195"/>
      <c r="F303" s="196"/>
      <c r="G303" s="32" t="s">
        <v>2497</v>
      </c>
      <c r="H303" s="25" t="s">
        <v>2496</v>
      </c>
      <c r="I303" s="33">
        <v>1</v>
      </c>
      <c r="J303" s="33">
        <v>0</v>
      </c>
      <c r="K303" s="33">
        <v>0</v>
      </c>
      <c r="L303" s="33">
        <v>0</v>
      </c>
      <c r="M303" s="33">
        <v>0</v>
      </c>
      <c r="N303" s="33">
        <v>0</v>
      </c>
      <c r="O303" s="191" t="s">
        <v>57</v>
      </c>
      <c r="P303" s="192"/>
      <c r="Q303" s="192"/>
      <c r="R303" s="193"/>
      <c r="S303" s="29" t="s">
        <v>53</v>
      </c>
    </row>
    <row r="304" spans="1:19" ht="174.95" customHeight="1" x14ac:dyDescent="0.25">
      <c r="A304" s="22">
        <v>291</v>
      </c>
      <c r="B304" s="25" t="s">
        <v>1738</v>
      </c>
      <c r="C304" s="194" t="s">
        <v>1739</v>
      </c>
      <c r="D304" s="195"/>
      <c r="E304" s="195"/>
      <c r="F304" s="196"/>
      <c r="G304" s="32" t="s">
        <v>1741</v>
      </c>
      <c r="H304" s="25" t="s">
        <v>1740</v>
      </c>
      <c r="I304" s="33">
        <v>1</v>
      </c>
      <c r="J304" s="33">
        <v>0</v>
      </c>
      <c r="K304" s="33">
        <v>0</v>
      </c>
      <c r="L304" s="33">
        <v>0</v>
      </c>
      <c r="M304" s="33">
        <v>0</v>
      </c>
      <c r="N304" s="33">
        <v>0</v>
      </c>
      <c r="O304" s="191" t="s">
        <v>55</v>
      </c>
      <c r="P304" s="192"/>
      <c r="Q304" s="192"/>
      <c r="R304" s="193"/>
      <c r="S304" s="29" t="s">
        <v>53</v>
      </c>
    </row>
    <row r="305" spans="1:19" ht="174.95" customHeight="1" x14ac:dyDescent="0.25">
      <c r="A305" s="31">
        <v>292</v>
      </c>
      <c r="B305" s="25" t="s">
        <v>1742</v>
      </c>
      <c r="C305" s="194" t="s">
        <v>1743</v>
      </c>
      <c r="D305" s="195"/>
      <c r="E305" s="195"/>
      <c r="F305" s="196"/>
      <c r="G305" s="32" t="s">
        <v>1745</v>
      </c>
      <c r="H305" s="25" t="s">
        <v>1744</v>
      </c>
      <c r="I305" s="33">
        <v>1</v>
      </c>
      <c r="J305" s="33">
        <v>0</v>
      </c>
      <c r="K305" s="33">
        <v>0</v>
      </c>
      <c r="L305" s="33">
        <v>0</v>
      </c>
      <c r="M305" s="33">
        <v>0</v>
      </c>
      <c r="N305" s="33">
        <v>0</v>
      </c>
      <c r="O305" s="191" t="s">
        <v>50</v>
      </c>
      <c r="P305" s="192"/>
      <c r="Q305" s="192"/>
      <c r="R305" s="193"/>
      <c r="S305" s="29" t="s">
        <v>51</v>
      </c>
    </row>
    <row r="306" spans="1:19" ht="174.95" customHeight="1" x14ac:dyDescent="0.25">
      <c r="A306" s="22">
        <v>293</v>
      </c>
      <c r="B306" s="25" t="s">
        <v>1746</v>
      </c>
      <c r="C306" s="194" t="s">
        <v>1747</v>
      </c>
      <c r="D306" s="195"/>
      <c r="E306" s="195"/>
      <c r="F306" s="196"/>
      <c r="G306" s="32" t="s">
        <v>1749</v>
      </c>
      <c r="H306" s="25" t="s">
        <v>1748</v>
      </c>
      <c r="I306" s="33">
        <v>1</v>
      </c>
      <c r="J306" s="33">
        <v>0</v>
      </c>
      <c r="K306" s="33">
        <v>0</v>
      </c>
      <c r="L306" s="33">
        <v>0</v>
      </c>
      <c r="M306" s="33">
        <v>0</v>
      </c>
      <c r="N306" s="33">
        <v>0</v>
      </c>
      <c r="O306" s="191" t="s">
        <v>57</v>
      </c>
      <c r="P306" s="192"/>
      <c r="Q306" s="192"/>
      <c r="R306" s="193"/>
      <c r="S306" s="29" t="s">
        <v>63</v>
      </c>
    </row>
    <row r="307" spans="1:19" ht="174.95" customHeight="1" x14ac:dyDescent="0.25">
      <c r="A307" s="31">
        <v>294</v>
      </c>
      <c r="B307" s="25" t="s">
        <v>1750</v>
      </c>
      <c r="C307" s="194" t="s">
        <v>1751</v>
      </c>
      <c r="D307" s="195"/>
      <c r="E307" s="195"/>
      <c r="F307" s="196"/>
      <c r="G307" s="32" t="s">
        <v>1753</v>
      </c>
      <c r="H307" s="25" t="s">
        <v>1752</v>
      </c>
      <c r="I307" s="33">
        <v>1</v>
      </c>
      <c r="J307" s="33">
        <v>0</v>
      </c>
      <c r="K307" s="33">
        <v>0</v>
      </c>
      <c r="L307" s="33">
        <v>0</v>
      </c>
      <c r="M307" s="33">
        <v>0</v>
      </c>
      <c r="N307" s="33">
        <v>0</v>
      </c>
      <c r="O307" s="191" t="s">
        <v>50</v>
      </c>
      <c r="P307" s="192"/>
      <c r="Q307" s="192"/>
      <c r="R307" s="193"/>
      <c r="S307" s="29" t="s">
        <v>51</v>
      </c>
    </row>
    <row r="308" spans="1:19" ht="174.95" customHeight="1" x14ac:dyDescent="0.25">
      <c r="A308" s="22">
        <v>295</v>
      </c>
      <c r="B308" s="25" t="s">
        <v>1750</v>
      </c>
      <c r="C308" s="194" t="s">
        <v>1754</v>
      </c>
      <c r="D308" s="195"/>
      <c r="E308" s="195"/>
      <c r="F308" s="196"/>
      <c r="G308" s="32" t="s">
        <v>1756</v>
      </c>
      <c r="H308" s="25" t="s">
        <v>1755</v>
      </c>
      <c r="I308" s="33">
        <v>1</v>
      </c>
      <c r="J308" s="33">
        <v>0</v>
      </c>
      <c r="K308" s="33">
        <v>0</v>
      </c>
      <c r="L308" s="33">
        <v>0</v>
      </c>
      <c r="M308" s="33">
        <v>0</v>
      </c>
      <c r="N308" s="33">
        <v>0</v>
      </c>
      <c r="O308" s="191" t="s">
        <v>57</v>
      </c>
      <c r="P308" s="192"/>
      <c r="Q308" s="192"/>
      <c r="R308" s="193"/>
      <c r="S308" s="29" t="s">
        <v>51</v>
      </c>
    </row>
    <row r="309" spans="1:19" ht="174.95" customHeight="1" x14ac:dyDescent="0.25">
      <c r="A309" s="31">
        <v>296</v>
      </c>
      <c r="B309" s="25" t="s">
        <v>1757</v>
      </c>
      <c r="C309" s="194" t="s">
        <v>1758</v>
      </c>
      <c r="D309" s="195"/>
      <c r="E309" s="195"/>
      <c r="F309" s="196"/>
      <c r="G309" s="32" t="s">
        <v>1760</v>
      </c>
      <c r="H309" s="25" t="s">
        <v>1759</v>
      </c>
      <c r="I309" s="33">
        <v>1</v>
      </c>
      <c r="J309" s="33">
        <v>0</v>
      </c>
      <c r="K309" s="33">
        <v>0</v>
      </c>
      <c r="L309" s="33">
        <v>0</v>
      </c>
      <c r="M309" s="33">
        <v>0</v>
      </c>
      <c r="N309" s="33">
        <v>0</v>
      </c>
      <c r="O309" s="191" t="s">
        <v>57</v>
      </c>
      <c r="P309" s="192"/>
      <c r="Q309" s="192"/>
      <c r="R309" s="193"/>
      <c r="S309" s="29" t="s">
        <v>51</v>
      </c>
    </row>
    <row r="310" spans="1:19" ht="174.95" customHeight="1" x14ac:dyDescent="0.25">
      <c r="A310" s="22">
        <v>297</v>
      </c>
      <c r="B310" s="25" t="s">
        <v>1761</v>
      </c>
      <c r="C310" s="194" t="s">
        <v>1762</v>
      </c>
      <c r="D310" s="195"/>
      <c r="E310" s="195"/>
      <c r="F310" s="196"/>
      <c r="G310" s="32" t="s">
        <v>1764</v>
      </c>
      <c r="H310" s="25" t="s">
        <v>1763</v>
      </c>
      <c r="I310" s="33">
        <v>0</v>
      </c>
      <c r="J310" s="33">
        <v>1</v>
      </c>
      <c r="K310" s="33">
        <v>0</v>
      </c>
      <c r="L310" s="33">
        <v>0</v>
      </c>
      <c r="M310" s="33">
        <v>0</v>
      </c>
      <c r="N310" s="33">
        <v>0</v>
      </c>
      <c r="O310" s="191" t="s">
        <v>54</v>
      </c>
      <c r="P310" s="192"/>
      <c r="Q310" s="192"/>
      <c r="R310" s="193"/>
      <c r="S310" s="29" t="s">
        <v>2435</v>
      </c>
    </row>
    <row r="311" spans="1:19" ht="192.75" customHeight="1" x14ac:dyDescent="0.25">
      <c r="A311" s="31">
        <v>298</v>
      </c>
      <c r="B311" s="25" t="s">
        <v>1761</v>
      </c>
      <c r="C311" s="194" t="s">
        <v>1765</v>
      </c>
      <c r="D311" s="195"/>
      <c r="E311" s="195"/>
      <c r="F311" s="196"/>
      <c r="G311" s="32" t="s">
        <v>1767</v>
      </c>
      <c r="H311" s="25" t="s">
        <v>1766</v>
      </c>
      <c r="I311" s="33">
        <v>1</v>
      </c>
      <c r="J311" s="33">
        <v>0</v>
      </c>
      <c r="K311" s="33">
        <v>0</v>
      </c>
      <c r="L311" s="33">
        <v>0</v>
      </c>
      <c r="M311" s="33">
        <v>0</v>
      </c>
      <c r="N311" s="33">
        <v>0</v>
      </c>
      <c r="O311" s="191" t="s">
        <v>57</v>
      </c>
      <c r="P311" s="192"/>
      <c r="Q311" s="192"/>
      <c r="R311" s="193"/>
      <c r="S311" s="29" t="s">
        <v>56</v>
      </c>
    </row>
    <row r="312" spans="1:19" ht="174.95" customHeight="1" x14ac:dyDescent="0.25">
      <c r="A312" s="22">
        <v>299</v>
      </c>
      <c r="B312" s="25" t="s">
        <v>1768</v>
      </c>
      <c r="C312" s="194" t="s">
        <v>805</v>
      </c>
      <c r="D312" s="195"/>
      <c r="E312" s="195"/>
      <c r="F312" s="196"/>
      <c r="G312" s="32" t="s">
        <v>1770</v>
      </c>
      <c r="H312" s="25" t="s">
        <v>1769</v>
      </c>
      <c r="I312" s="33">
        <v>1</v>
      </c>
      <c r="J312" s="33">
        <v>0</v>
      </c>
      <c r="K312" s="33">
        <v>0</v>
      </c>
      <c r="L312" s="33">
        <v>0</v>
      </c>
      <c r="M312" s="33">
        <v>0</v>
      </c>
      <c r="N312" s="33">
        <v>0</v>
      </c>
      <c r="O312" s="191" t="s">
        <v>55</v>
      </c>
      <c r="P312" s="192"/>
      <c r="Q312" s="192"/>
      <c r="R312" s="193"/>
      <c r="S312" s="29" t="s">
        <v>51</v>
      </c>
    </row>
    <row r="313" spans="1:19" ht="174.95" customHeight="1" x14ac:dyDescent="0.25">
      <c r="A313" s="31">
        <v>300</v>
      </c>
      <c r="B313" s="25" t="s">
        <v>1768</v>
      </c>
      <c r="C313" s="194" t="s">
        <v>1771</v>
      </c>
      <c r="D313" s="195"/>
      <c r="E313" s="195"/>
      <c r="F313" s="196"/>
      <c r="G313" s="32" t="s">
        <v>1773</v>
      </c>
      <c r="H313" s="25" t="s">
        <v>1772</v>
      </c>
      <c r="I313" s="33">
        <v>1</v>
      </c>
      <c r="J313" s="33">
        <v>0</v>
      </c>
      <c r="K313" s="33">
        <v>0</v>
      </c>
      <c r="L313" s="33">
        <v>0</v>
      </c>
      <c r="M313" s="33">
        <v>0</v>
      </c>
      <c r="N313" s="33">
        <v>0</v>
      </c>
      <c r="O313" s="191" t="s">
        <v>57</v>
      </c>
      <c r="P313" s="192"/>
      <c r="Q313" s="192"/>
      <c r="R313" s="193"/>
      <c r="S313" s="29" t="s">
        <v>53</v>
      </c>
    </row>
    <row r="314" spans="1:19" ht="174.95" customHeight="1" x14ac:dyDescent="0.25">
      <c r="A314" s="22">
        <v>301</v>
      </c>
      <c r="B314" s="25" t="s">
        <v>1774</v>
      </c>
      <c r="C314" s="194" t="s">
        <v>1775</v>
      </c>
      <c r="D314" s="195"/>
      <c r="E314" s="195"/>
      <c r="F314" s="196"/>
      <c r="G314" s="32" t="s">
        <v>1777</v>
      </c>
      <c r="H314" s="25" t="s">
        <v>1776</v>
      </c>
      <c r="I314" s="33">
        <v>1</v>
      </c>
      <c r="J314" s="33">
        <v>0</v>
      </c>
      <c r="K314" s="33">
        <v>0</v>
      </c>
      <c r="L314" s="33">
        <v>0</v>
      </c>
      <c r="M314" s="33">
        <v>0</v>
      </c>
      <c r="N314" s="33">
        <v>0</v>
      </c>
      <c r="O314" s="191" t="s">
        <v>50</v>
      </c>
      <c r="P314" s="192"/>
      <c r="Q314" s="192"/>
      <c r="R314" s="193"/>
      <c r="S314" s="29" t="s">
        <v>51</v>
      </c>
    </row>
    <row r="315" spans="1:19" ht="174.95" customHeight="1" x14ac:dyDescent="0.25">
      <c r="A315" s="31">
        <v>302</v>
      </c>
      <c r="B315" s="25" t="s">
        <v>1774</v>
      </c>
      <c r="C315" s="194" t="s">
        <v>1778</v>
      </c>
      <c r="D315" s="195"/>
      <c r="E315" s="195"/>
      <c r="F315" s="196"/>
      <c r="G315" s="32" t="s">
        <v>1780</v>
      </c>
      <c r="H315" s="25" t="s">
        <v>1779</v>
      </c>
      <c r="I315" s="33">
        <v>1</v>
      </c>
      <c r="J315" s="33">
        <v>0</v>
      </c>
      <c r="K315" s="33">
        <v>0</v>
      </c>
      <c r="L315" s="33">
        <v>0</v>
      </c>
      <c r="M315" s="33">
        <v>0</v>
      </c>
      <c r="N315" s="33">
        <v>0</v>
      </c>
      <c r="O315" s="191" t="s">
        <v>57</v>
      </c>
      <c r="P315" s="192"/>
      <c r="Q315" s="192"/>
      <c r="R315" s="193"/>
      <c r="S315" s="29" t="s">
        <v>53</v>
      </c>
    </row>
    <row r="316" spans="1:19" ht="150" customHeight="1" x14ac:dyDescent="0.25">
      <c r="A316" s="22">
        <v>303</v>
      </c>
      <c r="B316" s="25" t="s">
        <v>1781</v>
      </c>
      <c r="C316" s="194" t="s">
        <v>1782</v>
      </c>
      <c r="D316" s="195"/>
      <c r="E316" s="195"/>
      <c r="F316" s="196"/>
      <c r="G316" s="32" t="s">
        <v>1784</v>
      </c>
      <c r="H316" s="25" t="s">
        <v>1783</v>
      </c>
      <c r="I316" s="33">
        <v>0</v>
      </c>
      <c r="J316" s="33">
        <v>1</v>
      </c>
      <c r="K316" s="33">
        <v>0</v>
      </c>
      <c r="L316" s="33">
        <v>0</v>
      </c>
      <c r="M316" s="33">
        <v>0</v>
      </c>
      <c r="N316" s="33">
        <v>0</v>
      </c>
      <c r="O316" s="191" t="s">
        <v>57</v>
      </c>
      <c r="P316" s="192"/>
      <c r="Q316" s="192"/>
      <c r="R316" s="193"/>
      <c r="S316" s="29" t="s">
        <v>1785</v>
      </c>
    </row>
    <row r="317" spans="1:19" ht="150" customHeight="1" x14ac:dyDescent="0.25">
      <c r="A317" s="31">
        <v>304</v>
      </c>
      <c r="B317" s="25" t="s">
        <v>1786</v>
      </c>
      <c r="C317" s="194" t="s">
        <v>1787</v>
      </c>
      <c r="D317" s="195"/>
      <c r="E317" s="195"/>
      <c r="F317" s="196"/>
      <c r="G317" s="32" t="s">
        <v>1789</v>
      </c>
      <c r="H317" s="25" t="s">
        <v>1788</v>
      </c>
      <c r="I317" s="33">
        <v>0</v>
      </c>
      <c r="J317" s="33">
        <v>1</v>
      </c>
      <c r="K317" s="33">
        <v>0</v>
      </c>
      <c r="L317" s="33">
        <v>0</v>
      </c>
      <c r="M317" s="33">
        <v>0</v>
      </c>
      <c r="N317" s="33">
        <v>0</v>
      </c>
      <c r="O317" s="191" t="s">
        <v>54</v>
      </c>
      <c r="P317" s="192"/>
      <c r="Q317" s="192"/>
      <c r="R317" s="193"/>
      <c r="S317" s="29" t="s">
        <v>70</v>
      </c>
    </row>
    <row r="318" spans="1:19" ht="150" customHeight="1" x14ac:dyDescent="0.25">
      <c r="A318" s="22">
        <v>305</v>
      </c>
      <c r="B318" s="25" t="s">
        <v>1786</v>
      </c>
      <c r="C318" s="194" t="s">
        <v>1790</v>
      </c>
      <c r="D318" s="195"/>
      <c r="E318" s="195"/>
      <c r="F318" s="196"/>
      <c r="G318" s="32" t="s">
        <v>1792</v>
      </c>
      <c r="H318" s="25" t="s">
        <v>1791</v>
      </c>
      <c r="I318" s="33">
        <v>1</v>
      </c>
      <c r="J318" s="33">
        <v>0</v>
      </c>
      <c r="K318" s="33">
        <v>0</v>
      </c>
      <c r="L318" s="33">
        <v>0</v>
      </c>
      <c r="M318" s="33">
        <v>0</v>
      </c>
      <c r="N318" s="33">
        <v>0</v>
      </c>
      <c r="O318" s="191" t="s">
        <v>57</v>
      </c>
      <c r="P318" s="192"/>
      <c r="Q318" s="192"/>
      <c r="R318" s="193"/>
      <c r="S318" s="29" t="s">
        <v>51</v>
      </c>
    </row>
    <row r="319" spans="1:19" ht="174.95" customHeight="1" x14ac:dyDescent="0.25">
      <c r="A319" s="31">
        <v>306</v>
      </c>
      <c r="B319" s="25" t="s">
        <v>1793</v>
      </c>
      <c r="C319" s="194" t="s">
        <v>1790</v>
      </c>
      <c r="D319" s="195"/>
      <c r="E319" s="195"/>
      <c r="F319" s="196"/>
      <c r="G319" s="32" t="s">
        <v>1795</v>
      </c>
      <c r="H319" s="25" t="s">
        <v>1794</v>
      </c>
      <c r="I319" s="33">
        <v>1</v>
      </c>
      <c r="J319" s="33">
        <v>0</v>
      </c>
      <c r="K319" s="33">
        <v>0</v>
      </c>
      <c r="L319" s="33">
        <v>0</v>
      </c>
      <c r="M319" s="33">
        <v>0</v>
      </c>
      <c r="N319" s="33">
        <v>0</v>
      </c>
      <c r="O319" s="191" t="s">
        <v>57</v>
      </c>
      <c r="P319" s="192"/>
      <c r="Q319" s="192"/>
      <c r="R319" s="193"/>
      <c r="S319" s="29" t="s">
        <v>49</v>
      </c>
    </row>
    <row r="320" spans="1:19" ht="174.95" customHeight="1" x14ac:dyDescent="0.25">
      <c r="A320" s="22">
        <v>307</v>
      </c>
      <c r="B320" s="25" t="s">
        <v>1796</v>
      </c>
      <c r="C320" s="194" t="s">
        <v>1797</v>
      </c>
      <c r="D320" s="195"/>
      <c r="E320" s="195"/>
      <c r="F320" s="196"/>
      <c r="G320" s="32" t="s">
        <v>1799</v>
      </c>
      <c r="H320" s="25" t="s">
        <v>1798</v>
      </c>
      <c r="I320" s="33">
        <v>1</v>
      </c>
      <c r="J320" s="33">
        <v>0</v>
      </c>
      <c r="K320" s="33">
        <v>0</v>
      </c>
      <c r="L320" s="33">
        <v>0</v>
      </c>
      <c r="M320" s="33">
        <v>0</v>
      </c>
      <c r="N320" s="33">
        <v>0</v>
      </c>
      <c r="O320" s="191" t="s">
        <v>54</v>
      </c>
      <c r="P320" s="192"/>
      <c r="Q320" s="192"/>
      <c r="R320" s="193"/>
      <c r="S320" s="29" t="s">
        <v>51</v>
      </c>
    </row>
    <row r="321" spans="1:19" ht="150" customHeight="1" x14ac:dyDescent="0.25">
      <c r="A321" s="31">
        <v>308</v>
      </c>
      <c r="B321" s="25" t="s">
        <v>1800</v>
      </c>
      <c r="C321" s="194" t="s">
        <v>1801</v>
      </c>
      <c r="D321" s="195"/>
      <c r="E321" s="195"/>
      <c r="F321" s="196"/>
      <c r="G321" s="32" t="s">
        <v>1803</v>
      </c>
      <c r="H321" s="25" t="s">
        <v>1802</v>
      </c>
      <c r="I321" s="33">
        <v>1</v>
      </c>
      <c r="J321" s="33">
        <v>0</v>
      </c>
      <c r="K321" s="33">
        <v>0</v>
      </c>
      <c r="L321" s="33">
        <v>0</v>
      </c>
      <c r="M321" s="33">
        <v>0</v>
      </c>
      <c r="N321" s="33">
        <v>0</v>
      </c>
      <c r="O321" s="191" t="s">
        <v>54</v>
      </c>
      <c r="P321" s="192"/>
      <c r="Q321" s="192"/>
      <c r="R321" s="193"/>
      <c r="S321" s="29" t="s">
        <v>53</v>
      </c>
    </row>
    <row r="322" spans="1:19" ht="150" customHeight="1" x14ac:dyDescent="0.25">
      <c r="A322" s="22">
        <v>309</v>
      </c>
      <c r="B322" s="25" t="s">
        <v>1800</v>
      </c>
      <c r="C322" s="194" t="s">
        <v>1804</v>
      </c>
      <c r="D322" s="195"/>
      <c r="E322" s="195"/>
      <c r="F322" s="196"/>
      <c r="G322" s="32" t="s">
        <v>1806</v>
      </c>
      <c r="H322" s="25" t="s">
        <v>1805</v>
      </c>
      <c r="I322" s="33">
        <v>1</v>
      </c>
      <c r="J322" s="33">
        <v>0</v>
      </c>
      <c r="K322" s="33">
        <v>0</v>
      </c>
      <c r="L322" s="33">
        <v>0</v>
      </c>
      <c r="M322" s="33">
        <v>0</v>
      </c>
      <c r="N322" s="33">
        <v>0</v>
      </c>
      <c r="O322" s="191" t="s">
        <v>57</v>
      </c>
      <c r="P322" s="192"/>
      <c r="Q322" s="192"/>
      <c r="R322" s="193"/>
      <c r="S322" s="29" t="s">
        <v>53</v>
      </c>
    </row>
    <row r="323" spans="1:19" ht="174.95" customHeight="1" x14ac:dyDescent="0.25">
      <c r="A323" s="31">
        <v>310</v>
      </c>
      <c r="B323" s="25" t="s">
        <v>1807</v>
      </c>
      <c r="C323" s="194" t="s">
        <v>1808</v>
      </c>
      <c r="D323" s="195"/>
      <c r="E323" s="195"/>
      <c r="F323" s="196"/>
      <c r="G323" s="32" t="s">
        <v>1810</v>
      </c>
      <c r="H323" s="25" t="s">
        <v>1809</v>
      </c>
      <c r="I323" s="33">
        <v>1</v>
      </c>
      <c r="J323" s="33">
        <v>0</v>
      </c>
      <c r="K323" s="33">
        <v>0</v>
      </c>
      <c r="L323" s="33">
        <v>0</v>
      </c>
      <c r="M323" s="33">
        <v>0</v>
      </c>
      <c r="N323" s="33">
        <v>0</v>
      </c>
      <c r="O323" s="191" t="s">
        <v>54</v>
      </c>
      <c r="P323" s="192"/>
      <c r="Q323" s="192"/>
      <c r="R323" s="193"/>
      <c r="S323" s="29" t="s">
        <v>56</v>
      </c>
    </row>
    <row r="324" spans="1:19" ht="150" customHeight="1" x14ac:dyDescent="0.25">
      <c r="A324" s="22">
        <v>311</v>
      </c>
      <c r="B324" s="25" t="s">
        <v>1807</v>
      </c>
      <c r="C324" s="194" t="s">
        <v>1811</v>
      </c>
      <c r="D324" s="195"/>
      <c r="E324" s="195"/>
      <c r="F324" s="196"/>
      <c r="G324" s="32" t="s">
        <v>1813</v>
      </c>
      <c r="H324" s="25" t="s">
        <v>1812</v>
      </c>
      <c r="I324" s="33">
        <v>1</v>
      </c>
      <c r="J324" s="33">
        <v>0</v>
      </c>
      <c r="K324" s="33">
        <v>0</v>
      </c>
      <c r="L324" s="33">
        <v>0</v>
      </c>
      <c r="M324" s="33">
        <v>0</v>
      </c>
      <c r="N324" s="33">
        <v>0</v>
      </c>
      <c r="O324" s="191" t="s">
        <v>57</v>
      </c>
      <c r="P324" s="192"/>
      <c r="Q324" s="192"/>
      <c r="R324" s="193"/>
      <c r="S324" s="29" t="s">
        <v>62</v>
      </c>
    </row>
    <row r="325" spans="1:19" ht="150" customHeight="1" x14ac:dyDescent="0.25">
      <c r="A325" s="31">
        <v>312</v>
      </c>
      <c r="B325" s="25" t="s">
        <v>1814</v>
      </c>
      <c r="C325" s="194" t="s">
        <v>1815</v>
      </c>
      <c r="D325" s="195"/>
      <c r="E325" s="195"/>
      <c r="F325" s="196"/>
      <c r="G325" s="32" t="s">
        <v>1817</v>
      </c>
      <c r="H325" s="25" t="s">
        <v>1816</v>
      </c>
      <c r="I325" s="33">
        <v>1</v>
      </c>
      <c r="J325" s="33">
        <v>0</v>
      </c>
      <c r="K325" s="33">
        <v>0</v>
      </c>
      <c r="L325" s="33">
        <v>0</v>
      </c>
      <c r="M325" s="33">
        <v>0</v>
      </c>
      <c r="N325" s="33">
        <v>0</v>
      </c>
      <c r="O325" s="191" t="s">
        <v>55</v>
      </c>
      <c r="P325" s="192"/>
      <c r="Q325" s="192"/>
      <c r="R325" s="193"/>
      <c r="S325" s="29" t="s">
        <v>51</v>
      </c>
    </row>
    <row r="326" spans="1:19" ht="150" customHeight="1" x14ac:dyDescent="0.25">
      <c r="A326" s="22">
        <v>313</v>
      </c>
      <c r="B326" s="25" t="s">
        <v>1814</v>
      </c>
      <c r="C326" s="194" t="s">
        <v>1818</v>
      </c>
      <c r="D326" s="195"/>
      <c r="E326" s="195"/>
      <c r="F326" s="196"/>
      <c r="G326" s="32" t="s">
        <v>1820</v>
      </c>
      <c r="H326" s="25" t="s">
        <v>1819</v>
      </c>
      <c r="I326" s="33">
        <v>1</v>
      </c>
      <c r="J326" s="33">
        <v>0</v>
      </c>
      <c r="K326" s="33">
        <v>0</v>
      </c>
      <c r="L326" s="33">
        <v>0</v>
      </c>
      <c r="M326" s="33">
        <v>0</v>
      </c>
      <c r="N326" s="33">
        <v>0</v>
      </c>
      <c r="O326" s="191" t="s">
        <v>57</v>
      </c>
      <c r="P326" s="192"/>
      <c r="Q326" s="192"/>
      <c r="R326" s="193"/>
      <c r="S326" s="29" t="s">
        <v>62</v>
      </c>
    </row>
    <row r="327" spans="1:19" ht="150" customHeight="1" x14ac:dyDescent="0.25">
      <c r="A327" s="31">
        <v>314</v>
      </c>
      <c r="B327" s="25" t="s">
        <v>1821</v>
      </c>
      <c r="C327" s="194" t="s">
        <v>1822</v>
      </c>
      <c r="D327" s="195"/>
      <c r="E327" s="195"/>
      <c r="F327" s="196"/>
      <c r="G327" s="32" t="s">
        <v>1824</v>
      </c>
      <c r="H327" s="25" t="s">
        <v>1823</v>
      </c>
      <c r="I327" s="33">
        <v>1</v>
      </c>
      <c r="J327" s="33">
        <v>0</v>
      </c>
      <c r="K327" s="33">
        <v>0</v>
      </c>
      <c r="L327" s="33">
        <v>0</v>
      </c>
      <c r="M327" s="33">
        <v>0</v>
      </c>
      <c r="N327" s="33">
        <v>0</v>
      </c>
      <c r="O327" s="191" t="s">
        <v>57</v>
      </c>
      <c r="P327" s="192"/>
      <c r="Q327" s="192"/>
      <c r="R327" s="193"/>
      <c r="S327" s="29" t="s">
        <v>51</v>
      </c>
    </row>
    <row r="328" spans="1:19" ht="150" customHeight="1" x14ac:dyDescent="0.25">
      <c r="A328" s="22">
        <v>315</v>
      </c>
      <c r="B328" s="25" t="s">
        <v>1825</v>
      </c>
      <c r="C328" s="194" t="s">
        <v>1826</v>
      </c>
      <c r="D328" s="195"/>
      <c r="E328" s="195"/>
      <c r="F328" s="196"/>
      <c r="G328" s="32" t="s">
        <v>1828</v>
      </c>
      <c r="H328" s="25" t="s">
        <v>1827</v>
      </c>
      <c r="I328" s="33">
        <v>1</v>
      </c>
      <c r="J328" s="33">
        <v>0</v>
      </c>
      <c r="K328" s="33">
        <v>0</v>
      </c>
      <c r="L328" s="33">
        <v>0</v>
      </c>
      <c r="M328" s="33">
        <v>0</v>
      </c>
      <c r="N328" s="33">
        <v>0</v>
      </c>
      <c r="O328" s="191" t="s">
        <v>50</v>
      </c>
      <c r="P328" s="192"/>
      <c r="Q328" s="192"/>
      <c r="R328" s="193"/>
      <c r="S328" s="29" t="s">
        <v>51</v>
      </c>
    </row>
    <row r="329" spans="1:19" ht="150" customHeight="1" x14ac:dyDescent="0.25">
      <c r="A329" s="31">
        <v>316</v>
      </c>
      <c r="B329" s="25" t="s">
        <v>1825</v>
      </c>
      <c r="C329" s="194" t="s">
        <v>1829</v>
      </c>
      <c r="D329" s="195"/>
      <c r="E329" s="195"/>
      <c r="F329" s="196"/>
      <c r="G329" s="32" t="s">
        <v>1831</v>
      </c>
      <c r="H329" s="25" t="s">
        <v>1830</v>
      </c>
      <c r="I329" s="33">
        <v>0</v>
      </c>
      <c r="J329" s="33">
        <v>1</v>
      </c>
      <c r="K329" s="33">
        <v>0</v>
      </c>
      <c r="L329" s="33">
        <v>0</v>
      </c>
      <c r="M329" s="33">
        <v>0</v>
      </c>
      <c r="N329" s="33">
        <v>0</v>
      </c>
      <c r="O329" s="191" t="s">
        <v>57</v>
      </c>
      <c r="P329" s="192"/>
      <c r="Q329" s="192"/>
      <c r="R329" s="193"/>
      <c r="S329" s="29" t="s">
        <v>73</v>
      </c>
    </row>
    <row r="330" spans="1:19" ht="150" customHeight="1" x14ac:dyDescent="0.25">
      <c r="A330" s="22">
        <v>317</v>
      </c>
      <c r="B330" s="25" t="s">
        <v>1832</v>
      </c>
      <c r="C330" s="194" t="s">
        <v>1011</v>
      </c>
      <c r="D330" s="195"/>
      <c r="E330" s="195"/>
      <c r="F330" s="196"/>
      <c r="G330" s="32" t="s">
        <v>1834</v>
      </c>
      <c r="H330" s="25" t="s">
        <v>1833</v>
      </c>
      <c r="I330" s="33">
        <v>1</v>
      </c>
      <c r="J330" s="33">
        <v>0</v>
      </c>
      <c r="K330" s="33">
        <v>0</v>
      </c>
      <c r="L330" s="33">
        <v>0</v>
      </c>
      <c r="M330" s="33">
        <v>0</v>
      </c>
      <c r="N330" s="33">
        <v>0</v>
      </c>
      <c r="O330" s="191" t="s">
        <v>55</v>
      </c>
      <c r="P330" s="192"/>
      <c r="Q330" s="192"/>
      <c r="R330" s="193"/>
      <c r="S330" s="29" t="s">
        <v>51</v>
      </c>
    </row>
    <row r="331" spans="1:19" ht="174.95" customHeight="1" x14ac:dyDescent="0.25">
      <c r="A331" s="31">
        <v>318</v>
      </c>
      <c r="B331" s="25" t="s">
        <v>1832</v>
      </c>
      <c r="C331" s="194" t="s">
        <v>1835</v>
      </c>
      <c r="D331" s="195"/>
      <c r="E331" s="195"/>
      <c r="F331" s="196"/>
      <c r="G331" s="32" t="s">
        <v>1837</v>
      </c>
      <c r="H331" s="25" t="s">
        <v>1836</v>
      </c>
      <c r="I331" s="33">
        <v>1</v>
      </c>
      <c r="J331" s="33">
        <v>0</v>
      </c>
      <c r="K331" s="33">
        <v>0</v>
      </c>
      <c r="L331" s="33">
        <v>0</v>
      </c>
      <c r="M331" s="33">
        <v>0</v>
      </c>
      <c r="N331" s="33">
        <v>0</v>
      </c>
      <c r="O331" s="191" t="s">
        <v>57</v>
      </c>
      <c r="P331" s="192"/>
      <c r="Q331" s="192"/>
      <c r="R331" s="193"/>
      <c r="S331" s="29" t="s">
        <v>51</v>
      </c>
    </row>
    <row r="332" spans="1:19" ht="174.95" customHeight="1" x14ac:dyDescent="0.25">
      <c r="A332" s="22">
        <v>319</v>
      </c>
      <c r="B332" s="25" t="s">
        <v>1838</v>
      </c>
      <c r="C332" s="194" t="s">
        <v>1839</v>
      </c>
      <c r="D332" s="195"/>
      <c r="E332" s="195"/>
      <c r="F332" s="196"/>
      <c r="G332" s="32" t="s">
        <v>1841</v>
      </c>
      <c r="H332" s="25" t="s">
        <v>1840</v>
      </c>
      <c r="I332" s="33">
        <v>1</v>
      </c>
      <c r="J332" s="33">
        <v>0</v>
      </c>
      <c r="K332" s="33">
        <v>0</v>
      </c>
      <c r="L332" s="33">
        <v>0</v>
      </c>
      <c r="M332" s="33">
        <v>0</v>
      </c>
      <c r="N332" s="33">
        <v>0</v>
      </c>
      <c r="O332" s="191" t="s">
        <v>57</v>
      </c>
      <c r="P332" s="192"/>
      <c r="Q332" s="192"/>
      <c r="R332" s="193"/>
      <c r="S332" s="29" t="s">
        <v>61</v>
      </c>
    </row>
    <row r="333" spans="1:19" ht="150" customHeight="1" x14ac:dyDescent="0.25">
      <c r="A333" s="31">
        <v>320</v>
      </c>
      <c r="B333" s="25" t="s">
        <v>1842</v>
      </c>
      <c r="C333" s="194" t="s">
        <v>1843</v>
      </c>
      <c r="D333" s="195"/>
      <c r="E333" s="195"/>
      <c r="F333" s="196"/>
      <c r="G333" s="32" t="s">
        <v>1845</v>
      </c>
      <c r="H333" s="25" t="s">
        <v>1844</v>
      </c>
      <c r="I333" s="33">
        <v>1</v>
      </c>
      <c r="J333" s="33">
        <v>0</v>
      </c>
      <c r="K333" s="33">
        <v>0</v>
      </c>
      <c r="L333" s="33">
        <v>0</v>
      </c>
      <c r="M333" s="33">
        <v>0</v>
      </c>
      <c r="N333" s="33">
        <v>0</v>
      </c>
      <c r="O333" s="191" t="s">
        <v>50</v>
      </c>
      <c r="P333" s="192"/>
      <c r="Q333" s="192"/>
      <c r="R333" s="193"/>
      <c r="S333" s="29" t="s">
        <v>51</v>
      </c>
    </row>
    <row r="334" spans="1:19" ht="150" customHeight="1" x14ac:dyDescent="0.25">
      <c r="A334" s="22">
        <v>321</v>
      </c>
      <c r="B334" s="25" t="s">
        <v>1842</v>
      </c>
      <c r="C334" s="194" t="s">
        <v>1716</v>
      </c>
      <c r="D334" s="195"/>
      <c r="E334" s="195"/>
      <c r="F334" s="196"/>
      <c r="G334" s="32" t="s">
        <v>1847</v>
      </c>
      <c r="H334" s="25" t="s">
        <v>1846</v>
      </c>
      <c r="I334" s="33">
        <v>1</v>
      </c>
      <c r="J334" s="33">
        <v>0</v>
      </c>
      <c r="K334" s="33">
        <v>0</v>
      </c>
      <c r="L334" s="33">
        <v>0</v>
      </c>
      <c r="M334" s="33">
        <v>0</v>
      </c>
      <c r="N334" s="33">
        <v>0</v>
      </c>
      <c r="O334" s="191" t="s">
        <v>57</v>
      </c>
      <c r="P334" s="192"/>
      <c r="Q334" s="192"/>
      <c r="R334" s="193"/>
      <c r="S334" s="29" t="s">
        <v>51</v>
      </c>
    </row>
    <row r="335" spans="1:19" ht="150" customHeight="1" x14ac:dyDescent="0.25">
      <c r="A335" s="31">
        <v>322</v>
      </c>
      <c r="B335" s="25" t="s">
        <v>1848</v>
      </c>
      <c r="C335" s="194" t="s">
        <v>1849</v>
      </c>
      <c r="D335" s="195"/>
      <c r="E335" s="195"/>
      <c r="F335" s="196"/>
      <c r="G335" s="32" t="s">
        <v>1851</v>
      </c>
      <c r="H335" s="25" t="s">
        <v>1850</v>
      </c>
      <c r="I335" s="33">
        <v>1</v>
      </c>
      <c r="J335" s="33">
        <v>0</v>
      </c>
      <c r="K335" s="33">
        <v>0</v>
      </c>
      <c r="L335" s="33">
        <v>0</v>
      </c>
      <c r="M335" s="33">
        <v>0</v>
      </c>
      <c r="N335" s="33">
        <v>0</v>
      </c>
      <c r="O335" s="191" t="s">
        <v>57</v>
      </c>
      <c r="P335" s="192"/>
      <c r="Q335" s="192"/>
      <c r="R335" s="193"/>
      <c r="S335" s="29" t="s">
        <v>51</v>
      </c>
    </row>
    <row r="336" spans="1:19" ht="150" customHeight="1" x14ac:dyDescent="0.25">
      <c r="A336" s="22">
        <v>323</v>
      </c>
      <c r="B336" s="25" t="s">
        <v>1852</v>
      </c>
      <c r="C336" s="194" t="s">
        <v>1853</v>
      </c>
      <c r="D336" s="195"/>
      <c r="E336" s="195"/>
      <c r="F336" s="196"/>
      <c r="G336" s="32" t="s">
        <v>1855</v>
      </c>
      <c r="H336" s="25" t="s">
        <v>1854</v>
      </c>
      <c r="I336" s="33">
        <v>1</v>
      </c>
      <c r="J336" s="33">
        <v>0</v>
      </c>
      <c r="K336" s="33">
        <v>0</v>
      </c>
      <c r="L336" s="33">
        <v>0</v>
      </c>
      <c r="M336" s="33">
        <v>0</v>
      </c>
      <c r="N336" s="33">
        <v>0</v>
      </c>
      <c r="O336" s="191" t="s">
        <v>57</v>
      </c>
      <c r="P336" s="192"/>
      <c r="Q336" s="192"/>
      <c r="R336" s="193"/>
      <c r="S336" s="29" t="s">
        <v>53</v>
      </c>
    </row>
    <row r="337" spans="1:19" ht="150" customHeight="1" x14ac:dyDescent="0.25">
      <c r="A337" s="31">
        <v>324</v>
      </c>
      <c r="B337" s="25" t="s">
        <v>1856</v>
      </c>
      <c r="C337" s="194" t="s">
        <v>1857</v>
      </c>
      <c r="D337" s="195"/>
      <c r="E337" s="195"/>
      <c r="F337" s="196"/>
      <c r="G337" s="32" t="s">
        <v>1859</v>
      </c>
      <c r="H337" s="25" t="s">
        <v>1858</v>
      </c>
      <c r="I337" s="33">
        <v>1</v>
      </c>
      <c r="J337" s="33">
        <v>0</v>
      </c>
      <c r="K337" s="33">
        <v>0</v>
      </c>
      <c r="L337" s="33">
        <v>0</v>
      </c>
      <c r="M337" s="33">
        <v>0</v>
      </c>
      <c r="N337" s="33">
        <v>0</v>
      </c>
      <c r="O337" s="191" t="s">
        <v>54</v>
      </c>
      <c r="P337" s="192"/>
      <c r="Q337" s="192"/>
      <c r="R337" s="193"/>
      <c r="S337" s="29" t="s">
        <v>62</v>
      </c>
    </row>
    <row r="338" spans="1:19" ht="150" customHeight="1" x14ac:dyDescent="0.25">
      <c r="A338" s="22">
        <v>325</v>
      </c>
      <c r="B338" s="25" t="s">
        <v>1856</v>
      </c>
      <c r="C338" s="194" t="s">
        <v>1860</v>
      </c>
      <c r="D338" s="195"/>
      <c r="E338" s="195"/>
      <c r="F338" s="196"/>
      <c r="G338" s="32" t="s">
        <v>1862</v>
      </c>
      <c r="H338" s="25" t="s">
        <v>1861</v>
      </c>
      <c r="I338" s="33">
        <v>1</v>
      </c>
      <c r="J338" s="33">
        <v>0</v>
      </c>
      <c r="K338" s="33">
        <v>0</v>
      </c>
      <c r="L338" s="33">
        <v>0</v>
      </c>
      <c r="M338" s="33">
        <v>0</v>
      </c>
      <c r="N338" s="33">
        <v>0</v>
      </c>
      <c r="O338" s="191" t="s">
        <v>57</v>
      </c>
      <c r="P338" s="192"/>
      <c r="Q338" s="192"/>
      <c r="R338" s="193"/>
      <c r="S338" s="29" t="s">
        <v>51</v>
      </c>
    </row>
    <row r="339" spans="1:19" ht="150" customHeight="1" x14ac:dyDescent="0.25">
      <c r="A339" s="31">
        <v>326</v>
      </c>
      <c r="B339" s="25" t="s">
        <v>1863</v>
      </c>
      <c r="C339" s="194" t="s">
        <v>1864</v>
      </c>
      <c r="D339" s="195"/>
      <c r="E339" s="195"/>
      <c r="F339" s="196"/>
      <c r="G339" s="32" t="s">
        <v>1866</v>
      </c>
      <c r="H339" s="25" t="s">
        <v>1865</v>
      </c>
      <c r="I339" s="33">
        <v>1</v>
      </c>
      <c r="J339" s="33">
        <v>0</v>
      </c>
      <c r="K339" s="33">
        <v>0</v>
      </c>
      <c r="L339" s="33">
        <v>0</v>
      </c>
      <c r="M339" s="33">
        <v>0</v>
      </c>
      <c r="N339" s="33">
        <v>0</v>
      </c>
      <c r="O339" s="191" t="s">
        <v>54</v>
      </c>
      <c r="P339" s="192"/>
      <c r="Q339" s="192"/>
      <c r="R339" s="193"/>
      <c r="S339" s="29" t="s">
        <v>60</v>
      </c>
    </row>
    <row r="340" spans="1:19" ht="174.95" customHeight="1" x14ac:dyDescent="0.25">
      <c r="A340" s="22">
        <v>327</v>
      </c>
      <c r="B340" s="25" t="s">
        <v>1867</v>
      </c>
      <c r="C340" s="194" t="s">
        <v>1868</v>
      </c>
      <c r="D340" s="195"/>
      <c r="E340" s="195"/>
      <c r="F340" s="196"/>
      <c r="G340" s="32" t="s">
        <v>1870</v>
      </c>
      <c r="H340" s="25" t="s">
        <v>1869</v>
      </c>
      <c r="I340" s="33">
        <v>0</v>
      </c>
      <c r="J340" s="33">
        <v>1</v>
      </c>
      <c r="K340" s="33">
        <v>0</v>
      </c>
      <c r="L340" s="33">
        <v>0</v>
      </c>
      <c r="M340" s="33">
        <v>0</v>
      </c>
      <c r="N340" s="33">
        <v>0</v>
      </c>
      <c r="O340" s="191" t="s">
        <v>50</v>
      </c>
      <c r="P340" s="192"/>
      <c r="Q340" s="192"/>
      <c r="R340" s="193"/>
      <c r="S340" s="29" t="s">
        <v>2436</v>
      </c>
    </row>
    <row r="341" spans="1:19" ht="150" customHeight="1" x14ac:dyDescent="0.25">
      <c r="A341" s="31">
        <v>328</v>
      </c>
      <c r="B341" s="25" t="s">
        <v>1871</v>
      </c>
      <c r="C341" s="194" t="s">
        <v>1872</v>
      </c>
      <c r="D341" s="195"/>
      <c r="E341" s="195"/>
      <c r="F341" s="196"/>
      <c r="G341" s="32" t="s">
        <v>1874</v>
      </c>
      <c r="H341" s="25" t="s">
        <v>1873</v>
      </c>
      <c r="I341" s="33">
        <v>1</v>
      </c>
      <c r="J341" s="33">
        <v>0</v>
      </c>
      <c r="K341" s="33">
        <v>0</v>
      </c>
      <c r="L341" s="33">
        <v>0</v>
      </c>
      <c r="M341" s="33">
        <v>0</v>
      </c>
      <c r="N341" s="33">
        <v>0</v>
      </c>
      <c r="O341" s="191" t="s">
        <v>54</v>
      </c>
      <c r="P341" s="192"/>
      <c r="Q341" s="192"/>
      <c r="R341" s="193"/>
      <c r="S341" s="29" t="s">
        <v>51</v>
      </c>
    </row>
    <row r="342" spans="1:19" ht="150" customHeight="1" x14ac:dyDescent="0.25">
      <c r="A342" s="22">
        <v>329</v>
      </c>
      <c r="B342" s="25" t="s">
        <v>1875</v>
      </c>
      <c r="C342" s="194" t="s">
        <v>1876</v>
      </c>
      <c r="D342" s="195"/>
      <c r="E342" s="195"/>
      <c r="F342" s="196"/>
      <c r="G342" s="32" t="s">
        <v>1878</v>
      </c>
      <c r="H342" s="25" t="s">
        <v>1877</v>
      </c>
      <c r="I342" s="33">
        <v>1</v>
      </c>
      <c r="J342" s="33">
        <v>0</v>
      </c>
      <c r="K342" s="33">
        <v>0</v>
      </c>
      <c r="L342" s="33">
        <v>0</v>
      </c>
      <c r="M342" s="33">
        <v>0</v>
      </c>
      <c r="N342" s="33">
        <v>0</v>
      </c>
      <c r="O342" s="191" t="s">
        <v>57</v>
      </c>
      <c r="P342" s="192"/>
      <c r="Q342" s="192"/>
      <c r="R342" s="193"/>
      <c r="S342" s="29" t="s">
        <v>51</v>
      </c>
    </row>
    <row r="343" spans="1:19" ht="150" customHeight="1" x14ac:dyDescent="0.25">
      <c r="A343" s="31">
        <v>330</v>
      </c>
      <c r="B343" s="25" t="s">
        <v>1879</v>
      </c>
      <c r="C343" s="194" t="s">
        <v>1880</v>
      </c>
      <c r="D343" s="195"/>
      <c r="E343" s="195"/>
      <c r="F343" s="196"/>
      <c r="G343" s="32" t="s">
        <v>1882</v>
      </c>
      <c r="H343" s="25" t="s">
        <v>1881</v>
      </c>
      <c r="I343" s="33">
        <v>0</v>
      </c>
      <c r="J343" s="33">
        <v>1</v>
      </c>
      <c r="K343" s="33">
        <v>0</v>
      </c>
      <c r="L343" s="33">
        <v>0</v>
      </c>
      <c r="M343" s="33">
        <v>0</v>
      </c>
      <c r="N343" s="33">
        <v>0</v>
      </c>
      <c r="O343" s="191" t="s">
        <v>54</v>
      </c>
      <c r="P343" s="192"/>
      <c r="Q343" s="192"/>
      <c r="R343" s="193"/>
      <c r="S343" s="29" t="s">
        <v>58</v>
      </c>
    </row>
    <row r="344" spans="1:19" ht="150" customHeight="1" x14ac:dyDescent="0.25">
      <c r="A344" s="22">
        <v>331</v>
      </c>
      <c r="B344" s="25" t="s">
        <v>1879</v>
      </c>
      <c r="C344" s="194" t="s">
        <v>1883</v>
      </c>
      <c r="D344" s="195"/>
      <c r="E344" s="195"/>
      <c r="F344" s="196"/>
      <c r="G344" s="32" t="s">
        <v>1885</v>
      </c>
      <c r="H344" s="25" t="s">
        <v>1884</v>
      </c>
      <c r="I344" s="33">
        <v>1</v>
      </c>
      <c r="J344" s="33">
        <v>0</v>
      </c>
      <c r="K344" s="33">
        <v>0</v>
      </c>
      <c r="L344" s="33">
        <v>0</v>
      </c>
      <c r="M344" s="33">
        <v>0</v>
      </c>
      <c r="N344" s="33">
        <v>0</v>
      </c>
      <c r="O344" s="191" t="s">
        <v>57</v>
      </c>
      <c r="P344" s="192"/>
      <c r="Q344" s="192"/>
      <c r="R344" s="193"/>
      <c r="S344" s="29" t="s">
        <v>51</v>
      </c>
    </row>
    <row r="345" spans="1:19" ht="150" customHeight="1" x14ac:dyDescent="0.25">
      <c r="A345" s="31">
        <v>332</v>
      </c>
      <c r="B345" s="25" t="s">
        <v>1886</v>
      </c>
      <c r="C345" s="194" t="s">
        <v>1887</v>
      </c>
      <c r="D345" s="195"/>
      <c r="E345" s="195"/>
      <c r="F345" s="196"/>
      <c r="G345" s="32" t="s">
        <v>1889</v>
      </c>
      <c r="H345" s="25" t="s">
        <v>1888</v>
      </c>
      <c r="I345" s="33">
        <v>1</v>
      </c>
      <c r="J345" s="33">
        <v>0</v>
      </c>
      <c r="K345" s="33">
        <v>0</v>
      </c>
      <c r="L345" s="33">
        <v>0</v>
      </c>
      <c r="M345" s="33">
        <v>0</v>
      </c>
      <c r="N345" s="33">
        <v>0</v>
      </c>
      <c r="O345" s="191" t="s">
        <v>57</v>
      </c>
      <c r="P345" s="192"/>
      <c r="Q345" s="192"/>
      <c r="R345" s="193"/>
      <c r="S345" s="29" t="s">
        <v>51</v>
      </c>
    </row>
    <row r="346" spans="1:19" ht="150" customHeight="1" x14ac:dyDescent="0.25">
      <c r="A346" s="22">
        <v>333</v>
      </c>
      <c r="B346" s="25" t="s">
        <v>1890</v>
      </c>
      <c r="C346" s="194" t="s">
        <v>1891</v>
      </c>
      <c r="D346" s="195"/>
      <c r="E346" s="195"/>
      <c r="F346" s="196"/>
      <c r="G346" s="32" t="s">
        <v>1893</v>
      </c>
      <c r="H346" s="25" t="s">
        <v>1892</v>
      </c>
      <c r="I346" s="33">
        <v>1</v>
      </c>
      <c r="J346" s="33">
        <v>0</v>
      </c>
      <c r="K346" s="33">
        <v>0</v>
      </c>
      <c r="L346" s="33">
        <v>0</v>
      </c>
      <c r="M346" s="33">
        <v>0</v>
      </c>
      <c r="N346" s="33">
        <v>0</v>
      </c>
      <c r="O346" s="191" t="s">
        <v>57</v>
      </c>
      <c r="P346" s="192"/>
      <c r="Q346" s="192"/>
      <c r="R346" s="193"/>
      <c r="S346" s="29" t="s">
        <v>51</v>
      </c>
    </row>
    <row r="347" spans="1:19" ht="158.25" customHeight="1" x14ac:dyDescent="0.25">
      <c r="A347" s="31">
        <v>334</v>
      </c>
      <c r="B347" s="25" t="s">
        <v>1894</v>
      </c>
      <c r="C347" s="194" t="s">
        <v>1895</v>
      </c>
      <c r="D347" s="195"/>
      <c r="E347" s="195"/>
      <c r="F347" s="196"/>
      <c r="G347" s="32" t="s">
        <v>1897</v>
      </c>
      <c r="H347" s="25" t="s">
        <v>1896</v>
      </c>
      <c r="I347" s="33">
        <v>0</v>
      </c>
      <c r="J347" s="33">
        <v>1</v>
      </c>
      <c r="K347" s="33">
        <v>0</v>
      </c>
      <c r="L347" s="33">
        <v>0</v>
      </c>
      <c r="M347" s="33">
        <v>0</v>
      </c>
      <c r="N347" s="33">
        <v>0</v>
      </c>
      <c r="O347" s="191" t="s">
        <v>54</v>
      </c>
      <c r="P347" s="192"/>
      <c r="Q347" s="192"/>
      <c r="R347" s="193"/>
      <c r="S347" s="29" t="s">
        <v>1898</v>
      </c>
    </row>
    <row r="348" spans="1:19" ht="150" customHeight="1" x14ac:dyDescent="0.25">
      <c r="A348" s="22">
        <v>335</v>
      </c>
      <c r="B348" s="25" t="s">
        <v>1894</v>
      </c>
      <c r="C348" s="194" t="s">
        <v>1899</v>
      </c>
      <c r="D348" s="195"/>
      <c r="E348" s="195"/>
      <c r="F348" s="196"/>
      <c r="G348" s="32" t="s">
        <v>1901</v>
      </c>
      <c r="H348" s="25" t="s">
        <v>1900</v>
      </c>
      <c r="I348" s="33">
        <v>1</v>
      </c>
      <c r="J348" s="33">
        <v>0</v>
      </c>
      <c r="K348" s="33">
        <v>0</v>
      </c>
      <c r="L348" s="33">
        <v>0</v>
      </c>
      <c r="M348" s="33">
        <v>0</v>
      </c>
      <c r="N348" s="33">
        <v>0</v>
      </c>
      <c r="O348" s="191" t="s">
        <v>57</v>
      </c>
      <c r="P348" s="192"/>
      <c r="Q348" s="192"/>
      <c r="R348" s="193"/>
      <c r="S348" s="29" t="s">
        <v>53</v>
      </c>
    </row>
    <row r="349" spans="1:19" ht="150" customHeight="1" x14ac:dyDescent="0.25">
      <c r="A349" s="31">
        <v>336</v>
      </c>
      <c r="B349" s="25" t="s">
        <v>1902</v>
      </c>
      <c r="C349" s="194" t="s">
        <v>1903</v>
      </c>
      <c r="D349" s="195"/>
      <c r="E349" s="195"/>
      <c r="F349" s="196"/>
      <c r="G349" s="32" t="s">
        <v>1905</v>
      </c>
      <c r="H349" s="25" t="s">
        <v>1904</v>
      </c>
      <c r="I349" s="33">
        <v>1</v>
      </c>
      <c r="J349" s="33">
        <v>0</v>
      </c>
      <c r="K349" s="33">
        <v>0</v>
      </c>
      <c r="L349" s="33">
        <v>0</v>
      </c>
      <c r="M349" s="33">
        <v>0</v>
      </c>
      <c r="N349" s="33">
        <v>0</v>
      </c>
      <c r="O349" s="191" t="s">
        <v>57</v>
      </c>
      <c r="P349" s="192"/>
      <c r="Q349" s="192"/>
      <c r="R349" s="193"/>
      <c r="S349" s="29" t="s">
        <v>56</v>
      </c>
    </row>
    <row r="350" spans="1:19" ht="150" customHeight="1" x14ac:dyDescent="0.25">
      <c r="A350" s="22">
        <v>337</v>
      </c>
      <c r="B350" s="25" t="s">
        <v>1906</v>
      </c>
      <c r="C350" s="194" t="s">
        <v>1907</v>
      </c>
      <c r="D350" s="195"/>
      <c r="E350" s="195"/>
      <c r="F350" s="196"/>
      <c r="G350" s="32" t="s">
        <v>1909</v>
      </c>
      <c r="H350" s="25" t="s">
        <v>1908</v>
      </c>
      <c r="I350" s="33">
        <v>1</v>
      </c>
      <c r="J350" s="33">
        <v>0</v>
      </c>
      <c r="K350" s="33">
        <v>0</v>
      </c>
      <c r="L350" s="33">
        <v>0</v>
      </c>
      <c r="M350" s="33">
        <v>0</v>
      </c>
      <c r="N350" s="33">
        <v>0</v>
      </c>
      <c r="O350" s="191" t="s">
        <v>54</v>
      </c>
      <c r="P350" s="192"/>
      <c r="Q350" s="192"/>
      <c r="R350" s="193"/>
      <c r="S350" s="29" t="s">
        <v>51</v>
      </c>
    </row>
    <row r="351" spans="1:19" ht="150" customHeight="1" x14ac:dyDescent="0.25">
      <c r="A351" s="31">
        <v>338</v>
      </c>
      <c r="B351" s="25" t="s">
        <v>1906</v>
      </c>
      <c r="C351" s="194" t="s">
        <v>928</v>
      </c>
      <c r="D351" s="195"/>
      <c r="E351" s="195"/>
      <c r="F351" s="196"/>
      <c r="G351" s="32" t="s">
        <v>1911</v>
      </c>
      <c r="H351" s="25" t="s">
        <v>1910</v>
      </c>
      <c r="I351" s="33">
        <v>0</v>
      </c>
      <c r="J351" s="33">
        <v>1</v>
      </c>
      <c r="K351" s="33">
        <v>0</v>
      </c>
      <c r="L351" s="33">
        <v>0</v>
      </c>
      <c r="M351" s="33">
        <v>0</v>
      </c>
      <c r="N351" s="33">
        <v>0</v>
      </c>
      <c r="O351" s="191" t="s">
        <v>57</v>
      </c>
      <c r="P351" s="192"/>
      <c r="Q351" s="192"/>
      <c r="R351" s="193"/>
      <c r="S351" s="29" t="s">
        <v>1912</v>
      </c>
    </row>
    <row r="352" spans="1:19" ht="150" customHeight="1" x14ac:dyDescent="0.25">
      <c r="A352" s="22">
        <v>339</v>
      </c>
      <c r="B352" s="25" t="s">
        <v>1913</v>
      </c>
      <c r="C352" s="194" t="s">
        <v>1914</v>
      </c>
      <c r="D352" s="195"/>
      <c r="E352" s="195"/>
      <c r="F352" s="196"/>
      <c r="G352" s="32" t="s">
        <v>1916</v>
      </c>
      <c r="H352" s="25" t="s">
        <v>1915</v>
      </c>
      <c r="I352" s="33">
        <v>1</v>
      </c>
      <c r="J352" s="33">
        <v>0</v>
      </c>
      <c r="K352" s="33">
        <v>0</v>
      </c>
      <c r="L352" s="33">
        <v>0</v>
      </c>
      <c r="M352" s="33">
        <v>0</v>
      </c>
      <c r="N352" s="33">
        <v>0</v>
      </c>
      <c r="O352" s="191" t="s">
        <v>57</v>
      </c>
      <c r="P352" s="192"/>
      <c r="Q352" s="192"/>
      <c r="R352" s="193"/>
      <c r="S352" s="29" t="s">
        <v>51</v>
      </c>
    </row>
    <row r="353" spans="1:19" ht="174.95" customHeight="1" x14ac:dyDescent="0.25">
      <c r="A353" s="31">
        <v>340</v>
      </c>
      <c r="B353" s="25" t="s">
        <v>1917</v>
      </c>
      <c r="C353" s="194" t="s">
        <v>1918</v>
      </c>
      <c r="D353" s="195"/>
      <c r="E353" s="195"/>
      <c r="F353" s="196"/>
      <c r="G353" s="32" t="s">
        <v>1920</v>
      </c>
      <c r="H353" s="25" t="s">
        <v>1919</v>
      </c>
      <c r="I353" s="33">
        <v>1</v>
      </c>
      <c r="J353" s="33">
        <v>0</v>
      </c>
      <c r="K353" s="33">
        <v>0</v>
      </c>
      <c r="L353" s="33">
        <v>0</v>
      </c>
      <c r="M353" s="33">
        <v>0</v>
      </c>
      <c r="N353" s="33">
        <v>0</v>
      </c>
      <c r="O353" s="191" t="s">
        <v>57</v>
      </c>
      <c r="P353" s="192"/>
      <c r="Q353" s="192"/>
      <c r="R353" s="193"/>
      <c r="S353" s="29" t="s">
        <v>56</v>
      </c>
    </row>
    <row r="354" spans="1:19" ht="174.95" customHeight="1" x14ac:dyDescent="0.25">
      <c r="A354" s="22">
        <v>341</v>
      </c>
      <c r="B354" s="25" t="s">
        <v>1921</v>
      </c>
      <c r="C354" s="194" t="s">
        <v>1922</v>
      </c>
      <c r="D354" s="195"/>
      <c r="E354" s="195"/>
      <c r="F354" s="196"/>
      <c r="G354" s="32" t="s">
        <v>1924</v>
      </c>
      <c r="H354" s="25" t="s">
        <v>1923</v>
      </c>
      <c r="I354" s="33">
        <v>1</v>
      </c>
      <c r="J354" s="33">
        <v>0</v>
      </c>
      <c r="K354" s="33">
        <v>0</v>
      </c>
      <c r="L354" s="33">
        <v>0</v>
      </c>
      <c r="M354" s="33">
        <v>0</v>
      </c>
      <c r="N354" s="33">
        <v>0</v>
      </c>
      <c r="O354" s="191" t="s">
        <v>57</v>
      </c>
      <c r="P354" s="192"/>
      <c r="Q354" s="192"/>
      <c r="R354" s="193"/>
      <c r="S354" s="29" t="s">
        <v>51</v>
      </c>
    </row>
    <row r="355" spans="1:19" ht="174.95" customHeight="1" x14ac:dyDescent="0.25">
      <c r="A355" s="31">
        <v>342</v>
      </c>
      <c r="B355" s="25" t="s">
        <v>1925</v>
      </c>
      <c r="C355" s="194" t="s">
        <v>1926</v>
      </c>
      <c r="D355" s="195"/>
      <c r="E355" s="195"/>
      <c r="F355" s="196"/>
      <c r="G355" s="32" t="s">
        <v>1928</v>
      </c>
      <c r="H355" s="25" t="s">
        <v>1927</v>
      </c>
      <c r="I355" s="33">
        <v>1</v>
      </c>
      <c r="J355" s="33">
        <v>0</v>
      </c>
      <c r="K355" s="33">
        <v>0</v>
      </c>
      <c r="L355" s="33">
        <v>0</v>
      </c>
      <c r="M355" s="33">
        <v>0</v>
      </c>
      <c r="N355" s="33">
        <v>0</v>
      </c>
      <c r="O355" s="191" t="s">
        <v>57</v>
      </c>
      <c r="P355" s="192"/>
      <c r="Q355" s="192"/>
      <c r="R355" s="193"/>
      <c r="S355" s="29" t="s">
        <v>61</v>
      </c>
    </row>
    <row r="356" spans="1:19" ht="150" customHeight="1" x14ac:dyDescent="0.25">
      <c r="A356" s="22">
        <v>343</v>
      </c>
      <c r="B356" s="25" t="s">
        <v>1929</v>
      </c>
      <c r="C356" s="194" t="s">
        <v>1698</v>
      </c>
      <c r="D356" s="195"/>
      <c r="E356" s="195"/>
      <c r="F356" s="196"/>
      <c r="G356" s="32" t="s">
        <v>1931</v>
      </c>
      <c r="H356" s="25" t="s">
        <v>1930</v>
      </c>
      <c r="I356" s="33">
        <v>1</v>
      </c>
      <c r="J356" s="33">
        <v>0</v>
      </c>
      <c r="K356" s="33">
        <v>0</v>
      </c>
      <c r="L356" s="33">
        <v>0</v>
      </c>
      <c r="M356" s="33">
        <v>0</v>
      </c>
      <c r="N356" s="33">
        <v>0</v>
      </c>
      <c r="O356" s="191" t="s">
        <v>55</v>
      </c>
      <c r="P356" s="192"/>
      <c r="Q356" s="192"/>
      <c r="R356" s="193"/>
      <c r="S356" s="29" t="s">
        <v>51</v>
      </c>
    </row>
    <row r="357" spans="1:19" ht="150" customHeight="1" x14ac:dyDescent="0.25">
      <c r="A357" s="31">
        <v>344</v>
      </c>
      <c r="B357" s="25" t="s">
        <v>1932</v>
      </c>
      <c r="C357" s="194" t="s">
        <v>708</v>
      </c>
      <c r="D357" s="195"/>
      <c r="E357" s="195"/>
      <c r="F357" s="196"/>
      <c r="G357" s="32" t="s">
        <v>1934</v>
      </c>
      <c r="H357" s="25" t="s">
        <v>1933</v>
      </c>
      <c r="I357" s="33">
        <v>0</v>
      </c>
      <c r="J357" s="33">
        <v>1</v>
      </c>
      <c r="K357" s="33">
        <v>0</v>
      </c>
      <c r="L357" s="33">
        <v>0</v>
      </c>
      <c r="M357" s="33">
        <v>0</v>
      </c>
      <c r="N357" s="33">
        <v>0</v>
      </c>
      <c r="O357" s="191" t="s">
        <v>50</v>
      </c>
      <c r="P357" s="192"/>
      <c r="Q357" s="192"/>
      <c r="R357" s="193"/>
      <c r="S357" s="29" t="s">
        <v>1646</v>
      </c>
    </row>
    <row r="358" spans="1:19" ht="174.95" customHeight="1" x14ac:dyDescent="0.25">
      <c r="A358" s="22">
        <v>345</v>
      </c>
      <c r="B358" s="25" t="s">
        <v>1932</v>
      </c>
      <c r="C358" s="194" t="s">
        <v>1935</v>
      </c>
      <c r="D358" s="195"/>
      <c r="E358" s="195"/>
      <c r="F358" s="196"/>
      <c r="G358" s="32" t="s">
        <v>1937</v>
      </c>
      <c r="H358" s="25" t="s">
        <v>1936</v>
      </c>
      <c r="I358" s="33">
        <v>1</v>
      </c>
      <c r="J358" s="33">
        <v>0</v>
      </c>
      <c r="K358" s="33">
        <v>0</v>
      </c>
      <c r="L358" s="33">
        <v>0</v>
      </c>
      <c r="M358" s="33">
        <v>0</v>
      </c>
      <c r="N358" s="33">
        <v>0</v>
      </c>
      <c r="O358" s="191" t="s">
        <v>54</v>
      </c>
      <c r="P358" s="192"/>
      <c r="Q358" s="192"/>
      <c r="R358" s="193"/>
      <c r="S358" s="29" t="s">
        <v>53</v>
      </c>
    </row>
    <row r="359" spans="1:19" ht="174.95" customHeight="1" x14ac:dyDescent="0.25">
      <c r="A359" s="31">
        <v>346</v>
      </c>
      <c r="B359" s="25" t="s">
        <v>1938</v>
      </c>
      <c r="C359" s="194" t="s">
        <v>1939</v>
      </c>
      <c r="D359" s="195"/>
      <c r="E359" s="195"/>
      <c r="F359" s="196"/>
      <c r="G359" s="32" t="s">
        <v>1941</v>
      </c>
      <c r="H359" s="25" t="s">
        <v>1940</v>
      </c>
      <c r="I359" s="33">
        <v>1</v>
      </c>
      <c r="J359" s="33">
        <v>0</v>
      </c>
      <c r="K359" s="33">
        <v>0</v>
      </c>
      <c r="L359" s="33">
        <v>0</v>
      </c>
      <c r="M359" s="33">
        <v>0</v>
      </c>
      <c r="N359" s="33">
        <v>0</v>
      </c>
      <c r="O359" s="191" t="s">
        <v>50</v>
      </c>
      <c r="P359" s="192"/>
      <c r="Q359" s="192"/>
      <c r="R359" s="193"/>
      <c r="S359" s="29" t="s">
        <v>53</v>
      </c>
    </row>
    <row r="360" spans="1:19" ht="174.95" customHeight="1" x14ac:dyDescent="0.25">
      <c r="A360" s="22">
        <v>347</v>
      </c>
      <c r="B360" s="25" t="s">
        <v>1938</v>
      </c>
      <c r="C360" s="194" t="s">
        <v>1942</v>
      </c>
      <c r="D360" s="195"/>
      <c r="E360" s="195"/>
      <c r="F360" s="196"/>
      <c r="G360" s="32" t="s">
        <v>1944</v>
      </c>
      <c r="H360" s="25" t="s">
        <v>1943</v>
      </c>
      <c r="I360" s="33">
        <v>1</v>
      </c>
      <c r="J360" s="33">
        <v>0</v>
      </c>
      <c r="K360" s="33">
        <v>0</v>
      </c>
      <c r="L360" s="33">
        <v>0</v>
      </c>
      <c r="M360" s="33">
        <v>0</v>
      </c>
      <c r="N360" s="33">
        <v>0</v>
      </c>
      <c r="O360" s="191" t="s">
        <v>57</v>
      </c>
      <c r="P360" s="192"/>
      <c r="Q360" s="192"/>
      <c r="R360" s="193"/>
      <c r="S360" s="29" t="s">
        <v>62</v>
      </c>
    </row>
    <row r="361" spans="1:19" ht="174.95" customHeight="1" x14ac:dyDescent="0.25">
      <c r="A361" s="31">
        <v>348</v>
      </c>
      <c r="B361" s="25" t="s">
        <v>1945</v>
      </c>
      <c r="C361" s="194" t="s">
        <v>1377</v>
      </c>
      <c r="D361" s="195"/>
      <c r="E361" s="195"/>
      <c r="F361" s="196"/>
      <c r="G361" s="32" t="s">
        <v>1947</v>
      </c>
      <c r="H361" s="25" t="s">
        <v>1946</v>
      </c>
      <c r="I361" s="33">
        <v>1</v>
      </c>
      <c r="J361" s="33">
        <v>0</v>
      </c>
      <c r="K361" s="33">
        <v>0</v>
      </c>
      <c r="L361" s="33">
        <v>0</v>
      </c>
      <c r="M361" s="33">
        <v>0</v>
      </c>
      <c r="N361" s="33">
        <v>0</v>
      </c>
      <c r="O361" s="191" t="s">
        <v>55</v>
      </c>
      <c r="P361" s="192"/>
      <c r="Q361" s="192"/>
      <c r="R361" s="193"/>
      <c r="S361" s="29" t="s">
        <v>51</v>
      </c>
    </row>
    <row r="362" spans="1:19" ht="174.95" customHeight="1" x14ac:dyDescent="0.25">
      <c r="A362" s="22">
        <v>349</v>
      </c>
      <c r="B362" s="25" t="s">
        <v>1945</v>
      </c>
      <c r="C362" s="194" t="s">
        <v>1948</v>
      </c>
      <c r="D362" s="195"/>
      <c r="E362" s="195"/>
      <c r="F362" s="196"/>
      <c r="G362" s="32" t="s">
        <v>1950</v>
      </c>
      <c r="H362" s="25" t="s">
        <v>1949</v>
      </c>
      <c r="I362" s="33">
        <v>1</v>
      </c>
      <c r="J362" s="33">
        <v>0</v>
      </c>
      <c r="K362" s="33">
        <v>0</v>
      </c>
      <c r="L362" s="33">
        <v>0</v>
      </c>
      <c r="M362" s="33">
        <v>0</v>
      </c>
      <c r="N362" s="33">
        <v>0</v>
      </c>
      <c r="O362" s="191" t="s">
        <v>48</v>
      </c>
      <c r="P362" s="192"/>
      <c r="Q362" s="192"/>
      <c r="R362" s="193"/>
      <c r="S362" s="29" t="s">
        <v>51</v>
      </c>
    </row>
    <row r="363" spans="1:19" ht="174.95" customHeight="1" x14ac:dyDescent="0.25">
      <c r="A363" s="31">
        <v>350</v>
      </c>
      <c r="B363" s="25" t="s">
        <v>1951</v>
      </c>
      <c r="C363" s="194" t="s">
        <v>1952</v>
      </c>
      <c r="D363" s="195"/>
      <c r="E363" s="195"/>
      <c r="F363" s="196"/>
      <c r="G363" s="32" t="s">
        <v>1954</v>
      </c>
      <c r="H363" s="25" t="s">
        <v>1953</v>
      </c>
      <c r="I363" s="33">
        <v>1</v>
      </c>
      <c r="J363" s="33">
        <v>0</v>
      </c>
      <c r="K363" s="33">
        <v>0</v>
      </c>
      <c r="L363" s="33">
        <v>0</v>
      </c>
      <c r="M363" s="33">
        <v>0</v>
      </c>
      <c r="N363" s="33">
        <v>0</v>
      </c>
      <c r="O363" s="191" t="s">
        <v>54</v>
      </c>
      <c r="P363" s="192"/>
      <c r="Q363" s="192"/>
      <c r="R363" s="193"/>
      <c r="S363" s="29" t="s">
        <v>51</v>
      </c>
    </row>
    <row r="364" spans="1:19" ht="174.95" customHeight="1" x14ac:dyDescent="0.25">
      <c r="A364" s="22">
        <v>351</v>
      </c>
      <c r="B364" s="25" t="s">
        <v>1951</v>
      </c>
      <c r="C364" s="194" t="s">
        <v>1955</v>
      </c>
      <c r="D364" s="195"/>
      <c r="E364" s="195"/>
      <c r="F364" s="196"/>
      <c r="G364" s="32" t="s">
        <v>1957</v>
      </c>
      <c r="H364" s="25" t="s">
        <v>1956</v>
      </c>
      <c r="I364" s="33">
        <v>1</v>
      </c>
      <c r="J364" s="33">
        <v>0</v>
      </c>
      <c r="K364" s="33">
        <v>0</v>
      </c>
      <c r="L364" s="33">
        <v>0</v>
      </c>
      <c r="M364" s="33">
        <v>0</v>
      </c>
      <c r="N364" s="33">
        <v>0</v>
      </c>
      <c r="O364" s="191" t="s">
        <v>57</v>
      </c>
      <c r="P364" s="192"/>
      <c r="Q364" s="192"/>
      <c r="R364" s="193"/>
      <c r="S364" s="29" t="s">
        <v>51</v>
      </c>
    </row>
    <row r="365" spans="1:19" ht="150" customHeight="1" x14ac:dyDescent="0.25">
      <c r="A365" s="31">
        <v>352</v>
      </c>
      <c r="B365" s="25" t="s">
        <v>1958</v>
      </c>
      <c r="C365" s="194" t="s">
        <v>1959</v>
      </c>
      <c r="D365" s="195"/>
      <c r="E365" s="195"/>
      <c r="F365" s="196"/>
      <c r="G365" s="32" t="s">
        <v>1961</v>
      </c>
      <c r="H365" s="25" t="s">
        <v>1960</v>
      </c>
      <c r="I365" s="33">
        <v>1</v>
      </c>
      <c r="J365" s="33">
        <v>0</v>
      </c>
      <c r="K365" s="33">
        <v>0</v>
      </c>
      <c r="L365" s="33">
        <v>0</v>
      </c>
      <c r="M365" s="33">
        <v>0</v>
      </c>
      <c r="N365" s="33">
        <v>0</v>
      </c>
      <c r="O365" s="191" t="s">
        <v>55</v>
      </c>
      <c r="P365" s="192"/>
      <c r="Q365" s="192"/>
      <c r="R365" s="193"/>
      <c r="S365" s="29" t="s">
        <v>51</v>
      </c>
    </row>
    <row r="366" spans="1:19" ht="157.5" customHeight="1" x14ac:dyDescent="0.25">
      <c r="A366" s="22">
        <v>353</v>
      </c>
      <c r="B366" s="25" t="s">
        <v>1958</v>
      </c>
      <c r="C366" s="194" t="s">
        <v>1962</v>
      </c>
      <c r="D366" s="195"/>
      <c r="E366" s="195"/>
      <c r="F366" s="196"/>
      <c r="G366" s="32" t="s">
        <v>1964</v>
      </c>
      <c r="H366" s="25" t="s">
        <v>1963</v>
      </c>
      <c r="I366" s="33">
        <v>1</v>
      </c>
      <c r="J366" s="33">
        <v>0</v>
      </c>
      <c r="K366" s="33">
        <v>0</v>
      </c>
      <c r="L366" s="33">
        <v>0</v>
      </c>
      <c r="M366" s="33">
        <v>0</v>
      </c>
      <c r="N366" s="33">
        <v>0</v>
      </c>
      <c r="O366" s="191" t="s">
        <v>57</v>
      </c>
      <c r="P366" s="192"/>
      <c r="Q366" s="192"/>
      <c r="R366" s="193"/>
      <c r="S366" s="29" t="s">
        <v>51</v>
      </c>
    </row>
    <row r="367" spans="1:19" ht="150" customHeight="1" x14ac:dyDescent="0.25">
      <c r="A367" s="31">
        <v>354</v>
      </c>
      <c r="B367" s="25" t="s">
        <v>1965</v>
      </c>
      <c r="C367" s="194" t="s">
        <v>1966</v>
      </c>
      <c r="D367" s="195"/>
      <c r="E367" s="195"/>
      <c r="F367" s="196"/>
      <c r="G367" s="32" t="s">
        <v>1968</v>
      </c>
      <c r="H367" s="25" t="s">
        <v>1967</v>
      </c>
      <c r="I367" s="33">
        <v>1</v>
      </c>
      <c r="J367" s="33">
        <v>0</v>
      </c>
      <c r="K367" s="33">
        <v>0</v>
      </c>
      <c r="L367" s="33">
        <v>0</v>
      </c>
      <c r="M367" s="33">
        <v>0</v>
      </c>
      <c r="N367" s="33">
        <v>0</v>
      </c>
      <c r="O367" s="191" t="s">
        <v>57</v>
      </c>
      <c r="P367" s="192"/>
      <c r="Q367" s="192"/>
      <c r="R367" s="193"/>
      <c r="S367" s="29" t="s">
        <v>56</v>
      </c>
    </row>
    <row r="368" spans="1:19" ht="150" customHeight="1" x14ac:dyDescent="0.25">
      <c r="A368" s="22">
        <v>355</v>
      </c>
      <c r="B368" s="25" t="s">
        <v>1969</v>
      </c>
      <c r="C368" s="194" t="s">
        <v>866</v>
      </c>
      <c r="D368" s="195"/>
      <c r="E368" s="195"/>
      <c r="F368" s="196"/>
      <c r="G368" s="32" t="s">
        <v>1971</v>
      </c>
      <c r="H368" s="25" t="s">
        <v>1970</v>
      </c>
      <c r="I368" s="33">
        <v>0</v>
      </c>
      <c r="J368" s="33">
        <v>1</v>
      </c>
      <c r="K368" s="33">
        <v>0</v>
      </c>
      <c r="L368" s="33">
        <v>0</v>
      </c>
      <c r="M368" s="33">
        <v>0</v>
      </c>
      <c r="N368" s="33">
        <v>0</v>
      </c>
      <c r="O368" s="191" t="s">
        <v>55</v>
      </c>
      <c r="P368" s="192"/>
      <c r="Q368" s="192"/>
      <c r="R368" s="193"/>
      <c r="S368" s="29" t="s">
        <v>58</v>
      </c>
    </row>
    <row r="369" spans="1:19" ht="150" customHeight="1" x14ac:dyDescent="0.25">
      <c r="A369" s="31">
        <v>356</v>
      </c>
      <c r="B369" s="25" t="s">
        <v>1969</v>
      </c>
      <c r="C369" s="194" t="s">
        <v>1972</v>
      </c>
      <c r="D369" s="195"/>
      <c r="E369" s="195"/>
      <c r="F369" s="196"/>
      <c r="G369" s="32" t="s">
        <v>1974</v>
      </c>
      <c r="H369" s="25" t="s">
        <v>1973</v>
      </c>
      <c r="I369" s="33">
        <v>0</v>
      </c>
      <c r="J369" s="33">
        <v>1</v>
      </c>
      <c r="K369" s="33">
        <v>0</v>
      </c>
      <c r="L369" s="33">
        <v>0</v>
      </c>
      <c r="M369" s="33">
        <v>0</v>
      </c>
      <c r="N369" s="33">
        <v>0</v>
      </c>
      <c r="O369" s="191" t="s">
        <v>57</v>
      </c>
      <c r="P369" s="192"/>
      <c r="Q369" s="192"/>
      <c r="R369" s="193"/>
      <c r="S369" s="29" t="s">
        <v>1975</v>
      </c>
    </row>
    <row r="370" spans="1:19" ht="150" customHeight="1" x14ac:dyDescent="0.25">
      <c r="A370" s="22">
        <v>357</v>
      </c>
      <c r="B370" s="25" t="s">
        <v>1976</v>
      </c>
      <c r="C370" s="194" t="s">
        <v>1977</v>
      </c>
      <c r="D370" s="195"/>
      <c r="E370" s="195"/>
      <c r="F370" s="196"/>
      <c r="G370" s="32" t="s">
        <v>1979</v>
      </c>
      <c r="H370" s="25" t="s">
        <v>1978</v>
      </c>
      <c r="I370" s="33">
        <v>1</v>
      </c>
      <c r="J370" s="33">
        <v>0</v>
      </c>
      <c r="K370" s="33">
        <v>0</v>
      </c>
      <c r="L370" s="33">
        <v>0</v>
      </c>
      <c r="M370" s="33">
        <v>0</v>
      </c>
      <c r="N370" s="33">
        <v>0</v>
      </c>
      <c r="O370" s="191" t="s">
        <v>54</v>
      </c>
      <c r="P370" s="192"/>
      <c r="Q370" s="192"/>
      <c r="R370" s="193"/>
      <c r="S370" s="29" t="s">
        <v>51</v>
      </c>
    </row>
    <row r="371" spans="1:19" ht="150" customHeight="1" x14ac:dyDescent="0.25">
      <c r="A371" s="31">
        <v>358</v>
      </c>
      <c r="B371" s="25" t="s">
        <v>1976</v>
      </c>
      <c r="C371" s="194" t="s">
        <v>1980</v>
      </c>
      <c r="D371" s="195"/>
      <c r="E371" s="195"/>
      <c r="F371" s="196"/>
      <c r="G371" s="32" t="s">
        <v>1982</v>
      </c>
      <c r="H371" s="25" t="s">
        <v>1981</v>
      </c>
      <c r="I371" s="33">
        <v>1</v>
      </c>
      <c r="J371" s="33">
        <v>0</v>
      </c>
      <c r="K371" s="33">
        <v>0</v>
      </c>
      <c r="L371" s="33">
        <v>0</v>
      </c>
      <c r="M371" s="33">
        <v>0</v>
      </c>
      <c r="N371" s="33">
        <v>0</v>
      </c>
      <c r="O371" s="191" t="s">
        <v>48</v>
      </c>
      <c r="P371" s="192"/>
      <c r="Q371" s="192"/>
      <c r="R371" s="193"/>
      <c r="S371" s="29" t="s">
        <v>51</v>
      </c>
    </row>
    <row r="372" spans="1:19" ht="150" customHeight="1" x14ac:dyDescent="0.25">
      <c r="A372" s="22">
        <v>359</v>
      </c>
      <c r="B372" s="25" t="s">
        <v>1983</v>
      </c>
      <c r="C372" s="194" t="s">
        <v>1984</v>
      </c>
      <c r="D372" s="195"/>
      <c r="E372" s="195"/>
      <c r="F372" s="196"/>
      <c r="G372" s="32" t="s">
        <v>1986</v>
      </c>
      <c r="H372" s="25" t="s">
        <v>1985</v>
      </c>
      <c r="I372" s="33">
        <v>1</v>
      </c>
      <c r="J372" s="33">
        <v>0</v>
      </c>
      <c r="K372" s="33">
        <v>0</v>
      </c>
      <c r="L372" s="33">
        <v>0</v>
      </c>
      <c r="M372" s="33">
        <v>0</v>
      </c>
      <c r="N372" s="33">
        <v>0</v>
      </c>
      <c r="O372" s="191" t="s">
        <v>55</v>
      </c>
      <c r="P372" s="192"/>
      <c r="Q372" s="192"/>
      <c r="R372" s="193"/>
      <c r="S372" s="29" t="s">
        <v>51</v>
      </c>
    </row>
    <row r="373" spans="1:19" ht="150" customHeight="1" x14ac:dyDescent="0.25">
      <c r="A373" s="31">
        <v>360</v>
      </c>
      <c r="B373" s="25" t="s">
        <v>1983</v>
      </c>
      <c r="C373" s="194" t="s">
        <v>1987</v>
      </c>
      <c r="D373" s="195"/>
      <c r="E373" s="195"/>
      <c r="F373" s="196"/>
      <c r="G373" s="32" t="s">
        <v>1989</v>
      </c>
      <c r="H373" s="25" t="s">
        <v>1988</v>
      </c>
      <c r="I373" s="33">
        <v>1</v>
      </c>
      <c r="J373" s="33">
        <v>0</v>
      </c>
      <c r="K373" s="33">
        <v>0</v>
      </c>
      <c r="L373" s="33">
        <v>0</v>
      </c>
      <c r="M373" s="33">
        <v>0</v>
      </c>
      <c r="N373" s="33">
        <v>0</v>
      </c>
      <c r="O373" s="191" t="s">
        <v>57</v>
      </c>
      <c r="P373" s="192"/>
      <c r="Q373" s="192"/>
      <c r="R373" s="193"/>
      <c r="S373" s="29" t="s">
        <v>51</v>
      </c>
    </row>
    <row r="374" spans="1:19" ht="150" customHeight="1" x14ac:dyDescent="0.25">
      <c r="A374" s="22">
        <v>361</v>
      </c>
      <c r="B374" s="25" t="s">
        <v>1990</v>
      </c>
      <c r="C374" s="194" t="s">
        <v>1991</v>
      </c>
      <c r="D374" s="195"/>
      <c r="E374" s="195"/>
      <c r="F374" s="196"/>
      <c r="G374" s="32" t="s">
        <v>1993</v>
      </c>
      <c r="H374" s="25" t="s">
        <v>1992</v>
      </c>
      <c r="I374" s="33">
        <v>1</v>
      </c>
      <c r="J374" s="33">
        <v>0</v>
      </c>
      <c r="K374" s="33">
        <v>0</v>
      </c>
      <c r="L374" s="33">
        <v>0</v>
      </c>
      <c r="M374" s="33">
        <v>0</v>
      </c>
      <c r="N374" s="33">
        <v>0</v>
      </c>
      <c r="O374" s="191" t="s">
        <v>55</v>
      </c>
      <c r="P374" s="192"/>
      <c r="Q374" s="192"/>
      <c r="R374" s="193"/>
      <c r="S374" s="29" t="s">
        <v>51</v>
      </c>
    </row>
    <row r="375" spans="1:19" ht="174.95" customHeight="1" x14ac:dyDescent="0.25">
      <c r="A375" s="31">
        <v>362</v>
      </c>
      <c r="B375" s="25" t="s">
        <v>1990</v>
      </c>
      <c r="C375" s="194" t="s">
        <v>1994</v>
      </c>
      <c r="D375" s="195"/>
      <c r="E375" s="195"/>
      <c r="F375" s="196"/>
      <c r="G375" s="32" t="s">
        <v>1996</v>
      </c>
      <c r="H375" s="25" t="s">
        <v>1995</v>
      </c>
      <c r="I375" s="33">
        <v>1</v>
      </c>
      <c r="J375" s="33">
        <v>0</v>
      </c>
      <c r="K375" s="33">
        <v>0</v>
      </c>
      <c r="L375" s="33">
        <v>0</v>
      </c>
      <c r="M375" s="33">
        <v>0</v>
      </c>
      <c r="N375" s="33">
        <v>0</v>
      </c>
      <c r="O375" s="191" t="s">
        <v>57</v>
      </c>
      <c r="P375" s="192"/>
      <c r="Q375" s="192"/>
      <c r="R375" s="193"/>
      <c r="S375" s="29" t="s">
        <v>51</v>
      </c>
    </row>
    <row r="376" spans="1:19" ht="150" customHeight="1" x14ac:dyDescent="0.25">
      <c r="A376" s="22">
        <v>363</v>
      </c>
      <c r="B376" s="25" t="s">
        <v>1997</v>
      </c>
      <c r="C376" s="194" t="s">
        <v>1998</v>
      </c>
      <c r="D376" s="195"/>
      <c r="E376" s="195"/>
      <c r="F376" s="196"/>
      <c r="G376" s="32" t="s">
        <v>2000</v>
      </c>
      <c r="H376" s="25" t="s">
        <v>1999</v>
      </c>
      <c r="I376" s="33">
        <v>1</v>
      </c>
      <c r="J376" s="33">
        <v>0</v>
      </c>
      <c r="K376" s="33">
        <v>0</v>
      </c>
      <c r="L376" s="33">
        <v>0</v>
      </c>
      <c r="M376" s="33">
        <v>0</v>
      </c>
      <c r="N376" s="33">
        <v>0</v>
      </c>
      <c r="O376" s="191" t="s">
        <v>55</v>
      </c>
      <c r="P376" s="192"/>
      <c r="Q376" s="192"/>
      <c r="R376" s="193"/>
      <c r="S376" s="29" t="s">
        <v>51</v>
      </c>
    </row>
    <row r="377" spans="1:19" ht="150" customHeight="1" x14ac:dyDescent="0.25">
      <c r="A377" s="31">
        <v>364</v>
      </c>
      <c r="B377" s="25" t="s">
        <v>1997</v>
      </c>
      <c r="C377" s="194" t="s">
        <v>2001</v>
      </c>
      <c r="D377" s="195"/>
      <c r="E377" s="195"/>
      <c r="F377" s="196"/>
      <c r="G377" s="32" t="s">
        <v>2003</v>
      </c>
      <c r="H377" s="25" t="s">
        <v>2002</v>
      </c>
      <c r="I377" s="33">
        <v>1</v>
      </c>
      <c r="J377" s="33">
        <v>0</v>
      </c>
      <c r="K377" s="33">
        <v>0</v>
      </c>
      <c r="L377" s="33">
        <v>0</v>
      </c>
      <c r="M377" s="33">
        <v>0</v>
      </c>
      <c r="N377" s="33">
        <v>0</v>
      </c>
      <c r="O377" s="191" t="s">
        <v>57</v>
      </c>
      <c r="P377" s="192"/>
      <c r="Q377" s="192"/>
      <c r="R377" s="193"/>
      <c r="S377" s="29" t="s">
        <v>51</v>
      </c>
    </row>
    <row r="378" spans="1:19" ht="150" customHeight="1" x14ac:dyDescent="0.25">
      <c r="A378" s="22">
        <v>365</v>
      </c>
      <c r="B378" s="25" t="s">
        <v>2004</v>
      </c>
      <c r="C378" s="194" t="s">
        <v>2005</v>
      </c>
      <c r="D378" s="195"/>
      <c r="E378" s="195"/>
      <c r="F378" s="196"/>
      <c r="G378" s="32" t="s">
        <v>2007</v>
      </c>
      <c r="H378" s="25" t="s">
        <v>2006</v>
      </c>
      <c r="I378" s="33">
        <v>0</v>
      </c>
      <c r="J378" s="33">
        <v>1</v>
      </c>
      <c r="K378" s="33">
        <v>0</v>
      </c>
      <c r="L378" s="33">
        <v>0</v>
      </c>
      <c r="M378" s="33">
        <v>0</v>
      </c>
      <c r="N378" s="33">
        <v>0</v>
      </c>
      <c r="O378" s="191" t="s">
        <v>50</v>
      </c>
      <c r="P378" s="192"/>
      <c r="Q378" s="192"/>
      <c r="R378" s="193"/>
      <c r="S378" s="29" t="s">
        <v>58</v>
      </c>
    </row>
    <row r="379" spans="1:19" ht="174.95" customHeight="1" x14ac:dyDescent="0.25">
      <c r="A379" s="31">
        <v>366</v>
      </c>
      <c r="B379" s="25" t="s">
        <v>2004</v>
      </c>
      <c r="C379" s="194" t="s">
        <v>2008</v>
      </c>
      <c r="D379" s="195"/>
      <c r="E379" s="195"/>
      <c r="F379" s="196"/>
      <c r="G379" s="32" t="s">
        <v>2010</v>
      </c>
      <c r="H379" s="25" t="s">
        <v>2009</v>
      </c>
      <c r="I379" s="33">
        <v>1</v>
      </c>
      <c r="J379" s="33">
        <v>0</v>
      </c>
      <c r="K379" s="33">
        <v>0</v>
      </c>
      <c r="L379" s="33">
        <v>0</v>
      </c>
      <c r="M379" s="33">
        <v>0</v>
      </c>
      <c r="N379" s="33">
        <v>0</v>
      </c>
      <c r="O379" s="191" t="s">
        <v>48</v>
      </c>
      <c r="P379" s="192"/>
      <c r="Q379" s="192"/>
      <c r="R379" s="193"/>
      <c r="S379" s="29" t="s">
        <v>49</v>
      </c>
    </row>
    <row r="380" spans="1:19" ht="174.95" customHeight="1" x14ac:dyDescent="0.25">
      <c r="A380" s="22">
        <v>367</v>
      </c>
      <c r="B380" s="25" t="s">
        <v>2011</v>
      </c>
      <c r="C380" s="194" t="s">
        <v>2012</v>
      </c>
      <c r="D380" s="195"/>
      <c r="E380" s="195"/>
      <c r="F380" s="196"/>
      <c r="G380" s="32" t="s">
        <v>2014</v>
      </c>
      <c r="H380" s="25" t="s">
        <v>2013</v>
      </c>
      <c r="I380" s="33">
        <v>1</v>
      </c>
      <c r="J380" s="33">
        <v>0</v>
      </c>
      <c r="K380" s="33">
        <v>0</v>
      </c>
      <c r="L380" s="33">
        <v>0</v>
      </c>
      <c r="M380" s="33">
        <v>0</v>
      </c>
      <c r="N380" s="33">
        <v>0</v>
      </c>
      <c r="O380" s="191" t="s">
        <v>50</v>
      </c>
      <c r="P380" s="192"/>
      <c r="Q380" s="192"/>
      <c r="R380" s="193"/>
      <c r="S380" s="29" t="s">
        <v>51</v>
      </c>
    </row>
    <row r="381" spans="1:19" ht="174.95" customHeight="1" x14ac:dyDescent="0.25">
      <c r="A381" s="31">
        <v>368</v>
      </c>
      <c r="B381" s="25" t="s">
        <v>2011</v>
      </c>
      <c r="C381" s="194" t="s">
        <v>2015</v>
      </c>
      <c r="D381" s="195"/>
      <c r="E381" s="195"/>
      <c r="F381" s="196"/>
      <c r="G381" s="32" t="s">
        <v>2017</v>
      </c>
      <c r="H381" s="25" t="s">
        <v>2016</v>
      </c>
      <c r="I381" s="33">
        <v>1</v>
      </c>
      <c r="J381" s="33">
        <v>0</v>
      </c>
      <c r="K381" s="33">
        <v>0</v>
      </c>
      <c r="L381" s="33">
        <v>0</v>
      </c>
      <c r="M381" s="33">
        <v>0</v>
      </c>
      <c r="N381" s="33">
        <v>0</v>
      </c>
      <c r="O381" s="191" t="s">
        <v>48</v>
      </c>
      <c r="P381" s="192"/>
      <c r="Q381" s="192"/>
      <c r="R381" s="193"/>
      <c r="S381" s="29" t="s">
        <v>51</v>
      </c>
    </row>
    <row r="382" spans="1:19" ht="150" customHeight="1" x14ac:dyDescent="0.25">
      <c r="A382" s="22">
        <v>369</v>
      </c>
      <c r="B382" s="25" t="s">
        <v>2018</v>
      </c>
      <c r="C382" s="194" t="s">
        <v>2019</v>
      </c>
      <c r="D382" s="195"/>
      <c r="E382" s="195"/>
      <c r="F382" s="196"/>
      <c r="G382" s="32" t="s">
        <v>2021</v>
      </c>
      <c r="H382" s="25" t="s">
        <v>2020</v>
      </c>
      <c r="I382" s="33">
        <v>1</v>
      </c>
      <c r="J382" s="33">
        <v>0</v>
      </c>
      <c r="K382" s="33">
        <v>0</v>
      </c>
      <c r="L382" s="33">
        <v>0</v>
      </c>
      <c r="M382" s="33">
        <v>0</v>
      </c>
      <c r="N382" s="33">
        <v>0</v>
      </c>
      <c r="O382" s="191" t="s">
        <v>55</v>
      </c>
      <c r="P382" s="192"/>
      <c r="Q382" s="192"/>
      <c r="R382" s="193"/>
      <c r="S382" s="29" t="s">
        <v>51</v>
      </c>
    </row>
    <row r="383" spans="1:19" ht="182.25" customHeight="1" x14ac:dyDescent="0.25">
      <c r="A383" s="31">
        <v>370</v>
      </c>
      <c r="B383" s="25" t="s">
        <v>2018</v>
      </c>
      <c r="C383" s="194" t="s">
        <v>2022</v>
      </c>
      <c r="D383" s="195"/>
      <c r="E383" s="195"/>
      <c r="F383" s="196"/>
      <c r="G383" s="32" t="s">
        <v>2024</v>
      </c>
      <c r="H383" s="25" t="s">
        <v>2023</v>
      </c>
      <c r="I383" s="33">
        <v>1</v>
      </c>
      <c r="J383" s="33">
        <v>0</v>
      </c>
      <c r="K383" s="33">
        <v>0</v>
      </c>
      <c r="L383" s="33">
        <v>0</v>
      </c>
      <c r="M383" s="33">
        <v>0</v>
      </c>
      <c r="N383" s="33">
        <v>0</v>
      </c>
      <c r="O383" s="191" t="s">
        <v>57</v>
      </c>
      <c r="P383" s="192"/>
      <c r="Q383" s="192"/>
      <c r="R383" s="193"/>
      <c r="S383" s="29" t="s">
        <v>51</v>
      </c>
    </row>
    <row r="384" spans="1:19" ht="150" customHeight="1" x14ac:dyDescent="0.25">
      <c r="A384" s="22">
        <v>371</v>
      </c>
      <c r="B384" s="25" t="s">
        <v>2025</v>
      </c>
      <c r="C384" s="194" t="s">
        <v>2026</v>
      </c>
      <c r="D384" s="195"/>
      <c r="E384" s="195"/>
      <c r="F384" s="196"/>
      <c r="G384" s="32" t="s">
        <v>2028</v>
      </c>
      <c r="H384" s="25" t="s">
        <v>2027</v>
      </c>
      <c r="I384" s="33">
        <v>1</v>
      </c>
      <c r="J384" s="33">
        <v>0</v>
      </c>
      <c r="K384" s="33">
        <v>0</v>
      </c>
      <c r="L384" s="33">
        <v>0</v>
      </c>
      <c r="M384" s="33">
        <v>0</v>
      </c>
      <c r="N384" s="33">
        <v>0</v>
      </c>
      <c r="O384" s="191" t="s">
        <v>57</v>
      </c>
      <c r="P384" s="192"/>
      <c r="Q384" s="192"/>
      <c r="R384" s="193"/>
      <c r="S384" s="29" t="s">
        <v>51</v>
      </c>
    </row>
    <row r="385" spans="1:19" ht="150" customHeight="1" x14ac:dyDescent="0.25">
      <c r="A385" s="31">
        <v>372</v>
      </c>
      <c r="B385" s="25" t="s">
        <v>2029</v>
      </c>
      <c r="C385" s="194" t="s">
        <v>2030</v>
      </c>
      <c r="D385" s="195"/>
      <c r="E385" s="195"/>
      <c r="F385" s="196"/>
      <c r="G385" s="32" t="s">
        <v>2032</v>
      </c>
      <c r="H385" s="25" t="s">
        <v>2031</v>
      </c>
      <c r="I385" s="33">
        <v>1</v>
      </c>
      <c r="J385" s="33">
        <v>0</v>
      </c>
      <c r="K385" s="33">
        <v>0</v>
      </c>
      <c r="L385" s="33">
        <v>0</v>
      </c>
      <c r="M385" s="33">
        <v>0</v>
      </c>
      <c r="N385" s="33">
        <v>0</v>
      </c>
      <c r="O385" s="191" t="s">
        <v>55</v>
      </c>
      <c r="P385" s="192"/>
      <c r="Q385" s="192"/>
      <c r="R385" s="193"/>
      <c r="S385" s="29" t="s">
        <v>51</v>
      </c>
    </row>
    <row r="386" spans="1:19" ht="150" customHeight="1" x14ac:dyDescent="0.25">
      <c r="A386" s="22">
        <v>373</v>
      </c>
      <c r="B386" s="25" t="s">
        <v>2029</v>
      </c>
      <c r="C386" s="194" t="s">
        <v>2033</v>
      </c>
      <c r="D386" s="195"/>
      <c r="E386" s="195"/>
      <c r="F386" s="196"/>
      <c r="G386" s="32" t="s">
        <v>2035</v>
      </c>
      <c r="H386" s="25" t="s">
        <v>2034</v>
      </c>
      <c r="I386" s="33">
        <v>1</v>
      </c>
      <c r="J386" s="33">
        <v>0</v>
      </c>
      <c r="K386" s="33">
        <v>0</v>
      </c>
      <c r="L386" s="33">
        <v>0</v>
      </c>
      <c r="M386" s="33">
        <v>0</v>
      </c>
      <c r="N386" s="33">
        <v>0</v>
      </c>
      <c r="O386" s="191" t="s">
        <v>57</v>
      </c>
      <c r="P386" s="192"/>
      <c r="Q386" s="192"/>
      <c r="R386" s="193"/>
      <c r="S386" s="29" t="s">
        <v>51</v>
      </c>
    </row>
    <row r="387" spans="1:19" ht="174.95" customHeight="1" x14ac:dyDescent="0.25">
      <c r="A387" s="31">
        <v>374</v>
      </c>
      <c r="B387" s="25" t="s">
        <v>2036</v>
      </c>
      <c r="C387" s="194" t="s">
        <v>2037</v>
      </c>
      <c r="D387" s="195"/>
      <c r="E387" s="195"/>
      <c r="F387" s="196"/>
      <c r="G387" s="32" t="s">
        <v>2039</v>
      </c>
      <c r="H387" s="25" t="s">
        <v>2038</v>
      </c>
      <c r="I387" s="33">
        <v>1</v>
      </c>
      <c r="J387" s="33">
        <v>0</v>
      </c>
      <c r="K387" s="33">
        <v>0</v>
      </c>
      <c r="L387" s="33">
        <v>0</v>
      </c>
      <c r="M387" s="33">
        <v>0</v>
      </c>
      <c r="N387" s="33">
        <v>0</v>
      </c>
      <c r="O387" s="191" t="s">
        <v>50</v>
      </c>
      <c r="P387" s="192"/>
      <c r="Q387" s="192"/>
      <c r="R387" s="193"/>
      <c r="S387" s="29" t="s">
        <v>51</v>
      </c>
    </row>
    <row r="388" spans="1:19" ht="186.75" customHeight="1" x14ac:dyDescent="0.25">
      <c r="A388" s="22">
        <v>375</v>
      </c>
      <c r="B388" s="25" t="s">
        <v>2040</v>
      </c>
      <c r="C388" s="194" t="s">
        <v>2041</v>
      </c>
      <c r="D388" s="195"/>
      <c r="E388" s="195"/>
      <c r="F388" s="196"/>
      <c r="G388" s="32" t="s">
        <v>2043</v>
      </c>
      <c r="H388" s="25" t="s">
        <v>2042</v>
      </c>
      <c r="I388" s="33">
        <v>1</v>
      </c>
      <c r="J388" s="33">
        <v>0</v>
      </c>
      <c r="K388" s="33">
        <v>0</v>
      </c>
      <c r="L388" s="33">
        <v>0</v>
      </c>
      <c r="M388" s="33">
        <v>0</v>
      </c>
      <c r="N388" s="33">
        <v>0</v>
      </c>
      <c r="O388" s="191" t="s">
        <v>50</v>
      </c>
      <c r="P388" s="192"/>
      <c r="Q388" s="192"/>
      <c r="R388" s="193"/>
      <c r="S388" s="29" t="s">
        <v>49</v>
      </c>
    </row>
    <row r="389" spans="1:19" ht="174.95" customHeight="1" x14ac:dyDescent="0.25">
      <c r="A389" s="31">
        <v>376</v>
      </c>
      <c r="B389" s="25" t="s">
        <v>2040</v>
      </c>
      <c r="C389" s="194" t="s">
        <v>2044</v>
      </c>
      <c r="D389" s="195"/>
      <c r="E389" s="195"/>
      <c r="F389" s="196"/>
      <c r="G389" s="32" t="s">
        <v>2046</v>
      </c>
      <c r="H389" s="25" t="s">
        <v>2045</v>
      </c>
      <c r="I389" s="33">
        <v>1</v>
      </c>
      <c r="J389" s="33">
        <v>0</v>
      </c>
      <c r="K389" s="33">
        <v>0</v>
      </c>
      <c r="L389" s="33">
        <v>0</v>
      </c>
      <c r="M389" s="33">
        <v>0</v>
      </c>
      <c r="N389" s="33">
        <v>0</v>
      </c>
      <c r="O389" s="191" t="s">
        <v>57</v>
      </c>
      <c r="P389" s="192"/>
      <c r="Q389" s="192"/>
      <c r="R389" s="193"/>
      <c r="S389" s="29" t="s">
        <v>51</v>
      </c>
    </row>
    <row r="390" spans="1:19" ht="150" customHeight="1" x14ac:dyDescent="0.25">
      <c r="A390" s="22">
        <v>377</v>
      </c>
      <c r="B390" s="25" t="s">
        <v>2047</v>
      </c>
      <c r="C390" s="194" t="s">
        <v>1011</v>
      </c>
      <c r="D390" s="195"/>
      <c r="E390" s="195"/>
      <c r="F390" s="196"/>
      <c r="G390" s="32" t="s">
        <v>2049</v>
      </c>
      <c r="H390" s="25" t="s">
        <v>2048</v>
      </c>
      <c r="I390" s="33">
        <v>1</v>
      </c>
      <c r="J390" s="33">
        <v>0</v>
      </c>
      <c r="K390" s="33">
        <v>0</v>
      </c>
      <c r="L390" s="33">
        <v>0</v>
      </c>
      <c r="M390" s="33">
        <v>0</v>
      </c>
      <c r="N390" s="33">
        <v>0</v>
      </c>
      <c r="O390" s="191" t="s">
        <v>55</v>
      </c>
      <c r="P390" s="192"/>
      <c r="Q390" s="192"/>
      <c r="R390" s="193"/>
      <c r="S390" s="29" t="s">
        <v>51</v>
      </c>
    </row>
    <row r="391" spans="1:19" ht="150" customHeight="1" x14ac:dyDescent="0.25">
      <c r="A391" s="31">
        <v>378</v>
      </c>
      <c r="B391" s="25" t="s">
        <v>2047</v>
      </c>
      <c r="C391" s="194" t="s">
        <v>2050</v>
      </c>
      <c r="D391" s="195"/>
      <c r="E391" s="195"/>
      <c r="F391" s="196"/>
      <c r="G391" s="32" t="s">
        <v>2052</v>
      </c>
      <c r="H391" s="25" t="s">
        <v>2051</v>
      </c>
      <c r="I391" s="33">
        <v>1</v>
      </c>
      <c r="J391" s="33">
        <v>0</v>
      </c>
      <c r="K391" s="33">
        <v>0</v>
      </c>
      <c r="L391" s="33">
        <v>0</v>
      </c>
      <c r="M391" s="33">
        <v>0</v>
      </c>
      <c r="N391" s="33">
        <v>0</v>
      </c>
      <c r="O391" s="191" t="s">
        <v>48</v>
      </c>
      <c r="P391" s="192"/>
      <c r="Q391" s="192"/>
      <c r="R391" s="193"/>
      <c r="S391" s="29" t="s">
        <v>51</v>
      </c>
    </row>
    <row r="392" spans="1:19" ht="150" customHeight="1" x14ac:dyDescent="0.25">
      <c r="A392" s="22">
        <v>379</v>
      </c>
      <c r="B392" s="25" t="s">
        <v>2053</v>
      </c>
      <c r="C392" s="194" t="s">
        <v>2054</v>
      </c>
      <c r="D392" s="195"/>
      <c r="E392" s="195"/>
      <c r="F392" s="196"/>
      <c r="G392" s="32" t="s">
        <v>2056</v>
      </c>
      <c r="H392" s="25" t="s">
        <v>2055</v>
      </c>
      <c r="I392" s="33">
        <v>1</v>
      </c>
      <c r="J392" s="33">
        <v>0</v>
      </c>
      <c r="K392" s="33">
        <v>0</v>
      </c>
      <c r="L392" s="33">
        <v>0</v>
      </c>
      <c r="M392" s="33">
        <v>0</v>
      </c>
      <c r="N392" s="33">
        <v>0</v>
      </c>
      <c r="O392" s="191" t="s">
        <v>54</v>
      </c>
      <c r="P392" s="192"/>
      <c r="Q392" s="192"/>
      <c r="R392" s="193"/>
      <c r="S392" s="29" t="s">
        <v>51</v>
      </c>
    </row>
    <row r="393" spans="1:19" ht="150" customHeight="1" x14ac:dyDescent="0.25">
      <c r="A393" s="31">
        <v>380</v>
      </c>
      <c r="B393" s="25" t="s">
        <v>2053</v>
      </c>
      <c r="C393" s="194" t="s">
        <v>2057</v>
      </c>
      <c r="D393" s="195"/>
      <c r="E393" s="195"/>
      <c r="F393" s="196"/>
      <c r="G393" s="32" t="s">
        <v>2059</v>
      </c>
      <c r="H393" s="25" t="s">
        <v>2058</v>
      </c>
      <c r="I393" s="33">
        <v>1</v>
      </c>
      <c r="J393" s="33">
        <v>0</v>
      </c>
      <c r="K393" s="33">
        <v>0</v>
      </c>
      <c r="L393" s="33">
        <v>0</v>
      </c>
      <c r="M393" s="33">
        <v>0</v>
      </c>
      <c r="N393" s="33">
        <v>0</v>
      </c>
      <c r="O393" s="191" t="s">
        <v>48</v>
      </c>
      <c r="P393" s="192"/>
      <c r="Q393" s="192"/>
      <c r="R393" s="193"/>
      <c r="S393" s="29" t="s">
        <v>51</v>
      </c>
    </row>
    <row r="394" spans="1:19" ht="174.95" customHeight="1" x14ac:dyDescent="0.25">
      <c r="A394" s="22">
        <v>381</v>
      </c>
      <c r="B394" s="25" t="s">
        <v>2060</v>
      </c>
      <c r="C394" s="194" t="s">
        <v>2061</v>
      </c>
      <c r="D394" s="195"/>
      <c r="E394" s="195"/>
      <c r="F394" s="196"/>
      <c r="G394" s="32" t="s">
        <v>2063</v>
      </c>
      <c r="H394" s="25" t="s">
        <v>2062</v>
      </c>
      <c r="I394" s="33">
        <v>0</v>
      </c>
      <c r="J394" s="33">
        <v>1</v>
      </c>
      <c r="K394" s="33">
        <v>0</v>
      </c>
      <c r="L394" s="33">
        <v>0</v>
      </c>
      <c r="M394" s="33">
        <v>0</v>
      </c>
      <c r="N394" s="33">
        <v>0</v>
      </c>
      <c r="O394" s="191" t="s">
        <v>57</v>
      </c>
      <c r="P394" s="192"/>
      <c r="Q394" s="192"/>
      <c r="R394" s="193"/>
      <c r="S394" s="29" t="s">
        <v>58</v>
      </c>
    </row>
    <row r="395" spans="1:19" ht="174.95" customHeight="1" x14ac:dyDescent="0.25">
      <c r="A395" s="31">
        <v>382</v>
      </c>
      <c r="B395" s="25" t="s">
        <v>2060</v>
      </c>
      <c r="C395" s="194" t="s">
        <v>2064</v>
      </c>
      <c r="D395" s="195"/>
      <c r="E395" s="195"/>
      <c r="F395" s="196"/>
      <c r="G395" s="32" t="s">
        <v>2065</v>
      </c>
      <c r="H395" s="25" t="s">
        <v>2066</v>
      </c>
      <c r="I395" s="33">
        <v>0</v>
      </c>
      <c r="J395" s="33">
        <v>1</v>
      </c>
      <c r="K395" s="33">
        <v>1</v>
      </c>
      <c r="L395" s="33">
        <v>0</v>
      </c>
      <c r="M395" s="33">
        <v>0</v>
      </c>
      <c r="N395" s="33">
        <v>0</v>
      </c>
      <c r="O395" s="191" t="s">
        <v>96</v>
      </c>
      <c r="P395" s="192"/>
      <c r="Q395" s="192"/>
      <c r="R395" s="193"/>
      <c r="S395" s="29" t="s">
        <v>2067</v>
      </c>
    </row>
    <row r="396" spans="1:19" ht="189.75" customHeight="1" x14ac:dyDescent="0.25">
      <c r="A396" s="22">
        <v>383</v>
      </c>
      <c r="B396" s="25" t="s">
        <v>2068</v>
      </c>
      <c r="C396" s="194" t="s">
        <v>2069</v>
      </c>
      <c r="D396" s="195"/>
      <c r="E396" s="195"/>
      <c r="F396" s="196"/>
      <c r="G396" s="32" t="s">
        <v>2071</v>
      </c>
      <c r="H396" s="25" t="s">
        <v>2070</v>
      </c>
      <c r="I396" s="33">
        <v>0</v>
      </c>
      <c r="J396" s="33">
        <v>1</v>
      </c>
      <c r="K396" s="33">
        <v>0</v>
      </c>
      <c r="L396" s="33">
        <v>0</v>
      </c>
      <c r="M396" s="33">
        <v>0</v>
      </c>
      <c r="N396" s="33">
        <v>0</v>
      </c>
      <c r="O396" s="191" t="s">
        <v>2271</v>
      </c>
      <c r="P396" s="192"/>
      <c r="Q396" s="192"/>
      <c r="R396" s="193"/>
      <c r="S396" s="29" t="s">
        <v>2072</v>
      </c>
    </row>
    <row r="397" spans="1:19" ht="150" customHeight="1" x14ac:dyDescent="0.25">
      <c r="A397" s="31">
        <v>384</v>
      </c>
      <c r="B397" s="25" t="s">
        <v>2073</v>
      </c>
      <c r="C397" s="194" t="s">
        <v>2074</v>
      </c>
      <c r="D397" s="195"/>
      <c r="E397" s="195"/>
      <c r="F397" s="196"/>
      <c r="G397" s="32" t="s">
        <v>2076</v>
      </c>
      <c r="H397" s="25" t="s">
        <v>2075</v>
      </c>
      <c r="I397" s="33">
        <v>1</v>
      </c>
      <c r="J397" s="33">
        <v>0</v>
      </c>
      <c r="K397" s="33">
        <v>0</v>
      </c>
      <c r="L397" s="33">
        <v>0</v>
      </c>
      <c r="M397" s="33">
        <v>0</v>
      </c>
      <c r="N397" s="33">
        <v>0</v>
      </c>
      <c r="O397" s="191" t="s">
        <v>57</v>
      </c>
      <c r="P397" s="192"/>
      <c r="Q397" s="192"/>
      <c r="R397" s="193"/>
      <c r="S397" s="29" t="s">
        <v>51</v>
      </c>
    </row>
    <row r="398" spans="1:19" ht="138" customHeight="1" x14ac:dyDescent="0.25">
      <c r="A398" s="22">
        <v>385</v>
      </c>
      <c r="B398" s="25" t="s">
        <v>2077</v>
      </c>
      <c r="C398" s="194" t="s">
        <v>2078</v>
      </c>
      <c r="D398" s="195"/>
      <c r="E398" s="195"/>
      <c r="F398" s="196"/>
      <c r="G398" s="32" t="s">
        <v>2080</v>
      </c>
      <c r="H398" s="25" t="s">
        <v>2079</v>
      </c>
      <c r="I398" s="33">
        <v>0</v>
      </c>
      <c r="J398" s="33">
        <v>1</v>
      </c>
      <c r="K398" s="33">
        <v>0</v>
      </c>
      <c r="L398" s="33">
        <v>0</v>
      </c>
      <c r="M398" s="33">
        <v>0</v>
      </c>
      <c r="N398" s="33">
        <v>0</v>
      </c>
      <c r="O398" s="191" t="s">
        <v>57</v>
      </c>
      <c r="P398" s="192"/>
      <c r="Q398" s="192"/>
      <c r="R398" s="193"/>
      <c r="S398" s="29" t="s">
        <v>73</v>
      </c>
    </row>
    <row r="399" spans="1:19" ht="135.75" customHeight="1" x14ac:dyDescent="0.25">
      <c r="A399" s="31">
        <v>386</v>
      </c>
      <c r="B399" s="25" t="s">
        <v>2081</v>
      </c>
      <c r="C399" s="194" t="s">
        <v>2082</v>
      </c>
      <c r="D399" s="195"/>
      <c r="E399" s="195"/>
      <c r="F399" s="196"/>
      <c r="G399" s="32" t="s">
        <v>2084</v>
      </c>
      <c r="H399" s="25" t="s">
        <v>2083</v>
      </c>
      <c r="I399" s="33">
        <v>1</v>
      </c>
      <c r="J399" s="33">
        <v>0</v>
      </c>
      <c r="K399" s="33">
        <v>0</v>
      </c>
      <c r="L399" s="33">
        <v>0</v>
      </c>
      <c r="M399" s="33">
        <v>0</v>
      </c>
      <c r="N399" s="33">
        <v>0</v>
      </c>
      <c r="O399" s="191" t="s">
        <v>57</v>
      </c>
      <c r="P399" s="192"/>
      <c r="Q399" s="192"/>
      <c r="R399" s="193"/>
      <c r="S399" s="29" t="s">
        <v>53</v>
      </c>
    </row>
    <row r="400" spans="1:19" ht="147.75" customHeight="1" x14ac:dyDescent="0.25">
      <c r="A400" s="22">
        <v>387</v>
      </c>
      <c r="B400" s="25" t="s">
        <v>2085</v>
      </c>
      <c r="C400" s="194" t="s">
        <v>2086</v>
      </c>
      <c r="D400" s="195"/>
      <c r="E400" s="195"/>
      <c r="F400" s="196"/>
      <c r="G400" s="32" t="s">
        <v>2088</v>
      </c>
      <c r="H400" s="25" t="s">
        <v>2087</v>
      </c>
      <c r="I400" s="33">
        <v>1</v>
      </c>
      <c r="J400" s="33">
        <v>0</v>
      </c>
      <c r="K400" s="33">
        <v>0</v>
      </c>
      <c r="L400" s="33">
        <v>0</v>
      </c>
      <c r="M400" s="33">
        <v>0</v>
      </c>
      <c r="N400" s="33">
        <v>0</v>
      </c>
      <c r="O400" s="191" t="s">
        <v>57</v>
      </c>
      <c r="P400" s="192"/>
      <c r="Q400" s="192"/>
      <c r="R400" s="193"/>
      <c r="S400" s="29" t="s">
        <v>53</v>
      </c>
    </row>
    <row r="401" spans="1:19" ht="122.25" customHeight="1" x14ac:dyDescent="0.25">
      <c r="A401" s="31">
        <v>388</v>
      </c>
      <c r="B401" s="25" t="s">
        <v>2089</v>
      </c>
      <c r="C401" s="194" t="s">
        <v>2090</v>
      </c>
      <c r="D401" s="195"/>
      <c r="E401" s="195"/>
      <c r="F401" s="196"/>
      <c r="G401" s="32" t="s">
        <v>2092</v>
      </c>
      <c r="H401" s="25" t="s">
        <v>2091</v>
      </c>
      <c r="I401" s="33">
        <v>1</v>
      </c>
      <c r="J401" s="33">
        <v>0</v>
      </c>
      <c r="K401" s="33">
        <v>0</v>
      </c>
      <c r="L401" s="33">
        <v>0</v>
      </c>
      <c r="M401" s="33">
        <v>0</v>
      </c>
      <c r="N401" s="33">
        <v>0</v>
      </c>
      <c r="O401" s="191" t="s">
        <v>57</v>
      </c>
      <c r="P401" s="192"/>
      <c r="Q401" s="192"/>
      <c r="R401" s="193"/>
      <c r="S401" s="29" t="s">
        <v>51</v>
      </c>
    </row>
    <row r="402" spans="1:19" ht="147.75" customHeight="1" x14ac:dyDescent="0.25">
      <c r="A402" s="22">
        <v>389</v>
      </c>
      <c r="B402" s="25" t="s">
        <v>2093</v>
      </c>
      <c r="C402" s="194" t="s">
        <v>2094</v>
      </c>
      <c r="D402" s="195"/>
      <c r="E402" s="195"/>
      <c r="F402" s="196"/>
      <c r="G402" s="32" t="s">
        <v>2096</v>
      </c>
      <c r="H402" s="25" t="s">
        <v>2095</v>
      </c>
      <c r="I402" s="33">
        <v>1</v>
      </c>
      <c r="J402" s="33">
        <v>0</v>
      </c>
      <c r="K402" s="33">
        <v>0</v>
      </c>
      <c r="L402" s="33">
        <v>0</v>
      </c>
      <c r="M402" s="33">
        <v>0</v>
      </c>
      <c r="N402" s="33">
        <v>0</v>
      </c>
      <c r="O402" s="191" t="s">
        <v>57</v>
      </c>
      <c r="P402" s="192"/>
      <c r="Q402" s="192"/>
      <c r="R402" s="193"/>
      <c r="S402" s="29" t="s">
        <v>51</v>
      </c>
    </row>
    <row r="403" spans="1:19" ht="135" customHeight="1" x14ac:dyDescent="0.25">
      <c r="A403" s="31">
        <v>390</v>
      </c>
      <c r="B403" s="25" t="s">
        <v>2097</v>
      </c>
      <c r="C403" s="194" t="s">
        <v>2098</v>
      </c>
      <c r="D403" s="195"/>
      <c r="E403" s="195"/>
      <c r="F403" s="196"/>
      <c r="G403" s="32" t="s">
        <v>2100</v>
      </c>
      <c r="H403" s="25" t="s">
        <v>2099</v>
      </c>
      <c r="I403" s="33">
        <v>0</v>
      </c>
      <c r="J403" s="33">
        <v>1</v>
      </c>
      <c r="K403" s="33">
        <v>0</v>
      </c>
      <c r="L403" s="33">
        <v>0</v>
      </c>
      <c r="M403" s="33">
        <v>0</v>
      </c>
      <c r="N403" s="33">
        <v>0</v>
      </c>
      <c r="O403" s="191" t="s">
        <v>57</v>
      </c>
      <c r="P403" s="192"/>
      <c r="Q403" s="192"/>
      <c r="R403" s="193"/>
      <c r="S403" s="29" t="s">
        <v>58</v>
      </c>
    </row>
    <row r="404" spans="1:19" ht="148.5" customHeight="1" x14ac:dyDescent="0.25">
      <c r="A404" s="22">
        <v>391</v>
      </c>
      <c r="B404" s="25" t="s">
        <v>2101</v>
      </c>
      <c r="C404" s="194" t="s">
        <v>2102</v>
      </c>
      <c r="D404" s="195"/>
      <c r="E404" s="195"/>
      <c r="F404" s="196"/>
      <c r="G404" s="32" t="s">
        <v>2104</v>
      </c>
      <c r="H404" s="25" t="s">
        <v>2103</v>
      </c>
      <c r="I404" s="33">
        <v>1</v>
      </c>
      <c r="J404" s="33">
        <v>0</v>
      </c>
      <c r="K404" s="33">
        <v>0</v>
      </c>
      <c r="L404" s="33">
        <v>0</v>
      </c>
      <c r="M404" s="33">
        <v>0</v>
      </c>
      <c r="N404" s="33">
        <v>0</v>
      </c>
      <c r="O404" s="191" t="s">
        <v>57</v>
      </c>
      <c r="P404" s="192"/>
      <c r="Q404" s="192"/>
      <c r="R404" s="193"/>
      <c r="S404" s="29" t="s">
        <v>51</v>
      </c>
    </row>
    <row r="405" spans="1:19" ht="135" customHeight="1" x14ac:dyDescent="0.25">
      <c r="A405" s="31">
        <v>392</v>
      </c>
      <c r="B405" s="25" t="s">
        <v>2105</v>
      </c>
      <c r="C405" s="194" t="s">
        <v>2106</v>
      </c>
      <c r="D405" s="195"/>
      <c r="E405" s="195"/>
      <c r="F405" s="196"/>
      <c r="G405" s="32" t="s">
        <v>2108</v>
      </c>
      <c r="H405" s="25" t="s">
        <v>2107</v>
      </c>
      <c r="I405" s="33">
        <v>1</v>
      </c>
      <c r="J405" s="33">
        <v>0</v>
      </c>
      <c r="K405" s="33">
        <v>0</v>
      </c>
      <c r="L405" s="33">
        <v>0</v>
      </c>
      <c r="M405" s="33">
        <v>0</v>
      </c>
      <c r="N405" s="33">
        <v>0</v>
      </c>
      <c r="O405" s="191" t="s">
        <v>57</v>
      </c>
      <c r="P405" s="192"/>
      <c r="Q405" s="192"/>
      <c r="R405" s="193"/>
      <c r="S405" s="29" t="s">
        <v>53</v>
      </c>
    </row>
    <row r="406" spans="1:19" ht="135" customHeight="1" x14ac:dyDescent="0.25">
      <c r="A406" s="22">
        <v>393</v>
      </c>
      <c r="B406" s="25" t="s">
        <v>2109</v>
      </c>
      <c r="C406" s="194" t="s">
        <v>2110</v>
      </c>
      <c r="D406" s="195"/>
      <c r="E406" s="195"/>
      <c r="F406" s="196"/>
      <c r="G406" s="32" t="s">
        <v>2112</v>
      </c>
      <c r="H406" s="25" t="s">
        <v>2111</v>
      </c>
      <c r="I406" s="33">
        <v>1</v>
      </c>
      <c r="J406" s="33">
        <v>0</v>
      </c>
      <c r="K406" s="33">
        <v>0</v>
      </c>
      <c r="L406" s="33">
        <v>0</v>
      </c>
      <c r="M406" s="33">
        <v>0</v>
      </c>
      <c r="N406" s="33">
        <v>0</v>
      </c>
      <c r="O406" s="191" t="s">
        <v>57</v>
      </c>
      <c r="P406" s="192"/>
      <c r="Q406" s="192"/>
      <c r="R406" s="193"/>
      <c r="S406" s="29" t="s">
        <v>51</v>
      </c>
    </row>
    <row r="407" spans="1:19" ht="135" customHeight="1" x14ac:dyDescent="0.25">
      <c r="A407" s="31">
        <v>394</v>
      </c>
      <c r="B407" s="25" t="s">
        <v>2113</v>
      </c>
      <c r="C407" s="194" t="s">
        <v>2114</v>
      </c>
      <c r="D407" s="195"/>
      <c r="E407" s="195"/>
      <c r="F407" s="196"/>
      <c r="G407" s="32" t="s">
        <v>2116</v>
      </c>
      <c r="H407" s="25" t="s">
        <v>2115</v>
      </c>
      <c r="I407" s="33">
        <v>1</v>
      </c>
      <c r="J407" s="33">
        <v>0</v>
      </c>
      <c r="K407" s="33">
        <v>0</v>
      </c>
      <c r="L407" s="33">
        <v>0</v>
      </c>
      <c r="M407" s="33">
        <v>0</v>
      </c>
      <c r="N407" s="33">
        <v>0</v>
      </c>
      <c r="O407" s="191" t="s">
        <v>54</v>
      </c>
      <c r="P407" s="192"/>
      <c r="Q407" s="192"/>
      <c r="R407" s="193"/>
      <c r="S407" s="29" t="s">
        <v>53</v>
      </c>
    </row>
    <row r="408" spans="1:19" ht="138" customHeight="1" x14ac:dyDescent="0.25">
      <c r="A408" s="22">
        <v>395</v>
      </c>
      <c r="B408" s="25" t="s">
        <v>2117</v>
      </c>
      <c r="C408" s="194" t="s">
        <v>2118</v>
      </c>
      <c r="D408" s="195"/>
      <c r="E408" s="195"/>
      <c r="F408" s="196"/>
      <c r="G408" s="32" t="s">
        <v>2120</v>
      </c>
      <c r="H408" s="25" t="s">
        <v>2119</v>
      </c>
      <c r="I408" s="33">
        <v>1</v>
      </c>
      <c r="J408" s="33">
        <v>0</v>
      </c>
      <c r="K408" s="33">
        <v>0</v>
      </c>
      <c r="L408" s="33">
        <v>0</v>
      </c>
      <c r="M408" s="33">
        <v>0</v>
      </c>
      <c r="N408" s="33">
        <v>0</v>
      </c>
      <c r="O408" s="191" t="s">
        <v>57</v>
      </c>
      <c r="P408" s="192"/>
      <c r="Q408" s="192"/>
      <c r="R408" s="193"/>
      <c r="S408" s="29" t="s">
        <v>51</v>
      </c>
    </row>
    <row r="409" spans="1:19" ht="145.5" customHeight="1" x14ac:dyDescent="0.25">
      <c r="A409" s="31">
        <v>396</v>
      </c>
      <c r="B409" s="25" t="s">
        <v>2121</v>
      </c>
      <c r="C409" s="194" t="s">
        <v>2122</v>
      </c>
      <c r="D409" s="195"/>
      <c r="E409" s="195"/>
      <c r="F409" s="196"/>
      <c r="G409" s="32" t="s">
        <v>2124</v>
      </c>
      <c r="H409" s="25" t="s">
        <v>2123</v>
      </c>
      <c r="I409" s="33">
        <v>1</v>
      </c>
      <c r="J409" s="33">
        <v>0</v>
      </c>
      <c r="K409" s="33">
        <v>0</v>
      </c>
      <c r="L409" s="33">
        <v>0</v>
      </c>
      <c r="M409" s="33">
        <v>0</v>
      </c>
      <c r="N409" s="33">
        <v>0</v>
      </c>
      <c r="O409" s="191" t="s">
        <v>57</v>
      </c>
      <c r="P409" s="192"/>
      <c r="Q409" s="192"/>
      <c r="R409" s="193"/>
      <c r="S409" s="29" t="s">
        <v>56</v>
      </c>
    </row>
    <row r="410" spans="1:19" ht="144" x14ac:dyDescent="0.25">
      <c r="A410" s="22">
        <v>397</v>
      </c>
      <c r="B410" s="25" t="s">
        <v>2125</v>
      </c>
      <c r="C410" s="194" t="s">
        <v>2126</v>
      </c>
      <c r="D410" s="195"/>
      <c r="E410" s="195"/>
      <c r="F410" s="196"/>
      <c r="G410" s="32" t="s">
        <v>2128</v>
      </c>
      <c r="H410" s="25" t="s">
        <v>2127</v>
      </c>
      <c r="I410" s="33">
        <v>1</v>
      </c>
      <c r="J410" s="33">
        <v>0</v>
      </c>
      <c r="K410" s="33">
        <v>0</v>
      </c>
      <c r="L410" s="33">
        <v>0</v>
      </c>
      <c r="M410" s="33">
        <v>0</v>
      </c>
      <c r="N410" s="33">
        <v>0</v>
      </c>
      <c r="O410" s="191" t="s">
        <v>57</v>
      </c>
      <c r="P410" s="192"/>
      <c r="Q410" s="192"/>
      <c r="R410" s="193"/>
      <c r="S410" s="29" t="s">
        <v>51</v>
      </c>
    </row>
    <row r="411" spans="1:19" ht="135" customHeight="1" x14ac:dyDescent="0.25">
      <c r="A411" s="31">
        <v>398</v>
      </c>
      <c r="B411" s="25" t="s">
        <v>2129</v>
      </c>
      <c r="C411" s="194" t="s">
        <v>2130</v>
      </c>
      <c r="D411" s="195"/>
      <c r="E411" s="195"/>
      <c r="F411" s="196"/>
      <c r="G411" s="32" t="s">
        <v>2132</v>
      </c>
      <c r="H411" s="25" t="s">
        <v>2131</v>
      </c>
      <c r="I411" s="33">
        <v>1</v>
      </c>
      <c r="J411" s="33">
        <v>0</v>
      </c>
      <c r="K411" s="33">
        <v>0</v>
      </c>
      <c r="L411" s="33">
        <v>0</v>
      </c>
      <c r="M411" s="33">
        <v>0</v>
      </c>
      <c r="N411" s="33">
        <v>0</v>
      </c>
      <c r="O411" s="191" t="s">
        <v>57</v>
      </c>
      <c r="P411" s="192"/>
      <c r="Q411" s="192"/>
      <c r="R411" s="193"/>
      <c r="S411" s="29" t="s">
        <v>60</v>
      </c>
    </row>
    <row r="412" spans="1:19" ht="135" customHeight="1" x14ac:dyDescent="0.25">
      <c r="A412" s="22">
        <v>399</v>
      </c>
      <c r="B412" s="25" t="s">
        <v>2133</v>
      </c>
      <c r="C412" s="194" t="s">
        <v>2134</v>
      </c>
      <c r="D412" s="195"/>
      <c r="E412" s="195"/>
      <c r="F412" s="196"/>
      <c r="G412" s="32" t="s">
        <v>2136</v>
      </c>
      <c r="H412" s="25" t="s">
        <v>2135</v>
      </c>
      <c r="I412" s="33">
        <v>1</v>
      </c>
      <c r="J412" s="33">
        <v>0</v>
      </c>
      <c r="K412" s="33">
        <v>0</v>
      </c>
      <c r="L412" s="33">
        <v>0</v>
      </c>
      <c r="M412" s="33">
        <v>0</v>
      </c>
      <c r="N412" s="33">
        <v>0</v>
      </c>
      <c r="O412" s="191" t="s">
        <v>54</v>
      </c>
      <c r="P412" s="192"/>
      <c r="Q412" s="192"/>
      <c r="R412" s="193"/>
      <c r="S412" s="29" t="s">
        <v>51</v>
      </c>
    </row>
    <row r="413" spans="1:19" ht="135" customHeight="1" x14ac:dyDescent="0.25">
      <c r="A413" s="31">
        <v>400</v>
      </c>
      <c r="B413" s="25" t="s">
        <v>2133</v>
      </c>
      <c r="C413" s="194" t="s">
        <v>2137</v>
      </c>
      <c r="D413" s="195"/>
      <c r="E413" s="195"/>
      <c r="F413" s="196"/>
      <c r="G413" s="32" t="s">
        <v>2139</v>
      </c>
      <c r="H413" s="25" t="s">
        <v>2138</v>
      </c>
      <c r="I413" s="33">
        <v>1</v>
      </c>
      <c r="J413" s="33">
        <v>0</v>
      </c>
      <c r="K413" s="33">
        <v>0</v>
      </c>
      <c r="L413" s="33">
        <v>0</v>
      </c>
      <c r="M413" s="33">
        <v>0</v>
      </c>
      <c r="N413" s="33">
        <v>0</v>
      </c>
      <c r="O413" s="191" t="s">
        <v>48</v>
      </c>
      <c r="P413" s="192"/>
      <c r="Q413" s="192"/>
      <c r="R413" s="193"/>
      <c r="S413" s="29" t="s">
        <v>51</v>
      </c>
    </row>
    <row r="414" spans="1:19" ht="149.25" customHeight="1" x14ac:dyDescent="0.25">
      <c r="A414" s="22">
        <v>401</v>
      </c>
      <c r="B414" s="25" t="s">
        <v>2140</v>
      </c>
      <c r="C414" s="194" t="s">
        <v>2141</v>
      </c>
      <c r="D414" s="195"/>
      <c r="E414" s="195"/>
      <c r="F414" s="196"/>
      <c r="G414" s="32" t="s">
        <v>2143</v>
      </c>
      <c r="H414" s="25" t="s">
        <v>2142</v>
      </c>
      <c r="I414" s="33">
        <v>1</v>
      </c>
      <c r="J414" s="33">
        <v>0</v>
      </c>
      <c r="K414" s="33">
        <v>0</v>
      </c>
      <c r="L414" s="33">
        <v>0</v>
      </c>
      <c r="M414" s="33">
        <v>0</v>
      </c>
      <c r="N414" s="33">
        <v>0</v>
      </c>
      <c r="O414" s="191" t="s">
        <v>50</v>
      </c>
      <c r="P414" s="192"/>
      <c r="Q414" s="192"/>
      <c r="R414" s="193"/>
      <c r="S414" s="29" t="s">
        <v>53</v>
      </c>
    </row>
    <row r="415" spans="1:19" ht="135" customHeight="1" x14ac:dyDescent="0.25">
      <c r="A415" s="31">
        <v>402</v>
      </c>
      <c r="B415" s="25" t="s">
        <v>2140</v>
      </c>
      <c r="C415" s="194" t="s">
        <v>1980</v>
      </c>
      <c r="D415" s="195"/>
      <c r="E415" s="195"/>
      <c r="F415" s="196"/>
      <c r="G415" s="32" t="s">
        <v>2145</v>
      </c>
      <c r="H415" s="25" t="s">
        <v>2144</v>
      </c>
      <c r="I415" s="33">
        <v>1</v>
      </c>
      <c r="J415" s="33">
        <v>0</v>
      </c>
      <c r="K415" s="33">
        <v>0</v>
      </c>
      <c r="L415" s="33">
        <v>0</v>
      </c>
      <c r="M415" s="33">
        <v>0</v>
      </c>
      <c r="N415" s="33">
        <v>0</v>
      </c>
      <c r="O415" s="191" t="s">
        <v>50</v>
      </c>
      <c r="P415" s="192"/>
      <c r="Q415" s="192"/>
      <c r="R415" s="193"/>
      <c r="S415" s="29" t="s">
        <v>51</v>
      </c>
    </row>
    <row r="416" spans="1:19" ht="135" customHeight="1" x14ac:dyDescent="0.25">
      <c r="A416" s="22">
        <v>403</v>
      </c>
      <c r="B416" s="25" t="s">
        <v>2146</v>
      </c>
      <c r="C416" s="194" t="s">
        <v>900</v>
      </c>
      <c r="D416" s="195"/>
      <c r="E416" s="195"/>
      <c r="F416" s="196"/>
      <c r="G416" s="32" t="s">
        <v>2028</v>
      </c>
      <c r="H416" s="25" t="s">
        <v>2147</v>
      </c>
      <c r="I416" s="33">
        <v>1</v>
      </c>
      <c r="J416" s="33">
        <v>0</v>
      </c>
      <c r="K416" s="33">
        <v>0</v>
      </c>
      <c r="L416" s="33">
        <v>0</v>
      </c>
      <c r="M416" s="33">
        <v>0</v>
      </c>
      <c r="N416" s="33">
        <v>0</v>
      </c>
      <c r="O416" s="191" t="s">
        <v>54</v>
      </c>
      <c r="P416" s="192"/>
      <c r="Q416" s="192"/>
      <c r="R416" s="193"/>
      <c r="S416" s="29" t="s">
        <v>63</v>
      </c>
    </row>
    <row r="417" spans="1:19" ht="135" customHeight="1" x14ac:dyDescent="0.25">
      <c r="A417" s="31">
        <v>404</v>
      </c>
      <c r="B417" s="25" t="s">
        <v>2146</v>
      </c>
      <c r="C417" s="194" t="s">
        <v>2148</v>
      </c>
      <c r="D417" s="195"/>
      <c r="E417" s="195"/>
      <c r="F417" s="196"/>
      <c r="G417" s="32" t="s">
        <v>2150</v>
      </c>
      <c r="H417" s="25" t="s">
        <v>2149</v>
      </c>
      <c r="I417" s="33">
        <v>1</v>
      </c>
      <c r="J417" s="33">
        <v>0</v>
      </c>
      <c r="K417" s="33">
        <v>0</v>
      </c>
      <c r="L417" s="33">
        <v>0</v>
      </c>
      <c r="M417" s="33">
        <v>0</v>
      </c>
      <c r="N417" s="33">
        <v>0</v>
      </c>
      <c r="O417" s="191" t="s">
        <v>48</v>
      </c>
      <c r="P417" s="192"/>
      <c r="Q417" s="192"/>
      <c r="R417" s="193"/>
      <c r="S417" s="29" t="s">
        <v>51</v>
      </c>
    </row>
    <row r="418" spans="1:19" ht="135" customHeight="1" x14ac:dyDescent="0.25">
      <c r="A418" s="22">
        <v>405</v>
      </c>
      <c r="B418" s="25" t="s">
        <v>2151</v>
      </c>
      <c r="C418" s="194" t="s">
        <v>2152</v>
      </c>
      <c r="D418" s="195"/>
      <c r="E418" s="195"/>
      <c r="F418" s="196"/>
      <c r="G418" s="32" t="s">
        <v>2154</v>
      </c>
      <c r="H418" s="25" t="s">
        <v>2153</v>
      </c>
      <c r="I418" s="33">
        <v>1</v>
      </c>
      <c r="J418" s="33">
        <v>0</v>
      </c>
      <c r="K418" s="33">
        <v>0</v>
      </c>
      <c r="L418" s="33">
        <v>0</v>
      </c>
      <c r="M418" s="33">
        <v>0</v>
      </c>
      <c r="N418" s="33">
        <v>0</v>
      </c>
      <c r="O418" s="191" t="s">
        <v>57</v>
      </c>
      <c r="P418" s="192"/>
      <c r="Q418" s="192"/>
      <c r="R418" s="193"/>
      <c r="S418" s="29" t="s">
        <v>51</v>
      </c>
    </row>
    <row r="419" spans="1:19" ht="135" customHeight="1" x14ac:dyDescent="0.25">
      <c r="A419" s="31">
        <v>406</v>
      </c>
      <c r="B419" s="25" t="s">
        <v>2155</v>
      </c>
      <c r="C419" s="194" t="s">
        <v>2156</v>
      </c>
      <c r="D419" s="195"/>
      <c r="E419" s="195"/>
      <c r="F419" s="196"/>
      <c r="G419" s="32" t="s">
        <v>2158</v>
      </c>
      <c r="H419" s="25" t="s">
        <v>2157</v>
      </c>
      <c r="I419" s="33">
        <v>0</v>
      </c>
      <c r="J419" s="33">
        <v>1</v>
      </c>
      <c r="K419" s="33">
        <v>0</v>
      </c>
      <c r="L419" s="33">
        <v>0</v>
      </c>
      <c r="M419" s="33">
        <v>0</v>
      </c>
      <c r="N419" s="33">
        <v>0</v>
      </c>
      <c r="O419" s="191" t="s">
        <v>57</v>
      </c>
      <c r="P419" s="192"/>
      <c r="Q419" s="192"/>
      <c r="R419" s="193"/>
      <c r="S419" s="29" t="s">
        <v>73</v>
      </c>
    </row>
    <row r="420" spans="1:19" ht="174.95" customHeight="1" x14ac:dyDescent="0.25">
      <c r="A420" s="22">
        <v>407</v>
      </c>
      <c r="B420" s="25" t="s">
        <v>2159</v>
      </c>
      <c r="C420" s="194" t="s">
        <v>2160</v>
      </c>
      <c r="D420" s="195"/>
      <c r="E420" s="195"/>
      <c r="F420" s="196"/>
      <c r="G420" s="32" t="s">
        <v>2065</v>
      </c>
      <c r="H420" s="25" t="s">
        <v>2161</v>
      </c>
      <c r="I420" s="33">
        <v>0</v>
      </c>
      <c r="J420" s="33">
        <v>1</v>
      </c>
      <c r="K420" s="33">
        <v>0</v>
      </c>
      <c r="L420" s="33">
        <v>1</v>
      </c>
      <c r="M420" s="33">
        <v>0</v>
      </c>
      <c r="N420" s="33">
        <v>0</v>
      </c>
      <c r="O420" s="191" t="s">
        <v>57</v>
      </c>
      <c r="P420" s="192"/>
      <c r="Q420" s="192"/>
      <c r="R420" s="193"/>
      <c r="S420" s="29" t="s">
        <v>2162</v>
      </c>
    </row>
    <row r="421" spans="1:19" ht="135" customHeight="1" x14ac:dyDescent="0.25">
      <c r="A421" s="31">
        <v>408</v>
      </c>
      <c r="B421" s="25" t="s">
        <v>2163</v>
      </c>
      <c r="C421" s="194" t="s">
        <v>2164</v>
      </c>
      <c r="D421" s="195"/>
      <c r="E421" s="195"/>
      <c r="F421" s="196"/>
      <c r="G421" s="32" t="s">
        <v>2166</v>
      </c>
      <c r="H421" s="25" t="s">
        <v>2165</v>
      </c>
      <c r="I421" s="33">
        <v>1</v>
      </c>
      <c r="J421" s="33">
        <v>0</v>
      </c>
      <c r="K421" s="33">
        <v>0</v>
      </c>
      <c r="L421" s="33">
        <v>0</v>
      </c>
      <c r="M421" s="33">
        <v>0</v>
      </c>
      <c r="N421" s="33">
        <v>0</v>
      </c>
      <c r="O421" s="191" t="s">
        <v>57</v>
      </c>
      <c r="P421" s="192"/>
      <c r="Q421" s="192"/>
      <c r="R421" s="193"/>
      <c r="S421" s="29" t="s">
        <v>53</v>
      </c>
    </row>
    <row r="422" spans="1:19" ht="174.95" customHeight="1" x14ac:dyDescent="0.25">
      <c r="A422" s="22">
        <v>409</v>
      </c>
      <c r="B422" s="25" t="s">
        <v>2167</v>
      </c>
      <c r="C422" s="194" t="s">
        <v>2168</v>
      </c>
      <c r="D422" s="195"/>
      <c r="E422" s="195"/>
      <c r="F422" s="196"/>
      <c r="G422" s="32" t="s">
        <v>2170</v>
      </c>
      <c r="H422" s="25" t="s">
        <v>2169</v>
      </c>
      <c r="I422" s="33">
        <v>1</v>
      </c>
      <c r="J422" s="33">
        <v>0</v>
      </c>
      <c r="K422" s="33">
        <v>0</v>
      </c>
      <c r="L422" s="33">
        <v>0</v>
      </c>
      <c r="M422" s="33">
        <v>0</v>
      </c>
      <c r="N422" s="33">
        <v>0</v>
      </c>
      <c r="O422" s="191" t="s">
        <v>55</v>
      </c>
      <c r="P422" s="192"/>
      <c r="Q422" s="192"/>
      <c r="R422" s="193"/>
      <c r="S422" s="29" t="s">
        <v>51</v>
      </c>
    </row>
    <row r="423" spans="1:19" ht="135" customHeight="1" x14ac:dyDescent="0.25">
      <c r="A423" s="31">
        <v>410</v>
      </c>
      <c r="B423" s="25" t="s">
        <v>2171</v>
      </c>
      <c r="C423" s="194" t="s">
        <v>2172</v>
      </c>
      <c r="D423" s="195"/>
      <c r="E423" s="195"/>
      <c r="F423" s="196"/>
      <c r="G423" s="32" t="s">
        <v>660</v>
      </c>
      <c r="H423" s="25" t="s">
        <v>2173</v>
      </c>
      <c r="I423" s="33">
        <v>1</v>
      </c>
      <c r="J423" s="33">
        <v>0</v>
      </c>
      <c r="K423" s="33">
        <v>0</v>
      </c>
      <c r="L423" s="33">
        <v>0</v>
      </c>
      <c r="M423" s="33">
        <v>0</v>
      </c>
      <c r="N423" s="33">
        <v>0</v>
      </c>
      <c r="O423" s="191" t="s">
        <v>57</v>
      </c>
      <c r="P423" s="192"/>
      <c r="Q423" s="192"/>
      <c r="R423" s="193"/>
      <c r="S423" s="29" t="s">
        <v>51</v>
      </c>
    </row>
    <row r="424" spans="1:19" ht="174.95" customHeight="1" x14ac:dyDescent="0.25">
      <c r="A424" s="22">
        <v>411</v>
      </c>
      <c r="B424" s="25" t="s">
        <v>2174</v>
      </c>
      <c r="C424" s="194" t="s">
        <v>2175</v>
      </c>
      <c r="D424" s="195"/>
      <c r="E424" s="195"/>
      <c r="F424" s="196"/>
      <c r="G424" s="32" t="s">
        <v>2177</v>
      </c>
      <c r="H424" s="25" t="s">
        <v>2176</v>
      </c>
      <c r="I424" s="33">
        <v>1</v>
      </c>
      <c r="J424" s="33">
        <v>0</v>
      </c>
      <c r="K424" s="33">
        <v>0</v>
      </c>
      <c r="L424" s="33">
        <v>0</v>
      </c>
      <c r="M424" s="33">
        <v>0</v>
      </c>
      <c r="N424" s="33">
        <v>0</v>
      </c>
      <c r="O424" s="191" t="s">
        <v>48</v>
      </c>
      <c r="P424" s="192"/>
      <c r="Q424" s="192"/>
      <c r="R424" s="193"/>
      <c r="S424" s="29" t="s">
        <v>2178</v>
      </c>
    </row>
    <row r="425" spans="1:19" ht="174.95" customHeight="1" x14ac:dyDescent="0.25">
      <c r="A425" s="31">
        <v>412</v>
      </c>
      <c r="B425" s="25" t="s">
        <v>2179</v>
      </c>
      <c r="C425" s="194" t="s">
        <v>2180</v>
      </c>
      <c r="D425" s="195"/>
      <c r="E425" s="195"/>
      <c r="F425" s="196"/>
      <c r="G425" s="32" t="s">
        <v>1950</v>
      </c>
      <c r="H425" s="25" t="s">
        <v>2181</v>
      </c>
      <c r="I425" s="33">
        <v>1</v>
      </c>
      <c r="J425" s="33">
        <v>0</v>
      </c>
      <c r="K425" s="33">
        <v>0</v>
      </c>
      <c r="L425" s="33">
        <v>0</v>
      </c>
      <c r="M425" s="33">
        <v>0</v>
      </c>
      <c r="N425" s="33">
        <v>0</v>
      </c>
      <c r="O425" s="191" t="s">
        <v>57</v>
      </c>
      <c r="P425" s="192"/>
      <c r="Q425" s="192"/>
      <c r="R425" s="193"/>
      <c r="S425" s="29" t="s">
        <v>51</v>
      </c>
    </row>
    <row r="426" spans="1:19" ht="174.95" customHeight="1" x14ac:dyDescent="0.25">
      <c r="A426" s="22">
        <v>413</v>
      </c>
      <c r="B426" s="25" t="s">
        <v>2182</v>
      </c>
      <c r="C426" s="194" t="s">
        <v>2183</v>
      </c>
      <c r="D426" s="195"/>
      <c r="E426" s="195"/>
      <c r="F426" s="196"/>
      <c r="G426" s="32" t="s">
        <v>2185</v>
      </c>
      <c r="H426" s="25" t="s">
        <v>2184</v>
      </c>
      <c r="I426" s="33">
        <v>1</v>
      </c>
      <c r="J426" s="33">
        <v>0</v>
      </c>
      <c r="K426" s="33">
        <v>0</v>
      </c>
      <c r="L426" s="33">
        <v>0</v>
      </c>
      <c r="M426" s="33">
        <v>0</v>
      </c>
      <c r="N426" s="33">
        <v>0</v>
      </c>
      <c r="O426" s="191" t="s">
        <v>57</v>
      </c>
      <c r="P426" s="192"/>
      <c r="Q426" s="192"/>
      <c r="R426" s="193"/>
      <c r="S426" s="29" t="s">
        <v>51</v>
      </c>
    </row>
    <row r="427" spans="1:19" ht="174.95" customHeight="1" x14ac:dyDescent="0.25">
      <c r="A427" s="31">
        <v>414</v>
      </c>
      <c r="B427" s="25" t="s">
        <v>2186</v>
      </c>
      <c r="C427" s="194" t="s">
        <v>2187</v>
      </c>
      <c r="D427" s="195"/>
      <c r="E427" s="195"/>
      <c r="F427" s="196"/>
      <c r="G427" s="32" t="s">
        <v>2189</v>
      </c>
      <c r="H427" s="25" t="s">
        <v>2188</v>
      </c>
      <c r="I427" s="33">
        <v>1</v>
      </c>
      <c r="J427" s="33">
        <v>0</v>
      </c>
      <c r="K427" s="33">
        <v>0</v>
      </c>
      <c r="L427" s="33">
        <v>0</v>
      </c>
      <c r="M427" s="33">
        <v>0</v>
      </c>
      <c r="N427" s="33">
        <v>0</v>
      </c>
      <c r="O427" s="191" t="s">
        <v>57</v>
      </c>
      <c r="P427" s="192"/>
      <c r="Q427" s="192"/>
      <c r="R427" s="193"/>
      <c r="S427" s="29" t="s">
        <v>62</v>
      </c>
    </row>
    <row r="428" spans="1:19" ht="174.95" customHeight="1" x14ac:dyDescent="0.25">
      <c r="A428" s="22">
        <v>415</v>
      </c>
      <c r="B428" s="25" t="s">
        <v>2190</v>
      </c>
      <c r="C428" s="194" t="s">
        <v>2191</v>
      </c>
      <c r="D428" s="195"/>
      <c r="E428" s="195"/>
      <c r="F428" s="196"/>
      <c r="G428" s="32" t="s">
        <v>2193</v>
      </c>
      <c r="H428" s="25" t="s">
        <v>2192</v>
      </c>
      <c r="I428" s="33">
        <v>0</v>
      </c>
      <c r="J428" s="33">
        <v>1</v>
      </c>
      <c r="K428" s="33">
        <v>0</v>
      </c>
      <c r="L428" s="33">
        <v>0</v>
      </c>
      <c r="M428" s="33">
        <v>0</v>
      </c>
      <c r="N428" s="33">
        <v>0</v>
      </c>
      <c r="O428" s="191" t="s">
        <v>57</v>
      </c>
      <c r="P428" s="192"/>
      <c r="Q428" s="192"/>
      <c r="R428" s="193"/>
      <c r="S428" s="29" t="s">
        <v>2194</v>
      </c>
    </row>
    <row r="429" spans="1:19" ht="174.95" customHeight="1" x14ac:dyDescent="0.25">
      <c r="A429" s="31">
        <v>416</v>
      </c>
      <c r="B429" s="25" t="s">
        <v>2195</v>
      </c>
      <c r="C429" s="194" t="s">
        <v>2196</v>
      </c>
      <c r="D429" s="195"/>
      <c r="E429" s="195"/>
      <c r="F429" s="196"/>
      <c r="G429" s="32" t="s">
        <v>2198</v>
      </c>
      <c r="H429" s="25" t="s">
        <v>2197</v>
      </c>
      <c r="I429" s="33">
        <v>1</v>
      </c>
      <c r="J429" s="33">
        <v>0</v>
      </c>
      <c r="K429" s="33">
        <v>0</v>
      </c>
      <c r="L429" s="33">
        <v>0</v>
      </c>
      <c r="M429" s="33">
        <v>0</v>
      </c>
      <c r="N429" s="33">
        <v>0</v>
      </c>
      <c r="O429" s="191" t="s">
        <v>57</v>
      </c>
      <c r="P429" s="192"/>
      <c r="Q429" s="192"/>
      <c r="R429" s="193"/>
      <c r="S429" s="29" t="s">
        <v>51</v>
      </c>
    </row>
    <row r="430" spans="1:19" ht="174.95" customHeight="1" x14ac:dyDescent="0.25">
      <c r="A430" s="22">
        <v>417</v>
      </c>
      <c r="B430" s="25" t="s">
        <v>2199</v>
      </c>
      <c r="C430" s="194" t="s">
        <v>2200</v>
      </c>
      <c r="D430" s="195"/>
      <c r="E430" s="195"/>
      <c r="F430" s="196"/>
      <c r="G430" s="32" t="s">
        <v>2202</v>
      </c>
      <c r="H430" s="25" t="s">
        <v>2201</v>
      </c>
      <c r="I430" s="33">
        <v>1</v>
      </c>
      <c r="J430" s="33">
        <v>0</v>
      </c>
      <c r="K430" s="33">
        <v>0</v>
      </c>
      <c r="L430" s="33">
        <v>0</v>
      </c>
      <c r="M430" s="33">
        <v>0</v>
      </c>
      <c r="N430" s="33">
        <v>0</v>
      </c>
      <c r="O430" s="191" t="s">
        <v>57</v>
      </c>
      <c r="P430" s="192"/>
      <c r="Q430" s="192"/>
      <c r="R430" s="193"/>
      <c r="S430" s="29" t="s">
        <v>56</v>
      </c>
    </row>
    <row r="431" spans="1:19" ht="174.95" customHeight="1" x14ac:dyDescent="0.25">
      <c r="A431" s="31">
        <v>418</v>
      </c>
      <c r="B431" s="25" t="s">
        <v>2203</v>
      </c>
      <c r="C431" s="194" t="s">
        <v>2204</v>
      </c>
      <c r="D431" s="195"/>
      <c r="E431" s="195"/>
      <c r="F431" s="196"/>
      <c r="G431" s="32" t="s">
        <v>2206</v>
      </c>
      <c r="H431" s="25" t="s">
        <v>2205</v>
      </c>
      <c r="I431" s="33">
        <v>1</v>
      </c>
      <c r="J431" s="33">
        <v>0</v>
      </c>
      <c r="K431" s="33">
        <v>0</v>
      </c>
      <c r="L431" s="33">
        <v>0</v>
      </c>
      <c r="M431" s="33">
        <v>0</v>
      </c>
      <c r="N431" s="33">
        <v>0</v>
      </c>
      <c r="O431" s="191" t="s">
        <v>57</v>
      </c>
      <c r="P431" s="192"/>
      <c r="Q431" s="192"/>
      <c r="R431" s="193"/>
      <c r="S431" s="29" t="s">
        <v>63</v>
      </c>
    </row>
    <row r="432" spans="1:19" ht="174.95" customHeight="1" x14ac:dyDescent="0.25">
      <c r="A432" s="22">
        <v>419</v>
      </c>
      <c r="B432" s="25" t="s">
        <v>2207</v>
      </c>
      <c r="C432" s="194" t="s">
        <v>2208</v>
      </c>
      <c r="D432" s="195"/>
      <c r="E432" s="195"/>
      <c r="F432" s="196"/>
      <c r="G432" s="32" t="s">
        <v>2210</v>
      </c>
      <c r="H432" s="25" t="s">
        <v>2209</v>
      </c>
      <c r="I432" s="33">
        <v>1</v>
      </c>
      <c r="J432" s="33">
        <v>0</v>
      </c>
      <c r="K432" s="33">
        <v>0</v>
      </c>
      <c r="L432" s="33">
        <v>0</v>
      </c>
      <c r="M432" s="33">
        <v>0</v>
      </c>
      <c r="N432" s="33">
        <v>0</v>
      </c>
      <c r="O432" s="191" t="s">
        <v>57</v>
      </c>
      <c r="P432" s="192"/>
      <c r="Q432" s="192"/>
      <c r="R432" s="193"/>
      <c r="S432" s="29" t="s">
        <v>62</v>
      </c>
    </row>
    <row r="433" spans="1:19" ht="174.95" customHeight="1" x14ac:dyDescent="0.25">
      <c r="A433" s="31">
        <v>420</v>
      </c>
      <c r="B433" s="25" t="s">
        <v>2211</v>
      </c>
      <c r="C433" s="194" t="s">
        <v>2212</v>
      </c>
      <c r="D433" s="195"/>
      <c r="E433" s="195"/>
      <c r="F433" s="196"/>
      <c r="G433" s="32" t="s">
        <v>2214</v>
      </c>
      <c r="H433" s="25" t="s">
        <v>2213</v>
      </c>
      <c r="I433" s="33">
        <v>0</v>
      </c>
      <c r="J433" s="33">
        <v>1</v>
      </c>
      <c r="K433" s="33">
        <v>0</v>
      </c>
      <c r="L433" s="33">
        <v>0</v>
      </c>
      <c r="M433" s="33">
        <v>0</v>
      </c>
      <c r="N433" s="33">
        <v>0</v>
      </c>
      <c r="O433" s="191" t="s">
        <v>57</v>
      </c>
      <c r="P433" s="192"/>
      <c r="Q433" s="192"/>
      <c r="R433" s="193"/>
      <c r="S433" s="29" t="s">
        <v>73</v>
      </c>
    </row>
    <row r="434" spans="1:19" ht="196.5" customHeight="1" x14ac:dyDescent="0.25">
      <c r="A434" s="22">
        <v>421</v>
      </c>
      <c r="B434" s="25" t="s">
        <v>2215</v>
      </c>
      <c r="C434" s="194" t="s">
        <v>2216</v>
      </c>
      <c r="D434" s="195"/>
      <c r="E434" s="195"/>
      <c r="F434" s="196"/>
      <c r="G434" s="32" t="s">
        <v>2218</v>
      </c>
      <c r="H434" s="25" t="s">
        <v>2217</v>
      </c>
      <c r="I434" s="33">
        <v>1</v>
      </c>
      <c r="J434" s="33">
        <v>0</v>
      </c>
      <c r="K434" s="33">
        <v>0</v>
      </c>
      <c r="L434" s="33">
        <v>0</v>
      </c>
      <c r="M434" s="33">
        <v>0</v>
      </c>
      <c r="N434" s="33">
        <v>0</v>
      </c>
      <c r="O434" s="191" t="s">
        <v>57</v>
      </c>
      <c r="P434" s="192"/>
      <c r="Q434" s="192"/>
      <c r="R434" s="193"/>
      <c r="S434" s="29" t="s">
        <v>2219</v>
      </c>
    </row>
    <row r="435" spans="1:19" ht="135" customHeight="1" x14ac:dyDescent="0.25">
      <c r="A435" s="31">
        <v>422</v>
      </c>
      <c r="B435" s="25" t="s">
        <v>2220</v>
      </c>
      <c r="C435" s="194" t="s">
        <v>2221</v>
      </c>
      <c r="D435" s="195"/>
      <c r="E435" s="195"/>
      <c r="F435" s="196"/>
      <c r="G435" s="32" t="s">
        <v>2223</v>
      </c>
      <c r="H435" s="25" t="s">
        <v>2222</v>
      </c>
      <c r="I435" s="33">
        <v>1</v>
      </c>
      <c r="J435" s="33">
        <v>0</v>
      </c>
      <c r="K435" s="33">
        <v>0</v>
      </c>
      <c r="L435" s="33">
        <v>0</v>
      </c>
      <c r="M435" s="33">
        <v>0</v>
      </c>
      <c r="N435" s="33">
        <v>0</v>
      </c>
      <c r="O435" s="191" t="s">
        <v>57</v>
      </c>
      <c r="P435" s="192"/>
      <c r="Q435" s="192"/>
      <c r="R435" s="193"/>
      <c r="S435" s="29" t="s">
        <v>51</v>
      </c>
    </row>
    <row r="436" spans="1:19" ht="174.95" customHeight="1" x14ac:dyDescent="0.25">
      <c r="A436" s="22">
        <v>423</v>
      </c>
      <c r="B436" s="25" t="s">
        <v>2224</v>
      </c>
      <c r="C436" s="194" t="s">
        <v>2225</v>
      </c>
      <c r="D436" s="195"/>
      <c r="E436" s="195"/>
      <c r="F436" s="196"/>
      <c r="G436" s="32" t="s">
        <v>2227</v>
      </c>
      <c r="H436" s="25" t="s">
        <v>2226</v>
      </c>
      <c r="I436" s="33">
        <v>1</v>
      </c>
      <c r="J436" s="33">
        <v>0</v>
      </c>
      <c r="K436" s="33">
        <v>0</v>
      </c>
      <c r="L436" s="33">
        <v>0</v>
      </c>
      <c r="M436" s="33">
        <v>0</v>
      </c>
      <c r="N436" s="33">
        <v>0</v>
      </c>
      <c r="O436" s="191" t="s">
        <v>57</v>
      </c>
      <c r="P436" s="192"/>
      <c r="Q436" s="192"/>
      <c r="R436" s="193"/>
      <c r="S436" s="29" t="s">
        <v>53</v>
      </c>
    </row>
    <row r="437" spans="1:19" ht="174.95" customHeight="1" x14ac:dyDescent="0.25">
      <c r="A437" s="31">
        <v>424</v>
      </c>
      <c r="B437" s="25" t="s">
        <v>2228</v>
      </c>
      <c r="C437" s="194" t="s">
        <v>2229</v>
      </c>
      <c r="D437" s="195"/>
      <c r="E437" s="195"/>
      <c r="F437" s="196"/>
      <c r="G437" s="32" t="s">
        <v>2231</v>
      </c>
      <c r="H437" s="25" t="s">
        <v>2230</v>
      </c>
      <c r="I437" s="33">
        <v>1</v>
      </c>
      <c r="J437" s="33">
        <v>0</v>
      </c>
      <c r="K437" s="33">
        <v>0</v>
      </c>
      <c r="L437" s="33">
        <v>0</v>
      </c>
      <c r="M437" s="33">
        <v>0</v>
      </c>
      <c r="N437" s="33">
        <v>0</v>
      </c>
      <c r="O437" s="191" t="s">
        <v>57</v>
      </c>
      <c r="P437" s="192"/>
      <c r="Q437" s="192"/>
      <c r="R437" s="193"/>
      <c r="S437" s="29" t="s">
        <v>51</v>
      </c>
    </row>
    <row r="438" spans="1:19" ht="174.95" customHeight="1" x14ac:dyDescent="0.25">
      <c r="A438" s="22">
        <v>425</v>
      </c>
      <c r="B438" s="25" t="s">
        <v>2232</v>
      </c>
      <c r="C438" s="194" t="s">
        <v>2233</v>
      </c>
      <c r="D438" s="195"/>
      <c r="E438" s="195"/>
      <c r="F438" s="196"/>
      <c r="G438" s="32" t="s">
        <v>2235</v>
      </c>
      <c r="H438" s="25" t="s">
        <v>2234</v>
      </c>
      <c r="I438" s="33">
        <v>0</v>
      </c>
      <c r="J438" s="33">
        <v>1</v>
      </c>
      <c r="K438" s="33">
        <v>0</v>
      </c>
      <c r="L438" s="33">
        <v>0</v>
      </c>
      <c r="M438" s="33">
        <v>0</v>
      </c>
      <c r="N438" s="33">
        <v>0</v>
      </c>
      <c r="O438" s="191" t="s">
        <v>90</v>
      </c>
      <c r="P438" s="192"/>
      <c r="Q438" s="192"/>
      <c r="R438" s="193"/>
      <c r="S438" s="29" t="s">
        <v>73</v>
      </c>
    </row>
    <row r="439" spans="1:19" ht="174.95" customHeight="1" x14ac:dyDescent="0.25">
      <c r="A439" s="31">
        <v>426</v>
      </c>
      <c r="B439" s="25" t="s">
        <v>2236</v>
      </c>
      <c r="C439" s="194" t="s">
        <v>2237</v>
      </c>
      <c r="D439" s="195"/>
      <c r="E439" s="195"/>
      <c r="F439" s="196"/>
      <c r="G439" s="32" t="s">
        <v>2239</v>
      </c>
      <c r="H439" s="25" t="s">
        <v>2238</v>
      </c>
      <c r="I439" s="33">
        <v>1</v>
      </c>
      <c r="J439" s="33">
        <v>0</v>
      </c>
      <c r="K439" s="33">
        <v>0</v>
      </c>
      <c r="L439" s="33">
        <v>0</v>
      </c>
      <c r="M439" s="33">
        <v>0</v>
      </c>
      <c r="N439" s="33">
        <v>0</v>
      </c>
      <c r="O439" s="191" t="s">
        <v>57</v>
      </c>
      <c r="P439" s="192"/>
      <c r="Q439" s="192"/>
      <c r="R439" s="193"/>
      <c r="S439" s="29" t="s">
        <v>62</v>
      </c>
    </row>
    <row r="440" spans="1:19" ht="135" customHeight="1" x14ac:dyDescent="0.25">
      <c r="A440" s="22">
        <v>427</v>
      </c>
      <c r="B440" s="25" t="s">
        <v>2240</v>
      </c>
      <c r="C440" s="194" t="s">
        <v>2241</v>
      </c>
      <c r="D440" s="195"/>
      <c r="E440" s="195"/>
      <c r="F440" s="196"/>
      <c r="G440" s="32" t="s">
        <v>2243</v>
      </c>
      <c r="H440" s="25" t="s">
        <v>2242</v>
      </c>
      <c r="I440" s="33">
        <v>1</v>
      </c>
      <c r="J440" s="33">
        <v>0</v>
      </c>
      <c r="K440" s="33">
        <v>0</v>
      </c>
      <c r="L440" s="33">
        <v>0</v>
      </c>
      <c r="M440" s="33">
        <v>0</v>
      </c>
      <c r="N440" s="33">
        <v>0</v>
      </c>
      <c r="O440" s="191" t="s">
        <v>57</v>
      </c>
      <c r="P440" s="192"/>
      <c r="Q440" s="192"/>
      <c r="R440" s="193"/>
      <c r="S440" s="29" t="s">
        <v>51</v>
      </c>
    </row>
    <row r="441" spans="1:19" ht="150" customHeight="1" x14ac:dyDescent="0.25">
      <c r="A441" s="31">
        <v>428</v>
      </c>
      <c r="B441" s="25" t="s">
        <v>2244</v>
      </c>
      <c r="C441" s="194" t="s">
        <v>2245</v>
      </c>
      <c r="D441" s="195"/>
      <c r="E441" s="195"/>
      <c r="F441" s="196"/>
      <c r="G441" s="32" t="s">
        <v>2247</v>
      </c>
      <c r="H441" s="25" t="s">
        <v>2246</v>
      </c>
      <c r="I441" s="33">
        <v>1</v>
      </c>
      <c r="J441" s="33">
        <v>0</v>
      </c>
      <c r="K441" s="33">
        <v>0</v>
      </c>
      <c r="L441" s="33">
        <v>0</v>
      </c>
      <c r="M441" s="33">
        <v>0</v>
      </c>
      <c r="N441" s="33">
        <v>0</v>
      </c>
      <c r="O441" s="191" t="s">
        <v>57</v>
      </c>
      <c r="P441" s="192"/>
      <c r="Q441" s="192"/>
      <c r="R441" s="193"/>
      <c r="S441" s="29" t="s">
        <v>51</v>
      </c>
    </row>
    <row r="442" spans="1:19" ht="135" customHeight="1" x14ac:dyDescent="0.25">
      <c r="A442" s="22">
        <v>429</v>
      </c>
      <c r="B442" s="25" t="s">
        <v>2248</v>
      </c>
      <c r="C442" s="194" t="s">
        <v>2249</v>
      </c>
      <c r="D442" s="195"/>
      <c r="E442" s="195"/>
      <c r="F442" s="196"/>
      <c r="G442" s="32" t="s">
        <v>2251</v>
      </c>
      <c r="H442" s="25" t="s">
        <v>2250</v>
      </c>
      <c r="I442" s="33">
        <v>1</v>
      </c>
      <c r="J442" s="33">
        <v>0</v>
      </c>
      <c r="K442" s="33">
        <v>0</v>
      </c>
      <c r="L442" s="33">
        <v>0</v>
      </c>
      <c r="M442" s="33">
        <v>0</v>
      </c>
      <c r="N442" s="33">
        <v>0</v>
      </c>
      <c r="O442" s="191" t="s">
        <v>57</v>
      </c>
      <c r="P442" s="192"/>
      <c r="Q442" s="192"/>
      <c r="R442" s="193"/>
      <c r="S442" s="29" t="s">
        <v>51</v>
      </c>
    </row>
    <row r="443" spans="1:19" ht="135" customHeight="1" x14ac:dyDescent="0.25">
      <c r="A443" s="31">
        <v>430</v>
      </c>
      <c r="B443" s="25" t="s">
        <v>2252</v>
      </c>
      <c r="C443" s="194" t="s">
        <v>2253</v>
      </c>
      <c r="D443" s="195"/>
      <c r="E443" s="195"/>
      <c r="F443" s="196"/>
      <c r="G443" s="32" t="s">
        <v>2255</v>
      </c>
      <c r="H443" s="25" t="s">
        <v>2254</v>
      </c>
      <c r="I443" s="33">
        <v>1</v>
      </c>
      <c r="J443" s="33">
        <v>0</v>
      </c>
      <c r="K443" s="33">
        <v>0</v>
      </c>
      <c r="L443" s="33">
        <v>0</v>
      </c>
      <c r="M443" s="33">
        <v>0</v>
      </c>
      <c r="N443" s="33">
        <v>0</v>
      </c>
      <c r="O443" s="191" t="s">
        <v>57</v>
      </c>
      <c r="P443" s="192"/>
      <c r="Q443" s="192"/>
      <c r="R443" s="193"/>
      <c r="S443" s="29" t="s">
        <v>53</v>
      </c>
    </row>
    <row r="444" spans="1:19" ht="135" customHeight="1" x14ac:dyDescent="0.25">
      <c r="A444" s="22">
        <v>431</v>
      </c>
      <c r="B444" s="25" t="s">
        <v>2256</v>
      </c>
      <c r="C444" s="194" t="s">
        <v>2257</v>
      </c>
      <c r="D444" s="195"/>
      <c r="E444" s="195"/>
      <c r="F444" s="196"/>
      <c r="G444" s="32" t="s">
        <v>2259</v>
      </c>
      <c r="H444" s="25" t="s">
        <v>2258</v>
      </c>
      <c r="I444" s="33">
        <v>0</v>
      </c>
      <c r="J444" s="33">
        <v>1</v>
      </c>
      <c r="K444" s="33">
        <v>0</v>
      </c>
      <c r="L444" s="33">
        <v>0</v>
      </c>
      <c r="M444" s="33">
        <v>0</v>
      </c>
      <c r="N444" s="33">
        <v>0</v>
      </c>
      <c r="O444" s="191" t="s">
        <v>54</v>
      </c>
      <c r="P444" s="192"/>
      <c r="Q444" s="192"/>
      <c r="R444" s="193"/>
      <c r="S444" s="29" t="s">
        <v>70</v>
      </c>
    </row>
    <row r="445" spans="1:19" ht="135" customHeight="1" x14ac:dyDescent="0.25">
      <c r="A445" s="31">
        <v>432</v>
      </c>
      <c r="B445" s="25" t="s">
        <v>2260</v>
      </c>
      <c r="C445" s="194" t="s">
        <v>2261</v>
      </c>
      <c r="D445" s="195"/>
      <c r="E445" s="195"/>
      <c r="F445" s="196"/>
      <c r="G445" s="32" t="s">
        <v>2263</v>
      </c>
      <c r="H445" s="25" t="s">
        <v>2262</v>
      </c>
      <c r="I445" s="33">
        <v>0</v>
      </c>
      <c r="J445" s="33">
        <v>1</v>
      </c>
      <c r="K445" s="33">
        <v>0</v>
      </c>
      <c r="L445" s="33">
        <v>0</v>
      </c>
      <c r="M445" s="33">
        <v>0</v>
      </c>
      <c r="N445" s="33">
        <v>0</v>
      </c>
      <c r="O445" s="191" t="s">
        <v>54</v>
      </c>
      <c r="P445" s="192"/>
      <c r="Q445" s="192"/>
      <c r="R445" s="193"/>
      <c r="S445" s="29" t="s">
        <v>73</v>
      </c>
    </row>
    <row r="446" spans="1:19" ht="135" customHeight="1" x14ac:dyDescent="0.25">
      <c r="A446" s="22">
        <v>433</v>
      </c>
      <c r="B446" s="25" t="s">
        <v>2264</v>
      </c>
      <c r="C446" s="194" t="s">
        <v>2265</v>
      </c>
      <c r="D446" s="195"/>
      <c r="E446" s="195"/>
      <c r="F446" s="196"/>
      <c r="G446" s="32" t="s">
        <v>2267</v>
      </c>
      <c r="H446" s="25" t="s">
        <v>2266</v>
      </c>
      <c r="I446" s="33">
        <v>1</v>
      </c>
      <c r="J446" s="33">
        <v>0</v>
      </c>
      <c r="K446" s="33">
        <v>0</v>
      </c>
      <c r="L446" s="33">
        <v>0</v>
      </c>
      <c r="M446" s="33">
        <v>0</v>
      </c>
      <c r="N446" s="33">
        <v>0</v>
      </c>
      <c r="O446" s="191" t="s">
        <v>48</v>
      </c>
      <c r="P446" s="192"/>
      <c r="Q446" s="192"/>
      <c r="R446" s="193"/>
      <c r="S446" s="29" t="s">
        <v>51</v>
      </c>
    </row>
    <row r="447" spans="1:19" ht="15" customHeight="1" x14ac:dyDescent="0.25">
      <c r="A447" s="120"/>
      <c r="B447" s="121"/>
      <c r="C447" s="122"/>
      <c r="D447" s="122"/>
      <c r="E447" s="122"/>
      <c r="F447" s="122"/>
      <c r="G447" s="123"/>
      <c r="H447" s="121"/>
      <c r="I447" s="120"/>
      <c r="J447" s="120"/>
      <c r="K447" s="120"/>
      <c r="L447" s="120"/>
      <c r="M447" s="120"/>
      <c r="N447" s="120"/>
      <c r="O447" s="124"/>
      <c r="P447" s="124"/>
      <c r="Q447" s="124"/>
      <c r="R447" s="124"/>
      <c r="S447" s="125"/>
    </row>
    <row r="448" spans="1:19" ht="15" customHeight="1" x14ac:dyDescent="0.25">
      <c r="A448" s="120"/>
      <c r="B448" s="121"/>
      <c r="C448" s="122"/>
      <c r="D448" s="122"/>
      <c r="E448" s="122"/>
      <c r="F448" s="122"/>
      <c r="G448" s="123"/>
      <c r="H448" s="121"/>
      <c r="I448" s="120"/>
      <c r="J448" s="120"/>
      <c r="K448" s="120"/>
      <c r="L448" s="120"/>
      <c r="M448" s="120"/>
      <c r="N448" s="120"/>
      <c r="O448" s="124"/>
      <c r="P448" s="124"/>
      <c r="Q448" s="124"/>
      <c r="R448" s="124"/>
      <c r="S448" s="125"/>
    </row>
    <row r="449" spans="1:19" ht="15" customHeight="1" x14ac:dyDescent="0.25">
      <c r="A449" s="120"/>
      <c r="B449" s="121"/>
      <c r="C449" s="122"/>
      <c r="D449" s="122"/>
      <c r="E449" s="122"/>
      <c r="F449" s="122"/>
      <c r="G449" s="123"/>
      <c r="H449" s="114" t="s">
        <v>30</v>
      </c>
      <c r="I449" s="120"/>
      <c r="J449" s="120"/>
      <c r="K449" s="120"/>
      <c r="L449" s="120"/>
      <c r="M449" s="120"/>
      <c r="N449" s="120"/>
      <c r="O449" s="124"/>
      <c r="P449" s="124"/>
      <c r="Q449" s="124"/>
      <c r="R449" s="124"/>
      <c r="S449" s="125"/>
    </row>
    <row r="450" spans="1:19" ht="15" customHeight="1" x14ac:dyDescent="0.25">
      <c r="A450" s="120"/>
      <c r="B450" s="121"/>
      <c r="C450" s="122"/>
      <c r="D450" s="122"/>
      <c r="E450" s="122"/>
      <c r="F450" s="122"/>
      <c r="G450" s="123"/>
      <c r="H450" s="114" t="s">
        <v>643</v>
      </c>
      <c r="I450" s="120"/>
      <c r="J450" s="120"/>
      <c r="K450" s="120"/>
      <c r="L450" s="120"/>
      <c r="M450" s="120"/>
      <c r="N450" s="120"/>
      <c r="O450" s="124"/>
      <c r="P450" s="124"/>
      <c r="Q450" s="124"/>
      <c r="R450" s="124"/>
      <c r="S450" s="125"/>
    </row>
    <row r="451" spans="1:19" ht="15" customHeight="1" x14ac:dyDescent="0.25">
      <c r="A451" s="120"/>
      <c r="B451" s="121"/>
      <c r="C451" s="122"/>
      <c r="D451" s="122"/>
      <c r="E451" s="122"/>
      <c r="F451" s="122"/>
      <c r="G451" s="123"/>
      <c r="H451" s="118"/>
      <c r="I451" s="120"/>
      <c r="J451" s="120"/>
      <c r="K451" s="120"/>
      <c r="L451" s="120"/>
      <c r="M451" s="120"/>
      <c r="N451" s="120"/>
      <c r="O451" s="124"/>
      <c r="P451" s="124"/>
      <c r="Q451" s="124"/>
      <c r="R451" s="124"/>
      <c r="S451" s="125"/>
    </row>
    <row r="452" spans="1:19" ht="15" customHeight="1" x14ac:dyDescent="0.25">
      <c r="A452" s="120"/>
      <c r="B452" s="121"/>
      <c r="C452" s="122"/>
      <c r="D452" s="122"/>
      <c r="E452" s="122"/>
      <c r="F452" s="122"/>
      <c r="G452" s="123"/>
      <c r="H452" s="118"/>
      <c r="I452" s="120"/>
      <c r="J452" s="120"/>
      <c r="K452" s="120"/>
      <c r="L452" s="120"/>
      <c r="M452" s="120"/>
      <c r="N452" s="120"/>
      <c r="O452" s="124"/>
      <c r="P452" s="124"/>
      <c r="Q452" s="124"/>
      <c r="R452" s="124"/>
      <c r="S452" s="125"/>
    </row>
    <row r="453" spans="1:19" ht="15" customHeight="1" x14ac:dyDescent="0.25">
      <c r="A453" s="120"/>
      <c r="B453" s="121"/>
      <c r="C453" s="122"/>
      <c r="D453" s="122"/>
      <c r="E453" s="122"/>
      <c r="F453" s="122"/>
      <c r="G453" s="123"/>
      <c r="H453" s="118"/>
      <c r="I453" s="120"/>
      <c r="J453" s="120"/>
      <c r="K453" s="120"/>
      <c r="L453" s="120"/>
      <c r="M453" s="120"/>
      <c r="N453" s="120"/>
      <c r="O453" s="124"/>
      <c r="P453" s="124"/>
      <c r="Q453" s="124"/>
      <c r="R453" s="124"/>
      <c r="S453" s="125"/>
    </row>
    <row r="454" spans="1:19" ht="15" customHeight="1" x14ac:dyDescent="0.25">
      <c r="A454" s="120"/>
      <c r="B454" s="121"/>
      <c r="C454" s="122"/>
      <c r="D454" s="122"/>
      <c r="E454" s="122"/>
      <c r="F454" s="122"/>
      <c r="G454" s="123"/>
      <c r="H454" s="115" t="s">
        <v>31</v>
      </c>
      <c r="I454" s="120"/>
      <c r="J454" s="120"/>
      <c r="K454" s="120"/>
      <c r="L454" s="120"/>
      <c r="M454" s="120"/>
      <c r="N454" s="120"/>
      <c r="O454" s="124"/>
      <c r="P454" s="124"/>
      <c r="Q454" s="124"/>
      <c r="R454" s="124"/>
      <c r="S454" s="125"/>
    </row>
    <row r="455" spans="1:19" ht="15" customHeight="1" x14ac:dyDescent="0.25">
      <c r="A455" s="120"/>
      <c r="B455" s="121"/>
      <c r="C455" s="122"/>
      <c r="D455" s="122"/>
      <c r="E455" s="122"/>
      <c r="F455" s="122"/>
      <c r="G455" s="123"/>
      <c r="H455" s="114" t="s">
        <v>32</v>
      </c>
      <c r="I455" s="120"/>
      <c r="J455" s="120"/>
      <c r="K455" s="120"/>
      <c r="L455" s="120"/>
      <c r="M455" s="120"/>
      <c r="N455" s="120"/>
      <c r="O455" s="124"/>
      <c r="P455" s="124"/>
      <c r="Q455" s="124"/>
      <c r="R455" s="124"/>
      <c r="S455" s="125"/>
    </row>
    <row r="456" spans="1:19" ht="15" customHeight="1" x14ac:dyDescent="0.25">
      <c r="A456" s="120"/>
      <c r="B456" s="121"/>
      <c r="C456" s="122"/>
      <c r="D456" s="122"/>
      <c r="E456" s="122"/>
      <c r="F456" s="122"/>
      <c r="G456" s="123"/>
      <c r="H456" s="114" t="s">
        <v>33</v>
      </c>
      <c r="I456" s="120"/>
      <c r="J456" s="120"/>
      <c r="K456" s="120"/>
      <c r="L456" s="120"/>
      <c r="M456" s="120"/>
      <c r="N456" s="120"/>
      <c r="O456" s="124"/>
      <c r="P456" s="124"/>
      <c r="Q456" s="124"/>
      <c r="R456" s="124"/>
      <c r="S456" s="125"/>
    </row>
  </sheetData>
  <mergeCells count="884">
    <mergeCell ref="O439:R439"/>
    <mergeCell ref="O440:R440"/>
    <mergeCell ref="O441:R441"/>
    <mergeCell ref="O442:R442"/>
    <mergeCell ref="O443:R443"/>
    <mergeCell ref="O444:R444"/>
    <mergeCell ref="O445:R445"/>
    <mergeCell ref="O446:R446"/>
    <mergeCell ref="C366:F366"/>
    <mergeCell ref="C439:F439"/>
    <mergeCell ref="C440:F440"/>
    <mergeCell ref="C441:F441"/>
    <mergeCell ref="C442:F442"/>
    <mergeCell ref="C443:F443"/>
    <mergeCell ref="C444:F444"/>
    <mergeCell ref="C445:F445"/>
    <mergeCell ref="C446:F446"/>
    <mergeCell ref="C372:F372"/>
    <mergeCell ref="C373:F373"/>
    <mergeCell ref="C374:F374"/>
    <mergeCell ref="C375:F375"/>
    <mergeCell ref="C376:F376"/>
    <mergeCell ref="C377:F377"/>
    <mergeCell ref="C378:F378"/>
    <mergeCell ref="C379:F379"/>
    <mergeCell ref="C380:F380"/>
    <mergeCell ref="C381:F381"/>
    <mergeCell ref="C382:F382"/>
    <mergeCell ref="C383:F383"/>
    <mergeCell ref="C384:F384"/>
    <mergeCell ref="C385:F385"/>
    <mergeCell ref="C386:F386"/>
    <mergeCell ref="O368:R368"/>
    <mergeCell ref="O369:R369"/>
    <mergeCell ref="O370:R370"/>
    <mergeCell ref="O371:R371"/>
    <mergeCell ref="C367:F367"/>
    <mergeCell ref="C368:F368"/>
    <mergeCell ref="C369:F369"/>
    <mergeCell ref="C370:F370"/>
    <mergeCell ref="C371:F371"/>
    <mergeCell ref="O349:R349"/>
    <mergeCell ref="O350:R350"/>
    <mergeCell ref="O351:R351"/>
    <mergeCell ref="O352:R352"/>
    <mergeCell ref="O353:R353"/>
    <mergeCell ref="O354:R354"/>
    <mergeCell ref="O355:R355"/>
    <mergeCell ref="O366:R366"/>
    <mergeCell ref="O367:R367"/>
    <mergeCell ref="O356:R356"/>
    <mergeCell ref="O357:R357"/>
    <mergeCell ref="O358:R358"/>
    <mergeCell ref="O359:R359"/>
    <mergeCell ref="O360:R360"/>
    <mergeCell ref="O361:R361"/>
    <mergeCell ref="O362:R362"/>
    <mergeCell ref="O363:R363"/>
    <mergeCell ref="O364:R364"/>
    <mergeCell ref="O365:R365"/>
    <mergeCell ref="C358:F358"/>
    <mergeCell ref="C359:F359"/>
    <mergeCell ref="C360:F360"/>
    <mergeCell ref="C361:F361"/>
    <mergeCell ref="C362:F362"/>
    <mergeCell ref="C363:F363"/>
    <mergeCell ref="C364:F364"/>
    <mergeCell ref="C365:F365"/>
    <mergeCell ref="C349:F349"/>
    <mergeCell ref="C350:F350"/>
    <mergeCell ref="C351:F351"/>
    <mergeCell ref="C352:F352"/>
    <mergeCell ref="C353:F353"/>
    <mergeCell ref="C354:F354"/>
    <mergeCell ref="C355:F355"/>
    <mergeCell ref="C356:F356"/>
    <mergeCell ref="C357:F357"/>
    <mergeCell ref="O342:R342"/>
    <mergeCell ref="O343:R343"/>
    <mergeCell ref="O344:R344"/>
    <mergeCell ref="O345:R345"/>
    <mergeCell ref="O346:R346"/>
    <mergeCell ref="C347:F347"/>
    <mergeCell ref="C348:F348"/>
    <mergeCell ref="C346:F346"/>
    <mergeCell ref="C341:F341"/>
    <mergeCell ref="C342:F342"/>
    <mergeCell ref="C343:F343"/>
    <mergeCell ref="C344:F344"/>
    <mergeCell ref="C345:F345"/>
    <mergeCell ref="O347:R347"/>
    <mergeCell ref="O348:R348"/>
    <mergeCell ref="O333:R333"/>
    <mergeCell ref="O334:R334"/>
    <mergeCell ref="O335:R335"/>
    <mergeCell ref="O336:R336"/>
    <mergeCell ref="O337:R337"/>
    <mergeCell ref="O338:R338"/>
    <mergeCell ref="O339:R339"/>
    <mergeCell ref="O340:R340"/>
    <mergeCell ref="O341:R341"/>
    <mergeCell ref="O324:R324"/>
    <mergeCell ref="O325:R325"/>
    <mergeCell ref="O326:R326"/>
    <mergeCell ref="O327:R327"/>
    <mergeCell ref="O328:R328"/>
    <mergeCell ref="O329:R329"/>
    <mergeCell ref="O330:R330"/>
    <mergeCell ref="O331:R331"/>
    <mergeCell ref="O332:R332"/>
    <mergeCell ref="O300:R300"/>
    <mergeCell ref="O301:R301"/>
    <mergeCell ref="O302:R302"/>
    <mergeCell ref="O304:R304"/>
    <mergeCell ref="O305:R305"/>
    <mergeCell ref="O306:R306"/>
    <mergeCell ref="O307:R307"/>
    <mergeCell ref="O322:R322"/>
    <mergeCell ref="O323:R323"/>
    <mergeCell ref="O308:R308"/>
    <mergeCell ref="O309:R309"/>
    <mergeCell ref="O310:R310"/>
    <mergeCell ref="O311:R311"/>
    <mergeCell ref="O312:R312"/>
    <mergeCell ref="O313:R313"/>
    <mergeCell ref="O314:R314"/>
    <mergeCell ref="O315:R315"/>
    <mergeCell ref="O316:R316"/>
    <mergeCell ref="O317:R317"/>
    <mergeCell ref="O318:R318"/>
    <mergeCell ref="O319:R319"/>
    <mergeCell ref="O320:R320"/>
    <mergeCell ref="O321:R321"/>
    <mergeCell ref="O303:R303"/>
    <mergeCell ref="C337:F337"/>
    <mergeCell ref="C338:F338"/>
    <mergeCell ref="C339:F339"/>
    <mergeCell ref="C340:F340"/>
    <mergeCell ref="C328:F328"/>
    <mergeCell ref="C329:F329"/>
    <mergeCell ref="C330:F330"/>
    <mergeCell ref="C331:F331"/>
    <mergeCell ref="C332:F332"/>
    <mergeCell ref="C333:F333"/>
    <mergeCell ref="C334:F334"/>
    <mergeCell ref="C335:F335"/>
    <mergeCell ref="C336:F336"/>
    <mergeCell ref="C319:F319"/>
    <mergeCell ref="C320:F320"/>
    <mergeCell ref="C321:F321"/>
    <mergeCell ref="C322:F322"/>
    <mergeCell ref="C323:F323"/>
    <mergeCell ref="C324:F324"/>
    <mergeCell ref="C325:F325"/>
    <mergeCell ref="C326:F326"/>
    <mergeCell ref="C327:F327"/>
    <mergeCell ref="C310:F310"/>
    <mergeCell ref="C311:F311"/>
    <mergeCell ref="C312:F312"/>
    <mergeCell ref="C313:F313"/>
    <mergeCell ref="C314:F314"/>
    <mergeCell ref="C315:F315"/>
    <mergeCell ref="C316:F316"/>
    <mergeCell ref="C317:F317"/>
    <mergeCell ref="C318:F318"/>
    <mergeCell ref="C300:F300"/>
    <mergeCell ref="C301:F301"/>
    <mergeCell ref="C302:F302"/>
    <mergeCell ref="C304:F304"/>
    <mergeCell ref="C305:F305"/>
    <mergeCell ref="C306:F306"/>
    <mergeCell ref="C307:F307"/>
    <mergeCell ref="C308:F308"/>
    <mergeCell ref="C309:F309"/>
    <mergeCell ref="C303:F303"/>
    <mergeCell ref="O292:R292"/>
    <mergeCell ref="O293:R293"/>
    <mergeCell ref="O294:R294"/>
    <mergeCell ref="O295:R295"/>
    <mergeCell ref="O296:R296"/>
    <mergeCell ref="O297:R297"/>
    <mergeCell ref="C298:F298"/>
    <mergeCell ref="C299:F299"/>
    <mergeCell ref="C296:F296"/>
    <mergeCell ref="C297:F297"/>
    <mergeCell ref="C292:F292"/>
    <mergeCell ref="C293:F293"/>
    <mergeCell ref="C294:F294"/>
    <mergeCell ref="C295:F295"/>
    <mergeCell ref="O298:R298"/>
    <mergeCell ref="O299:R299"/>
    <mergeCell ref="O269:R269"/>
    <mergeCell ref="O270:R270"/>
    <mergeCell ref="O271:R271"/>
    <mergeCell ref="O272:R272"/>
    <mergeCell ref="O273:R273"/>
    <mergeCell ref="O274:R274"/>
    <mergeCell ref="O275:R275"/>
    <mergeCell ref="O276:R276"/>
    <mergeCell ref="O277:R277"/>
    <mergeCell ref="O278:R278"/>
    <mergeCell ref="O279:R279"/>
    <mergeCell ref="O280:R280"/>
    <mergeCell ref="O281:R281"/>
    <mergeCell ref="O282:R282"/>
    <mergeCell ref="O283:R283"/>
    <mergeCell ref="O284:R284"/>
    <mergeCell ref="O285:R285"/>
    <mergeCell ref="O286:R286"/>
    <mergeCell ref="O287:R287"/>
    <mergeCell ref="O288:R288"/>
    <mergeCell ref="O289:R289"/>
    <mergeCell ref="O290:R290"/>
    <mergeCell ref="C287:F287"/>
    <mergeCell ref="C288:F288"/>
    <mergeCell ref="C289:F289"/>
    <mergeCell ref="C290:F290"/>
    <mergeCell ref="C291:F291"/>
    <mergeCell ref="O291:R291"/>
    <mergeCell ref="C278:F278"/>
    <mergeCell ref="C279:F279"/>
    <mergeCell ref="C280:F280"/>
    <mergeCell ref="C281:F281"/>
    <mergeCell ref="C282:F282"/>
    <mergeCell ref="C283:F283"/>
    <mergeCell ref="C284:F284"/>
    <mergeCell ref="C285:F285"/>
    <mergeCell ref="C286:F286"/>
    <mergeCell ref="C269:F269"/>
    <mergeCell ref="C270:F270"/>
    <mergeCell ref="C271:F271"/>
    <mergeCell ref="C272:F272"/>
    <mergeCell ref="C273:F273"/>
    <mergeCell ref="C274:F274"/>
    <mergeCell ref="C275:F275"/>
    <mergeCell ref="C276:F276"/>
    <mergeCell ref="C277:F277"/>
    <mergeCell ref="C265:F265"/>
    <mergeCell ref="C266:F266"/>
    <mergeCell ref="C267:F267"/>
    <mergeCell ref="C268:F268"/>
    <mergeCell ref="O258:R258"/>
    <mergeCell ref="O259:R259"/>
    <mergeCell ref="O260:R260"/>
    <mergeCell ref="O261:R261"/>
    <mergeCell ref="O262:R262"/>
    <mergeCell ref="O263:R263"/>
    <mergeCell ref="O264:R264"/>
    <mergeCell ref="O265:R265"/>
    <mergeCell ref="O266:R266"/>
    <mergeCell ref="O267:R267"/>
    <mergeCell ref="O268:R268"/>
    <mergeCell ref="C257:F257"/>
    <mergeCell ref="O257:R257"/>
    <mergeCell ref="C258:F258"/>
    <mergeCell ref="C259:F259"/>
    <mergeCell ref="C260:F260"/>
    <mergeCell ref="C261:F261"/>
    <mergeCell ref="C262:F262"/>
    <mergeCell ref="C263:F263"/>
    <mergeCell ref="C264:F264"/>
    <mergeCell ref="C233:F233"/>
    <mergeCell ref="C234:F234"/>
    <mergeCell ref="C235:F235"/>
    <mergeCell ref="C236:F236"/>
    <mergeCell ref="C237:F237"/>
    <mergeCell ref="C255:F255"/>
    <mergeCell ref="O206:R206"/>
    <mergeCell ref="O207:R207"/>
    <mergeCell ref="O208:R208"/>
    <mergeCell ref="O209:R209"/>
    <mergeCell ref="O210:R210"/>
    <mergeCell ref="O211:R211"/>
    <mergeCell ref="O236:R236"/>
    <mergeCell ref="O237:R237"/>
    <mergeCell ref="O255:R255"/>
    <mergeCell ref="O225:R225"/>
    <mergeCell ref="O226:R226"/>
    <mergeCell ref="O227:R227"/>
    <mergeCell ref="O228:R228"/>
    <mergeCell ref="O229:R229"/>
    <mergeCell ref="O230:R230"/>
    <mergeCell ref="O231:R231"/>
    <mergeCell ref="O232:R232"/>
    <mergeCell ref="O233:R233"/>
    <mergeCell ref="O234:R234"/>
    <mergeCell ref="O235:R235"/>
    <mergeCell ref="O197:R197"/>
    <mergeCell ref="O198:R198"/>
    <mergeCell ref="O199:R199"/>
    <mergeCell ref="O200:R200"/>
    <mergeCell ref="O201:R201"/>
    <mergeCell ref="O202:R202"/>
    <mergeCell ref="O203:R203"/>
    <mergeCell ref="O204:R204"/>
    <mergeCell ref="O205:R205"/>
    <mergeCell ref="O224:R224"/>
    <mergeCell ref="C228:F228"/>
    <mergeCell ref="C229:F229"/>
    <mergeCell ref="C230:F230"/>
    <mergeCell ref="C231:F231"/>
    <mergeCell ref="C232:F232"/>
    <mergeCell ref="C216:F216"/>
    <mergeCell ref="C217:F217"/>
    <mergeCell ref="C218:F218"/>
    <mergeCell ref="C219:F219"/>
    <mergeCell ref="C220:F220"/>
    <mergeCell ref="C221:F221"/>
    <mergeCell ref="C222:F222"/>
    <mergeCell ref="C223:F223"/>
    <mergeCell ref="C224:F224"/>
    <mergeCell ref="C225:F225"/>
    <mergeCell ref="C226:F226"/>
    <mergeCell ref="C227:F227"/>
    <mergeCell ref="C192:F192"/>
    <mergeCell ref="C193:F193"/>
    <mergeCell ref="C194:F194"/>
    <mergeCell ref="C195:F195"/>
    <mergeCell ref="C196:F196"/>
    <mergeCell ref="C212:F212"/>
    <mergeCell ref="C213:F213"/>
    <mergeCell ref="C214:F214"/>
    <mergeCell ref="C215:F215"/>
    <mergeCell ref="C206:F206"/>
    <mergeCell ref="C207:F207"/>
    <mergeCell ref="C208:F208"/>
    <mergeCell ref="C209:F209"/>
    <mergeCell ref="C210:F210"/>
    <mergeCell ref="C211:F211"/>
    <mergeCell ref="C197:F197"/>
    <mergeCell ref="C198:F198"/>
    <mergeCell ref="C199:F199"/>
    <mergeCell ref="C200:F200"/>
    <mergeCell ref="C201:F201"/>
    <mergeCell ref="C202:F202"/>
    <mergeCell ref="C203:F203"/>
    <mergeCell ref="C204:F204"/>
    <mergeCell ref="C205:F205"/>
    <mergeCell ref="C183:F183"/>
    <mergeCell ref="C184:F184"/>
    <mergeCell ref="C185:F185"/>
    <mergeCell ref="C186:F186"/>
    <mergeCell ref="C187:F187"/>
    <mergeCell ref="C188:F188"/>
    <mergeCell ref="C189:F189"/>
    <mergeCell ref="C190:F190"/>
    <mergeCell ref="C191:F191"/>
    <mergeCell ref="C174:F174"/>
    <mergeCell ref="C175:F175"/>
    <mergeCell ref="C176:F176"/>
    <mergeCell ref="C177:F177"/>
    <mergeCell ref="C178:F178"/>
    <mergeCell ref="C179:F179"/>
    <mergeCell ref="C180:F180"/>
    <mergeCell ref="C181:F181"/>
    <mergeCell ref="C182:F182"/>
    <mergeCell ref="C165:F165"/>
    <mergeCell ref="C166:F166"/>
    <mergeCell ref="C167:F167"/>
    <mergeCell ref="C168:F168"/>
    <mergeCell ref="C169:F169"/>
    <mergeCell ref="C170:F170"/>
    <mergeCell ref="C171:F171"/>
    <mergeCell ref="C172:F172"/>
    <mergeCell ref="C173:F173"/>
    <mergeCell ref="C156:F156"/>
    <mergeCell ref="C157:F157"/>
    <mergeCell ref="C158:F158"/>
    <mergeCell ref="C159:F159"/>
    <mergeCell ref="C160:F160"/>
    <mergeCell ref="C161:F161"/>
    <mergeCell ref="C162:F162"/>
    <mergeCell ref="C163:F163"/>
    <mergeCell ref="C164:F164"/>
    <mergeCell ref="C147:F147"/>
    <mergeCell ref="C148:F148"/>
    <mergeCell ref="C149:F149"/>
    <mergeCell ref="C150:F150"/>
    <mergeCell ref="C151:F151"/>
    <mergeCell ref="C152:F152"/>
    <mergeCell ref="C153:F153"/>
    <mergeCell ref="C154:F154"/>
    <mergeCell ref="C155:F155"/>
    <mergeCell ref="C138:F138"/>
    <mergeCell ref="C139:F139"/>
    <mergeCell ref="C140:F140"/>
    <mergeCell ref="C141:F141"/>
    <mergeCell ref="C142:F142"/>
    <mergeCell ref="C143:F143"/>
    <mergeCell ref="C144:F144"/>
    <mergeCell ref="C145:F145"/>
    <mergeCell ref="C146:F146"/>
    <mergeCell ref="C129:F129"/>
    <mergeCell ref="C130:F130"/>
    <mergeCell ref="C131:F131"/>
    <mergeCell ref="C132:F132"/>
    <mergeCell ref="C133:F133"/>
    <mergeCell ref="C134:F134"/>
    <mergeCell ref="C135:F135"/>
    <mergeCell ref="C136:F136"/>
    <mergeCell ref="C137:F137"/>
    <mergeCell ref="C120:F120"/>
    <mergeCell ref="C121:F121"/>
    <mergeCell ref="C122:F122"/>
    <mergeCell ref="C123:F123"/>
    <mergeCell ref="C124:F124"/>
    <mergeCell ref="C125:F125"/>
    <mergeCell ref="C126:F126"/>
    <mergeCell ref="C127:F127"/>
    <mergeCell ref="C128:F128"/>
    <mergeCell ref="C79:F79"/>
    <mergeCell ref="C80:F80"/>
    <mergeCell ref="C90:F90"/>
    <mergeCell ref="C91:F91"/>
    <mergeCell ref="C81:F81"/>
    <mergeCell ref="C82:F82"/>
    <mergeCell ref="C83:F83"/>
    <mergeCell ref="C84:F84"/>
    <mergeCell ref="C85:F85"/>
    <mergeCell ref="C86:F86"/>
    <mergeCell ref="C87:F87"/>
    <mergeCell ref="C88:F88"/>
    <mergeCell ref="C89:F89"/>
    <mergeCell ref="C70:F70"/>
    <mergeCell ref="C71:F71"/>
    <mergeCell ref="C72:F72"/>
    <mergeCell ref="C73:F73"/>
    <mergeCell ref="C74:F74"/>
    <mergeCell ref="C75:F75"/>
    <mergeCell ref="C76:F76"/>
    <mergeCell ref="C77:F77"/>
    <mergeCell ref="C78:F78"/>
    <mergeCell ref="C61:F61"/>
    <mergeCell ref="C62:F62"/>
    <mergeCell ref="C63:F63"/>
    <mergeCell ref="C64:F64"/>
    <mergeCell ref="C65:F65"/>
    <mergeCell ref="C66:F66"/>
    <mergeCell ref="C67:F67"/>
    <mergeCell ref="C68:F68"/>
    <mergeCell ref="C69:F69"/>
    <mergeCell ref="C52:F52"/>
    <mergeCell ref="C53:F53"/>
    <mergeCell ref="C54:F54"/>
    <mergeCell ref="C55:F55"/>
    <mergeCell ref="C56:F56"/>
    <mergeCell ref="C57:F57"/>
    <mergeCell ref="C58:F58"/>
    <mergeCell ref="C59:F59"/>
    <mergeCell ref="C60:F60"/>
    <mergeCell ref="C43:F43"/>
    <mergeCell ref="C44:F44"/>
    <mergeCell ref="C45:F45"/>
    <mergeCell ref="C46:F46"/>
    <mergeCell ref="C47:F47"/>
    <mergeCell ref="C48:F48"/>
    <mergeCell ref="C49:F49"/>
    <mergeCell ref="C50:F50"/>
    <mergeCell ref="C51:F51"/>
    <mergeCell ref="C34:F34"/>
    <mergeCell ref="C35:F35"/>
    <mergeCell ref="C36:F36"/>
    <mergeCell ref="C37:F37"/>
    <mergeCell ref="C38:F38"/>
    <mergeCell ref="C39:F39"/>
    <mergeCell ref="C40:F40"/>
    <mergeCell ref="C41:F41"/>
    <mergeCell ref="C42:F42"/>
    <mergeCell ref="C24:F24"/>
    <mergeCell ref="C25:F25"/>
    <mergeCell ref="C26:F26"/>
    <mergeCell ref="C28:F28"/>
    <mergeCell ref="C29:F29"/>
    <mergeCell ref="C30:F30"/>
    <mergeCell ref="C31:F31"/>
    <mergeCell ref="C32:F32"/>
    <mergeCell ref="C33:F33"/>
    <mergeCell ref="C27:F27"/>
    <mergeCell ref="K12:L12"/>
    <mergeCell ref="M12:N12"/>
    <mergeCell ref="O12:R13"/>
    <mergeCell ref="O28:R28"/>
    <mergeCell ref="O29:R29"/>
    <mergeCell ref="S12:S13"/>
    <mergeCell ref="A12:A13"/>
    <mergeCell ref="B12:B13"/>
    <mergeCell ref="C12:F13"/>
    <mergeCell ref="H12:H13"/>
    <mergeCell ref="I12:I13"/>
    <mergeCell ref="J12:J13"/>
    <mergeCell ref="O15:R15"/>
    <mergeCell ref="O16:R16"/>
    <mergeCell ref="C14:F14"/>
    <mergeCell ref="C15:F15"/>
    <mergeCell ref="C16:F16"/>
    <mergeCell ref="C17:F17"/>
    <mergeCell ref="C18:F18"/>
    <mergeCell ref="C19:F19"/>
    <mergeCell ref="C20:F20"/>
    <mergeCell ref="C21:F21"/>
    <mergeCell ref="C22:F22"/>
    <mergeCell ref="C23:F23"/>
    <mergeCell ref="O21:R21"/>
    <mergeCell ref="O22:R22"/>
    <mergeCell ref="O23:R23"/>
    <mergeCell ref="O24:R24"/>
    <mergeCell ref="O25:R25"/>
    <mergeCell ref="O26:R26"/>
    <mergeCell ref="O17:R17"/>
    <mergeCell ref="O18:R18"/>
    <mergeCell ref="O19:R19"/>
    <mergeCell ref="O20:R20"/>
    <mergeCell ref="O34:R34"/>
    <mergeCell ref="O35:R35"/>
    <mergeCell ref="O36:R36"/>
    <mergeCell ref="O37:R37"/>
    <mergeCell ref="O38:R38"/>
    <mergeCell ref="O39:R39"/>
    <mergeCell ref="O30:R30"/>
    <mergeCell ref="O31:R31"/>
    <mergeCell ref="O32:R32"/>
    <mergeCell ref="O33:R33"/>
    <mergeCell ref="O46:R46"/>
    <mergeCell ref="O47:R47"/>
    <mergeCell ref="O48:R48"/>
    <mergeCell ref="O49:R49"/>
    <mergeCell ref="O50:R50"/>
    <mergeCell ref="O51:R51"/>
    <mergeCell ref="O40:R40"/>
    <mergeCell ref="O41:R41"/>
    <mergeCell ref="O42:R42"/>
    <mergeCell ref="O43:R43"/>
    <mergeCell ref="O44:R44"/>
    <mergeCell ref="O45:R45"/>
    <mergeCell ref="O58:R58"/>
    <mergeCell ref="O59:R59"/>
    <mergeCell ref="O60:R60"/>
    <mergeCell ref="O61:R61"/>
    <mergeCell ref="O62:R62"/>
    <mergeCell ref="O63:R63"/>
    <mergeCell ref="O52:R52"/>
    <mergeCell ref="O53:R53"/>
    <mergeCell ref="O54:R54"/>
    <mergeCell ref="O55:R55"/>
    <mergeCell ref="O56:R56"/>
    <mergeCell ref="O57:R57"/>
    <mergeCell ref="O70:R70"/>
    <mergeCell ref="O71:R71"/>
    <mergeCell ref="O72:R72"/>
    <mergeCell ref="O73:R73"/>
    <mergeCell ref="O74:R74"/>
    <mergeCell ref="O75:R75"/>
    <mergeCell ref="O64:R64"/>
    <mergeCell ref="O65:R65"/>
    <mergeCell ref="O66:R66"/>
    <mergeCell ref="O67:R67"/>
    <mergeCell ref="O68:R68"/>
    <mergeCell ref="O69:R69"/>
    <mergeCell ref="O82:R82"/>
    <mergeCell ref="O83:R83"/>
    <mergeCell ref="O84:R84"/>
    <mergeCell ref="O85:R85"/>
    <mergeCell ref="O86:R86"/>
    <mergeCell ref="O87:R87"/>
    <mergeCell ref="O76:R76"/>
    <mergeCell ref="O77:R77"/>
    <mergeCell ref="O78:R78"/>
    <mergeCell ref="O79:R79"/>
    <mergeCell ref="O80:R80"/>
    <mergeCell ref="O81:R81"/>
    <mergeCell ref="O94:R94"/>
    <mergeCell ref="O95:R95"/>
    <mergeCell ref="O96:R96"/>
    <mergeCell ref="O97:R97"/>
    <mergeCell ref="O98:R98"/>
    <mergeCell ref="O99:R99"/>
    <mergeCell ref="O88:R88"/>
    <mergeCell ref="O89:R89"/>
    <mergeCell ref="O90:R90"/>
    <mergeCell ref="O91:R91"/>
    <mergeCell ref="O92:R92"/>
    <mergeCell ref="O93:R93"/>
    <mergeCell ref="O106:R106"/>
    <mergeCell ref="O107:R107"/>
    <mergeCell ref="O108:R108"/>
    <mergeCell ref="O109:R109"/>
    <mergeCell ref="O110:R110"/>
    <mergeCell ref="O111:R111"/>
    <mergeCell ref="O100:R100"/>
    <mergeCell ref="O101:R101"/>
    <mergeCell ref="O102:R102"/>
    <mergeCell ref="O103:R103"/>
    <mergeCell ref="O104:R104"/>
    <mergeCell ref="O105:R105"/>
    <mergeCell ref="O118:R118"/>
    <mergeCell ref="O119:R119"/>
    <mergeCell ref="O120:R120"/>
    <mergeCell ref="O121:R121"/>
    <mergeCell ref="O122:R122"/>
    <mergeCell ref="O123:R123"/>
    <mergeCell ref="O112:R112"/>
    <mergeCell ref="O113:R113"/>
    <mergeCell ref="O114:R114"/>
    <mergeCell ref="O115:R115"/>
    <mergeCell ref="O116:R116"/>
    <mergeCell ref="O117:R117"/>
    <mergeCell ref="O130:R130"/>
    <mergeCell ref="O131:R131"/>
    <mergeCell ref="O132:R132"/>
    <mergeCell ref="O133:R133"/>
    <mergeCell ref="O134:R134"/>
    <mergeCell ref="O135:R135"/>
    <mergeCell ref="O124:R124"/>
    <mergeCell ref="O125:R125"/>
    <mergeCell ref="O126:R126"/>
    <mergeCell ref="O127:R127"/>
    <mergeCell ref="O128:R128"/>
    <mergeCell ref="O129:R129"/>
    <mergeCell ref="O142:R142"/>
    <mergeCell ref="O143:R143"/>
    <mergeCell ref="O144:R144"/>
    <mergeCell ref="O145:R145"/>
    <mergeCell ref="O146:R146"/>
    <mergeCell ref="O147:R147"/>
    <mergeCell ref="O136:R136"/>
    <mergeCell ref="O137:R137"/>
    <mergeCell ref="O138:R138"/>
    <mergeCell ref="O139:R139"/>
    <mergeCell ref="O140:R140"/>
    <mergeCell ref="O141:R141"/>
    <mergeCell ref="O154:R154"/>
    <mergeCell ref="O155:R155"/>
    <mergeCell ref="O156:R156"/>
    <mergeCell ref="O157:R157"/>
    <mergeCell ref="O158:R158"/>
    <mergeCell ref="O159:R159"/>
    <mergeCell ref="O148:R148"/>
    <mergeCell ref="O149:R149"/>
    <mergeCell ref="O150:R150"/>
    <mergeCell ref="O151:R151"/>
    <mergeCell ref="O152:R152"/>
    <mergeCell ref="O153:R153"/>
    <mergeCell ref="O166:R166"/>
    <mergeCell ref="O167:R167"/>
    <mergeCell ref="O168:R168"/>
    <mergeCell ref="O169:R169"/>
    <mergeCell ref="O170:R170"/>
    <mergeCell ref="O171:R171"/>
    <mergeCell ref="O160:R160"/>
    <mergeCell ref="O161:R161"/>
    <mergeCell ref="O162:R162"/>
    <mergeCell ref="O163:R163"/>
    <mergeCell ref="O164:R164"/>
    <mergeCell ref="O165:R165"/>
    <mergeCell ref="O178:R178"/>
    <mergeCell ref="O179:R179"/>
    <mergeCell ref="O180:R180"/>
    <mergeCell ref="O181:R181"/>
    <mergeCell ref="O182:R182"/>
    <mergeCell ref="O183:R183"/>
    <mergeCell ref="O172:R172"/>
    <mergeCell ref="O173:R173"/>
    <mergeCell ref="O174:R174"/>
    <mergeCell ref="O175:R175"/>
    <mergeCell ref="O176:R176"/>
    <mergeCell ref="O177:R177"/>
    <mergeCell ref="A7:S7"/>
    <mergeCell ref="B1:S1"/>
    <mergeCell ref="B2:S2"/>
    <mergeCell ref="B3:S3"/>
    <mergeCell ref="B4:S4"/>
    <mergeCell ref="A6:S6"/>
    <mergeCell ref="B8:S8"/>
    <mergeCell ref="B10:S10"/>
    <mergeCell ref="O223:R223"/>
    <mergeCell ref="O14:R14"/>
    <mergeCell ref="O217:R217"/>
    <mergeCell ref="O218:R218"/>
    <mergeCell ref="O219:R219"/>
    <mergeCell ref="O220:R220"/>
    <mergeCell ref="O221:R221"/>
    <mergeCell ref="O222:R222"/>
    <mergeCell ref="O196:R196"/>
    <mergeCell ref="O212:R212"/>
    <mergeCell ref="O213:R213"/>
    <mergeCell ref="C92:F92"/>
    <mergeCell ref="C93:F93"/>
    <mergeCell ref="C94:F94"/>
    <mergeCell ref="C95:F95"/>
    <mergeCell ref="C96:F96"/>
    <mergeCell ref="C97:F97"/>
    <mergeCell ref="C98:F98"/>
    <mergeCell ref="C99:F99"/>
    <mergeCell ref="O214:R214"/>
    <mergeCell ref="O215:R215"/>
    <mergeCell ref="O216:R216"/>
    <mergeCell ref="O190:R190"/>
    <mergeCell ref="O191:R191"/>
    <mergeCell ref="O192:R192"/>
    <mergeCell ref="O193:R193"/>
    <mergeCell ref="O194:R194"/>
    <mergeCell ref="O195:R195"/>
    <mergeCell ref="O184:R184"/>
    <mergeCell ref="O185:R185"/>
    <mergeCell ref="O186:R186"/>
    <mergeCell ref="O187:R187"/>
    <mergeCell ref="O188:R188"/>
    <mergeCell ref="O189:R189"/>
    <mergeCell ref="C100:F100"/>
    <mergeCell ref="C101:F101"/>
    <mergeCell ref="C102:F102"/>
    <mergeCell ref="C103:F103"/>
    <mergeCell ref="C104:F104"/>
    <mergeCell ref="C105:F105"/>
    <mergeCell ref="C106:F106"/>
    <mergeCell ref="C107:F107"/>
    <mergeCell ref="C108:F108"/>
    <mergeCell ref="C118:F118"/>
    <mergeCell ref="C119:F119"/>
    <mergeCell ref="C109:F109"/>
    <mergeCell ref="C110:F110"/>
    <mergeCell ref="C111:F111"/>
    <mergeCell ref="C112:F112"/>
    <mergeCell ref="C113:F113"/>
    <mergeCell ref="C114:F114"/>
    <mergeCell ref="C115:F115"/>
    <mergeCell ref="C116:F116"/>
    <mergeCell ref="C117:F117"/>
    <mergeCell ref="C238:F238"/>
    <mergeCell ref="C239:F239"/>
    <mergeCell ref="C240:F240"/>
    <mergeCell ref="C241:F241"/>
    <mergeCell ref="C242:F242"/>
    <mergeCell ref="C243:F243"/>
    <mergeCell ref="C244:F244"/>
    <mergeCell ref="C245:F245"/>
    <mergeCell ref="C246:F246"/>
    <mergeCell ref="O238:R238"/>
    <mergeCell ref="O239:R239"/>
    <mergeCell ref="O240:R240"/>
    <mergeCell ref="O241:R241"/>
    <mergeCell ref="O242:R242"/>
    <mergeCell ref="O243:R243"/>
    <mergeCell ref="O244:R244"/>
    <mergeCell ref="O245:R245"/>
    <mergeCell ref="O246:R246"/>
    <mergeCell ref="O254:R254"/>
    <mergeCell ref="C256:F256"/>
    <mergeCell ref="C247:F247"/>
    <mergeCell ref="C248:F248"/>
    <mergeCell ref="C249:F249"/>
    <mergeCell ref="C250:F250"/>
    <mergeCell ref="C251:F251"/>
    <mergeCell ref="C252:F252"/>
    <mergeCell ref="C253:F253"/>
    <mergeCell ref="C254:F254"/>
    <mergeCell ref="O247:R247"/>
    <mergeCell ref="O248:R248"/>
    <mergeCell ref="O249:R249"/>
    <mergeCell ref="O250:R250"/>
    <mergeCell ref="O251:R251"/>
    <mergeCell ref="O252:R252"/>
    <mergeCell ref="O253:R253"/>
    <mergeCell ref="O256:R256"/>
    <mergeCell ref="C387:F387"/>
    <mergeCell ref="C388:F388"/>
    <mergeCell ref="C389:F389"/>
    <mergeCell ref="C390:F390"/>
    <mergeCell ref="C391:F391"/>
    <mergeCell ref="C392:F392"/>
    <mergeCell ref="C393:F393"/>
    <mergeCell ref="C394:F394"/>
    <mergeCell ref="C395:F395"/>
    <mergeCell ref="C396:F396"/>
    <mergeCell ref="C397:F397"/>
    <mergeCell ref="C398:F398"/>
    <mergeCell ref="C399:F399"/>
    <mergeCell ref="C400:F400"/>
    <mergeCell ref="C401:F401"/>
    <mergeCell ref="C402:F402"/>
    <mergeCell ref="C403:F403"/>
    <mergeCell ref="C404:F404"/>
    <mergeCell ref="C405:F405"/>
    <mergeCell ref="C406:F406"/>
    <mergeCell ref="C407:F407"/>
    <mergeCell ref="C408:F408"/>
    <mergeCell ref="C409:F409"/>
    <mergeCell ref="C410:F410"/>
    <mergeCell ref="C411:F411"/>
    <mergeCell ref="C412:F412"/>
    <mergeCell ref="C413:F413"/>
    <mergeCell ref="C414:F414"/>
    <mergeCell ref="C415:F415"/>
    <mergeCell ref="C416:F416"/>
    <mergeCell ref="C417:F417"/>
    <mergeCell ref="C418:F418"/>
    <mergeCell ref="C419:F419"/>
    <mergeCell ref="C420:F420"/>
    <mergeCell ref="C421:F421"/>
    <mergeCell ref="C422:F422"/>
    <mergeCell ref="C423:F423"/>
    <mergeCell ref="C424:F424"/>
    <mergeCell ref="C425:F425"/>
    <mergeCell ref="C426:F426"/>
    <mergeCell ref="C427:F427"/>
    <mergeCell ref="C428:F428"/>
    <mergeCell ref="C429:F429"/>
    <mergeCell ref="C430:F430"/>
    <mergeCell ref="C431:F431"/>
    <mergeCell ref="C432:F432"/>
    <mergeCell ref="C433:F433"/>
    <mergeCell ref="C434:F434"/>
    <mergeCell ref="C435:F435"/>
    <mergeCell ref="C436:F436"/>
    <mergeCell ref="C437:F437"/>
    <mergeCell ref="C438:F438"/>
    <mergeCell ref="O372:R372"/>
    <mergeCell ref="O373:R373"/>
    <mergeCell ref="O374:R374"/>
    <mergeCell ref="O375:R375"/>
    <mergeCell ref="O376:R376"/>
    <mergeCell ref="O377:R377"/>
    <mergeCell ref="O378:R378"/>
    <mergeCell ref="O379:R379"/>
    <mergeCell ref="O380:R380"/>
    <mergeCell ref="O381:R381"/>
    <mergeCell ref="O382:R382"/>
    <mergeCell ref="O383:R383"/>
    <mergeCell ref="O384:R384"/>
    <mergeCell ref="O385:R385"/>
    <mergeCell ref="O386:R386"/>
    <mergeCell ref="O387:R387"/>
    <mergeCell ref="O388:R388"/>
    <mergeCell ref="O389:R389"/>
    <mergeCell ref="O390:R390"/>
    <mergeCell ref="O391:R391"/>
    <mergeCell ref="O392:R392"/>
    <mergeCell ref="O393:R393"/>
    <mergeCell ref="O394:R394"/>
    <mergeCell ref="O395:R395"/>
    <mergeCell ref="O396:R396"/>
    <mergeCell ref="O397:R397"/>
    <mergeCell ref="O398:R398"/>
    <mergeCell ref="O399:R399"/>
    <mergeCell ref="O400:R400"/>
    <mergeCell ref="O401:R401"/>
    <mergeCell ref="O402:R402"/>
    <mergeCell ref="O403:R403"/>
    <mergeCell ref="O404:R404"/>
    <mergeCell ref="O405:R405"/>
    <mergeCell ref="O406:R406"/>
    <mergeCell ref="O407:R407"/>
    <mergeCell ref="O408:R408"/>
    <mergeCell ref="O409:R409"/>
    <mergeCell ref="O410:R410"/>
    <mergeCell ref="O411:R411"/>
    <mergeCell ref="O412:R412"/>
    <mergeCell ref="O413:R413"/>
    <mergeCell ref="O414:R414"/>
    <mergeCell ref="O415:R415"/>
    <mergeCell ref="O27:R27"/>
    <mergeCell ref="O425:R425"/>
    <mergeCell ref="O426:R426"/>
    <mergeCell ref="O427:R427"/>
    <mergeCell ref="O437:R437"/>
    <mergeCell ref="O438:R438"/>
    <mergeCell ref="O428:R428"/>
    <mergeCell ref="O429:R429"/>
    <mergeCell ref="O430:R430"/>
    <mergeCell ref="O431:R431"/>
    <mergeCell ref="O432:R432"/>
    <mergeCell ref="O433:R433"/>
    <mergeCell ref="O434:R434"/>
    <mergeCell ref="O435:R435"/>
    <mergeCell ref="O436:R436"/>
    <mergeCell ref="O416:R416"/>
    <mergeCell ref="O417:R417"/>
    <mergeCell ref="O418:R418"/>
    <mergeCell ref="O419:R419"/>
    <mergeCell ref="O420:R420"/>
    <mergeCell ref="O421:R421"/>
    <mergeCell ref="O422:R422"/>
    <mergeCell ref="O423:R423"/>
    <mergeCell ref="O424:R424"/>
  </mergeCells>
  <pageMargins left="0.43" right="0.2" top="0.31" bottom="0.75" header="0.19" footer="0.21"/>
  <pageSetup paperSize="5" scale="80" orientation="portrait" horizontalDpi="4294967293" verticalDpi="3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T40"/>
  <sheetViews>
    <sheetView workbookViewId="0">
      <selection activeCell="T7" sqref="T7"/>
    </sheetView>
  </sheetViews>
  <sheetFormatPr defaultRowHeight="12.75" x14ac:dyDescent="0.2"/>
  <cols>
    <col min="1" max="1" width="10.5" customWidth="1"/>
    <col min="4" max="4" width="11.83203125" customWidth="1"/>
    <col min="7" max="7" width="7.33203125" customWidth="1"/>
    <col min="12" max="12" width="8.1640625" customWidth="1"/>
    <col min="13" max="13" width="10.33203125" customWidth="1"/>
    <col min="14" max="14" width="10.83203125" customWidth="1"/>
    <col min="17" max="17" width="10.33203125" customWidth="1"/>
  </cols>
  <sheetData>
    <row r="3" spans="1:19" ht="15.75" x14ac:dyDescent="0.2">
      <c r="A3" s="140" t="s">
        <v>2444</v>
      </c>
    </row>
    <row r="4" spans="1:19" x14ac:dyDescent="0.2">
      <c r="A4" s="127"/>
      <c r="B4" s="113" t="s">
        <v>2440</v>
      </c>
      <c r="C4" s="113" t="s">
        <v>2441</v>
      </c>
      <c r="D4" s="113" t="s">
        <v>2445</v>
      </c>
      <c r="E4" s="113" t="s">
        <v>2446</v>
      </c>
      <c r="F4" s="113" t="s">
        <v>2447</v>
      </c>
      <c r="G4" s="113" t="s">
        <v>2442</v>
      </c>
      <c r="H4" s="113" t="s">
        <v>2448</v>
      </c>
      <c r="I4" s="113" t="s">
        <v>2449</v>
      </c>
      <c r="J4" s="113" t="s">
        <v>2450</v>
      </c>
      <c r="K4" s="113" t="s">
        <v>2451</v>
      </c>
      <c r="L4" s="113" t="s">
        <v>2452</v>
      </c>
      <c r="M4" s="127" t="s">
        <v>2477</v>
      </c>
      <c r="N4" s="132" t="s">
        <v>2480</v>
      </c>
      <c r="O4" s="131" t="s">
        <v>2465</v>
      </c>
    </row>
    <row r="5" spans="1:19" x14ac:dyDescent="0.2">
      <c r="A5" s="127" t="s">
        <v>2453</v>
      </c>
      <c r="B5" s="113">
        <v>20</v>
      </c>
      <c r="C5" s="113">
        <v>6</v>
      </c>
      <c r="D5" s="113">
        <v>1</v>
      </c>
      <c r="E5" s="113">
        <v>4</v>
      </c>
      <c r="F5" s="113">
        <v>0</v>
      </c>
      <c r="G5" s="113">
        <v>0</v>
      </c>
      <c r="H5" s="113">
        <v>4</v>
      </c>
      <c r="I5" s="113">
        <v>1</v>
      </c>
      <c r="J5" s="113">
        <v>0</v>
      </c>
      <c r="K5" s="113">
        <v>0</v>
      </c>
      <c r="L5" s="113">
        <v>0</v>
      </c>
      <c r="M5" s="130">
        <v>0</v>
      </c>
      <c r="N5" s="130">
        <v>0</v>
      </c>
      <c r="O5" s="113">
        <f>SUM(B5:N5)</f>
        <v>36</v>
      </c>
      <c r="S5" s="62"/>
    </row>
    <row r="6" spans="1:19" ht="15" customHeight="1" x14ac:dyDescent="0.2">
      <c r="A6" s="127" t="s">
        <v>2454</v>
      </c>
      <c r="B6" s="113">
        <v>23</v>
      </c>
      <c r="C6" s="113">
        <v>3</v>
      </c>
      <c r="D6" s="113">
        <v>1</v>
      </c>
      <c r="E6" s="113">
        <v>3</v>
      </c>
      <c r="F6" s="113">
        <v>0</v>
      </c>
      <c r="G6" s="113">
        <v>0</v>
      </c>
      <c r="H6" s="113">
        <v>1</v>
      </c>
      <c r="I6" s="113">
        <v>0</v>
      </c>
      <c r="J6" s="113">
        <v>0</v>
      </c>
      <c r="K6" s="113">
        <v>0</v>
      </c>
      <c r="L6" s="113">
        <v>0</v>
      </c>
      <c r="M6" s="113">
        <v>0</v>
      </c>
      <c r="N6" s="113">
        <v>0</v>
      </c>
      <c r="O6" s="113">
        <f t="shared" ref="O6:O16" si="0">SUM(B6:N6)</f>
        <v>31</v>
      </c>
      <c r="S6" s="62"/>
    </row>
    <row r="7" spans="1:19" x14ac:dyDescent="0.2">
      <c r="A7" s="127" t="s">
        <v>2456</v>
      </c>
      <c r="B7" s="113">
        <v>16</v>
      </c>
      <c r="C7" s="113">
        <v>3</v>
      </c>
      <c r="D7" s="113">
        <v>4</v>
      </c>
      <c r="E7" s="113">
        <v>1</v>
      </c>
      <c r="F7" s="113">
        <v>0</v>
      </c>
      <c r="G7" s="113">
        <v>2</v>
      </c>
      <c r="H7" s="113">
        <v>2</v>
      </c>
      <c r="I7" s="113">
        <v>2</v>
      </c>
      <c r="J7" s="113">
        <v>0</v>
      </c>
      <c r="K7" s="113">
        <v>0</v>
      </c>
      <c r="L7" s="113">
        <v>1</v>
      </c>
      <c r="M7" s="113">
        <v>0</v>
      </c>
      <c r="N7" s="113">
        <v>0</v>
      </c>
      <c r="O7" s="113">
        <f t="shared" si="0"/>
        <v>31</v>
      </c>
      <c r="S7" s="62"/>
    </row>
    <row r="8" spans="1:19" x14ac:dyDescent="0.2">
      <c r="A8" s="127" t="s">
        <v>2457</v>
      </c>
      <c r="B8" s="113">
        <v>20</v>
      </c>
      <c r="C8" s="113">
        <v>1</v>
      </c>
      <c r="D8" s="113">
        <v>4</v>
      </c>
      <c r="E8" s="113">
        <v>0</v>
      </c>
      <c r="F8" s="113">
        <v>0</v>
      </c>
      <c r="G8" s="113">
        <v>4</v>
      </c>
      <c r="H8" s="113">
        <v>2</v>
      </c>
      <c r="I8" s="113">
        <v>0</v>
      </c>
      <c r="J8" s="113">
        <v>1</v>
      </c>
      <c r="K8" s="113">
        <v>0</v>
      </c>
      <c r="L8" s="113">
        <v>0</v>
      </c>
      <c r="M8" s="113">
        <v>0</v>
      </c>
      <c r="N8" s="113">
        <v>0</v>
      </c>
      <c r="O8" s="113">
        <f t="shared" si="0"/>
        <v>32</v>
      </c>
      <c r="S8" s="62"/>
    </row>
    <row r="9" spans="1:19" x14ac:dyDescent="0.2">
      <c r="A9" s="127" t="s">
        <v>2455</v>
      </c>
      <c r="B9" s="113">
        <v>25</v>
      </c>
      <c r="C9" s="113">
        <v>3</v>
      </c>
      <c r="D9" s="113">
        <v>2</v>
      </c>
      <c r="E9" s="113">
        <v>1</v>
      </c>
      <c r="F9" s="113">
        <v>1</v>
      </c>
      <c r="G9" s="113">
        <v>2</v>
      </c>
      <c r="H9" s="113">
        <v>2</v>
      </c>
      <c r="I9" s="113">
        <v>1</v>
      </c>
      <c r="J9" s="113">
        <v>0</v>
      </c>
      <c r="K9" s="113">
        <v>0</v>
      </c>
      <c r="L9" s="113">
        <v>0</v>
      </c>
      <c r="M9" s="113">
        <v>0</v>
      </c>
      <c r="N9" s="113">
        <v>0</v>
      </c>
      <c r="O9" s="113">
        <f t="shared" si="0"/>
        <v>37</v>
      </c>
      <c r="S9" s="62"/>
    </row>
    <row r="10" spans="1:19" x14ac:dyDescent="0.2">
      <c r="A10" s="127" t="s">
        <v>2458</v>
      </c>
      <c r="B10" s="113">
        <v>22</v>
      </c>
      <c r="C10" s="113">
        <v>5</v>
      </c>
      <c r="D10" s="113">
        <v>3</v>
      </c>
      <c r="E10" s="113">
        <v>0</v>
      </c>
      <c r="F10" s="113">
        <v>0</v>
      </c>
      <c r="G10" s="113">
        <v>0</v>
      </c>
      <c r="H10" s="113">
        <v>2</v>
      </c>
      <c r="I10" s="113">
        <v>0</v>
      </c>
      <c r="J10" s="113">
        <v>0</v>
      </c>
      <c r="K10" s="113">
        <v>0</v>
      </c>
      <c r="L10" s="113">
        <v>0</v>
      </c>
      <c r="M10" s="113">
        <v>0</v>
      </c>
      <c r="N10" s="113">
        <v>0</v>
      </c>
      <c r="O10" s="113">
        <f t="shared" si="0"/>
        <v>32</v>
      </c>
      <c r="S10" s="62"/>
    </row>
    <row r="11" spans="1:19" x14ac:dyDescent="0.2">
      <c r="A11" s="127" t="s">
        <v>2459</v>
      </c>
      <c r="B11" s="113">
        <v>21</v>
      </c>
      <c r="C11" s="113">
        <v>6</v>
      </c>
      <c r="D11" s="113">
        <v>0</v>
      </c>
      <c r="E11" s="113">
        <v>1</v>
      </c>
      <c r="F11" s="113">
        <v>0</v>
      </c>
      <c r="G11" s="113">
        <v>4</v>
      </c>
      <c r="H11" s="113">
        <v>1</v>
      </c>
      <c r="I11" s="113">
        <v>0</v>
      </c>
      <c r="J11" s="113">
        <v>0</v>
      </c>
      <c r="K11" s="113">
        <v>0</v>
      </c>
      <c r="L11" s="113">
        <v>0</v>
      </c>
      <c r="M11" s="113">
        <v>0</v>
      </c>
      <c r="N11" s="113">
        <v>0</v>
      </c>
      <c r="O11" s="113">
        <f t="shared" si="0"/>
        <v>33</v>
      </c>
      <c r="S11" s="62"/>
    </row>
    <row r="12" spans="1:19" x14ac:dyDescent="0.2">
      <c r="A12" s="127" t="s">
        <v>2460</v>
      </c>
      <c r="B12" s="113">
        <v>23</v>
      </c>
      <c r="C12" s="113">
        <v>6</v>
      </c>
      <c r="D12" s="113">
        <v>2</v>
      </c>
      <c r="E12" s="113">
        <v>1</v>
      </c>
      <c r="F12" s="113">
        <v>3</v>
      </c>
      <c r="G12" s="113">
        <v>2</v>
      </c>
      <c r="H12" s="113">
        <v>0</v>
      </c>
      <c r="I12" s="113">
        <v>0</v>
      </c>
      <c r="J12" s="113">
        <v>0</v>
      </c>
      <c r="K12" s="113">
        <v>0</v>
      </c>
      <c r="L12" s="113">
        <v>0</v>
      </c>
      <c r="M12" s="113">
        <v>0</v>
      </c>
      <c r="N12" s="113">
        <v>1</v>
      </c>
      <c r="O12" s="113">
        <f t="shared" si="0"/>
        <v>38</v>
      </c>
      <c r="S12" s="62"/>
    </row>
    <row r="13" spans="1:19" x14ac:dyDescent="0.2">
      <c r="A13" s="127" t="s">
        <v>2461</v>
      </c>
      <c r="B13" s="113">
        <v>18</v>
      </c>
      <c r="C13" s="113">
        <v>4</v>
      </c>
      <c r="D13" s="113">
        <v>2</v>
      </c>
      <c r="E13" s="113">
        <v>1</v>
      </c>
      <c r="F13" s="113">
        <v>0</v>
      </c>
      <c r="G13" s="113">
        <v>3</v>
      </c>
      <c r="H13" s="113">
        <v>1</v>
      </c>
      <c r="I13" s="113">
        <v>1</v>
      </c>
      <c r="J13" s="113">
        <v>0</v>
      </c>
      <c r="K13" s="113">
        <v>0</v>
      </c>
      <c r="L13" s="113">
        <v>0</v>
      </c>
      <c r="M13" s="113">
        <v>0</v>
      </c>
      <c r="N13" s="113">
        <v>0</v>
      </c>
      <c r="O13" s="113">
        <f t="shared" si="0"/>
        <v>30</v>
      </c>
      <c r="S13" s="62"/>
    </row>
    <row r="14" spans="1:19" x14ac:dyDescent="0.2">
      <c r="A14" s="127" t="s">
        <v>2462</v>
      </c>
      <c r="B14" s="113">
        <v>29</v>
      </c>
      <c r="C14" s="113">
        <v>2</v>
      </c>
      <c r="D14" s="113">
        <v>2</v>
      </c>
      <c r="E14" s="113">
        <v>2</v>
      </c>
      <c r="F14" s="113">
        <v>0</v>
      </c>
      <c r="G14" s="113">
        <v>1</v>
      </c>
      <c r="H14" s="113">
        <v>1</v>
      </c>
      <c r="I14" s="113">
        <v>0</v>
      </c>
      <c r="J14" s="113">
        <v>0</v>
      </c>
      <c r="K14" s="113">
        <v>0</v>
      </c>
      <c r="L14" s="113">
        <v>0</v>
      </c>
      <c r="M14" s="113">
        <v>0</v>
      </c>
      <c r="N14" s="113">
        <v>0</v>
      </c>
      <c r="O14" s="113">
        <f t="shared" si="0"/>
        <v>37</v>
      </c>
      <c r="S14" s="62"/>
    </row>
    <row r="15" spans="1:19" x14ac:dyDescent="0.2">
      <c r="A15" s="127" t="s">
        <v>2463</v>
      </c>
      <c r="B15" s="113">
        <v>13</v>
      </c>
      <c r="C15" s="113">
        <v>6</v>
      </c>
      <c r="D15" s="113">
        <v>1</v>
      </c>
      <c r="E15" s="113">
        <v>0</v>
      </c>
      <c r="F15" s="113">
        <v>1</v>
      </c>
      <c r="G15" s="113">
        <v>0</v>
      </c>
      <c r="H15" s="113">
        <v>0</v>
      </c>
      <c r="I15" s="113">
        <v>1</v>
      </c>
      <c r="J15" s="113">
        <v>0</v>
      </c>
      <c r="K15" s="113">
        <v>0</v>
      </c>
      <c r="L15" s="113">
        <v>0</v>
      </c>
      <c r="M15" s="113">
        <v>0</v>
      </c>
      <c r="N15" s="113">
        <v>0</v>
      </c>
      <c r="O15" s="113">
        <f t="shared" si="0"/>
        <v>22</v>
      </c>
      <c r="S15" s="62"/>
    </row>
    <row r="16" spans="1:19" x14ac:dyDescent="0.2">
      <c r="A16" s="127" t="s">
        <v>2464</v>
      </c>
      <c r="B16" s="113">
        <v>10</v>
      </c>
      <c r="C16" s="113">
        <v>2</v>
      </c>
      <c r="D16" s="113">
        <v>1</v>
      </c>
      <c r="E16" s="113">
        <v>0</v>
      </c>
      <c r="F16" s="113">
        <v>1</v>
      </c>
      <c r="G16" s="113">
        <v>3</v>
      </c>
      <c r="H16" s="113">
        <v>0</v>
      </c>
      <c r="I16" s="113">
        <v>0</v>
      </c>
      <c r="J16" s="113">
        <v>0</v>
      </c>
      <c r="K16" s="113">
        <v>1</v>
      </c>
      <c r="L16" s="113">
        <v>0</v>
      </c>
      <c r="M16" s="113">
        <v>1</v>
      </c>
      <c r="N16" s="113">
        <v>0</v>
      </c>
      <c r="O16" s="113">
        <f t="shared" si="0"/>
        <v>19</v>
      </c>
      <c r="S16" s="62"/>
    </row>
    <row r="17" spans="1:20" x14ac:dyDescent="0.2">
      <c r="A17" s="127"/>
      <c r="B17" s="113"/>
      <c r="C17" s="113"/>
      <c r="D17" s="113"/>
      <c r="E17" s="113"/>
      <c r="F17" s="113"/>
      <c r="G17" s="113"/>
      <c r="H17" s="113"/>
      <c r="I17" s="113"/>
      <c r="J17" s="113"/>
      <c r="K17" s="113"/>
      <c r="L17" s="113"/>
      <c r="M17" s="113"/>
      <c r="N17" s="127"/>
      <c r="O17" s="127"/>
    </row>
    <row r="18" spans="1:20" x14ac:dyDescent="0.2">
      <c r="A18" s="127" t="s">
        <v>2465</v>
      </c>
      <c r="B18" s="113">
        <f>SUM(B5:B17)</f>
        <v>240</v>
      </c>
      <c r="C18" s="113">
        <f t="shared" ref="C18:N18" si="1">SUM(C5:C17)</f>
        <v>47</v>
      </c>
      <c r="D18" s="113">
        <f t="shared" si="1"/>
        <v>23</v>
      </c>
      <c r="E18" s="113">
        <f t="shared" si="1"/>
        <v>14</v>
      </c>
      <c r="F18" s="113">
        <f t="shared" si="1"/>
        <v>6</v>
      </c>
      <c r="G18" s="113">
        <f t="shared" si="1"/>
        <v>21</v>
      </c>
      <c r="H18" s="113">
        <f t="shared" si="1"/>
        <v>16</v>
      </c>
      <c r="I18" s="113">
        <f t="shared" si="1"/>
        <v>6</v>
      </c>
      <c r="J18" s="113">
        <f t="shared" si="1"/>
        <v>1</v>
      </c>
      <c r="K18" s="113">
        <f t="shared" si="1"/>
        <v>1</v>
      </c>
      <c r="L18" s="113">
        <f t="shared" si="1"/>
        <v>1</v>
      </c>
      <c r="M18" s="113">
        <f t="shared" si="1"/>
        <v>1</v>
      </c>
      <c r="N18" s="113">
        <f t="shared" si="1"/>
        <v>1</v>
      </c>
      <c r="O18" s="131">
        <f>SUM(B18:N18)</f>
        <v>378</v>
      </c>
    </row>
    <row r="21" spans="1:20" ht="15.75" x14ac:dyDescent="0.2">
      <c r="A21" s="140" t="s">
        <v>2466</v>
      </c>
    </row>
    <row r="22" spans="1:20" ht="38.25" customHeight="1" x14ac:dyDescent="0.2">
      <c r="A22" s="127"/>
      <c r="B22" s="128" t="s">
        <v>2467</v>
      </c>
      <c r="C22" s="128" t="s">
        <v>2468</v>
      </c>
      <c r="D22" s="128" t="s">
        <v>2469</v>
      </c>
      <c r="E22" s="129" t="s">
        <v>2478</v>
      </c>
      <c r="F22" s="128" t="s">
        <v>2470</v>
      </c>
      <c r="G22" s="128" t="s">
        <v>2471</v>
      </c>
      <c r="H22" s="128" t="s">
        <v>2472</v>
      </c>
      <c r="I22" s="128" t="s">
        <v>2473</v>
      </c>
      <c r="J22" s="129" t="s">
        <v>2485</v>
      </c>
      <c r="K22" s="128" t="s">
        <v>2474</v>
      </c>
      <c r="L22" s="128" t="s">
        <v>2475</v>
      </c>
      <c r="M22" s="129" t="s">
        <v>2481</v>
      </c>
      <c r="N22" s="129" t="s">
        <v>2482</v>
      </c>
      <c r="O22" s="129" t="s">
        <v>2483</v>
      </c>
      <c r="P22" s="129" t="s">
        <v>2484</v>
      </c>
      <c r="Q22" s="129" t="s">
        <v>2486</v>
      </c>
      <c r="R22" s="130" t="s">
        <v>2476</v>
      </c>
      <c r="S22" s="129" t="s">
        <v>2479</v>
      </c>
      <c r="T22" s="131" t="s">
        <v>2465</v>
      </c>
    </row>
    <row r="23" spans="1:20" x14ac:dyDescent="0.2">
      <c r="A23" s="127" t="s">
        <v>2453</v>
      </c>
      <c r="B23" s="113">
        <v>0</v>
      </c>
      <c r="C23" s="113">
        <v>0</v>
      </c>
      <c r="D23" s="113">
        <v>0</v>
      </c>
      <c r="E23" s="113">
        <v>0</v>
      </c>
      <c r="F23" s="113">
        <v>0</v>
      </c>
      <c r="G23" s="113">
        <v>0</v>
      </c>
      <c r="H23" s="113">
        <v>0</v>
      </c>
      <c r="I23" s="113">
        <v>0</v>
      </c>
      <c r="J23" s="113">
        <v>0</v>
      </c>
      <c r="K23" s="113">
        <v>0</v>
      </c>
      <c r="L23" s="113">
        <v>0</v>
      </c>
      <c r="M23" s="113">
        <v>0</v>
      </c>
      <c r="N23" s="113">
        <v>0</v>
      </c>
      <c r="O23" s="113">
        <v>0</v>
      </c>
      <c r="P23" s="113">
        <v>0</v>
      </c>
      <c r="Q23" s="113">
        <v>0</v>
      </c>
      <c r="R23" s="113">
        <v>0</v>
      </c>
      <c r="S23" s="113">
        <v>0</v>
      </c>
      <c r="T23" s="113">
        <f t="shared" ref="T23:T34" si="2">SUM(B23:S23)</f>
        <v>0</v>
      </c>
    </row>
    <row r="24" spans="1:20" x14ac:dyDescent="0.2">
      <c r="A24" s="127" t="s">
        <v>2454</v>
      </c>
      <c r="B24" s="113">
        <v>1</v>
      </c>
      <c r="C24" s="113">
        <v>1</v>
      </c>
      <c r="D24" s="113">
        <v>0</v>
      </c>
      <c r="E24" s="113">
        <v>0</v>
      </c>
      <c r="F24" s="113">
        <v>0</v>
      </c>
      <c r="G24" s="113">
        <v>0</v>
      </c>
      <c r="H24" s="113">
        <v>0</v>
      </c>
      <c r="I24" s="113">
        <v>0</v>
      </c>
      <c r="J24" s="113">
        <v>0</v>
      </c>
      <c r="K24" s="113">
        <v>0</v>
      </c>
      <c r="L24" s="113">
        <v>0</v>
      </c>
      <c r="M24" s="113">
        <v>0</v>
      </c>
      <c r="N24" s="113">
        <v>0</v>
      </c>
      <c r="O24" s="113">
        <v>0</v>
      </c>
      <c r="P24" s="113">
        <v>0</v>
      </c>
      <c r="Q24" s="113">
        <v>0</v>
      </c>
      <c r="R24" s="113">
        <v>0</v>
      </c>
      <c r="S24" s="113">
        <v>0</v>
      </c>
      <c r="T24" s="113">
        <f t="shared" si="2"/>
        <v>2</v>
      </c>
    </row>
    <row r="25" spans="1:20" x14ac:dyDescent="0.2">
      <c r="A25" s="127" t="s">
        <v>2456</v>
      </c>
      <c r="B25" s="113">
        <v>3</v>
      </c>
      <c r="C25" s="113">
        <v>2</v>
      </c>
      <c r="D25" s="113">
        <v>0</v>
      </c>
      <c r="E25" s="113">
        <v>0</v>
      </c>
      <c r="F25" s="113">
        <v>0</v>
      </c>
      <c r="G25" s="113">
        <v>0</v>
      </c>
      <c r="H25" s="113">
        <v>0</v>
      </c>
      <c r="I25" s="113">
        <v>1</v>
      </c>
      <c r="J25" s="113">
        <v>0</v>
      </c>
      <c r="K25" s="113">
        <v>0</v>
      </c>
      <c r="L25" s="113">
        <v>0</v>
      </c>
      <c r="M25" s="113">
        <v>0</v>
      </c>
      <c r="N25" s="113">
        <v>0</v>
      </c>
      <c r="O25" s="113">
        <v>0</v>
      </c>
      <c r="P25" s="113">
        <v>0</v>
      </c>
      <c r="Q25" s="113">
        <v>0</v>
      </c>
      <c r="R25" s="113">
        <v>0</v>
      </c>
      <c r="S25" s="113">
        <v>0</v>
      </c>
      <c r="T25" s="113">
        <f t="shared" si="2"/>
        <v>6</v>
      </c>
    </row>
    <row r="26" spans="1:20" x14ac:dyDescent="0.2">
      <c r="A26" s="127" t="s">
        <v>2457</v>
      </c>
      <c r="B26" s="113">
        <v>0</v>
      </c>
      <c r="C26" s="113">
        <v>2</v>
      </c>
      <c r="D26" s="113">
        <v>0</v>
      </c>
      <c r="E26" s="113">
        <v>0</v>
      </c>
      <c r="F26" s="113">
        <v>0</v>
      </c>
      <c r="G26" s="113">
        <v>0</v>
      </c>
      <c r="H26" s="113">
        <v>0</v>
      </c>
      <c r="I26" s="113">
        <v>0</v>
      </c>
      <c r="J26" s="113">
        <v>0</v>
      </c>
      <c r="K26" s="113">
        <v>0</v>
      </c>
      <c r="L26" s="113">
        <v>1</v>
      </c>
      <c r="M26" s="113">
        <v>0</v>
      </c>
      <c r="N26" s="113">
        <v>0</v>
      </c>
      <c r="O26" s="113">
        <v>0</v>
      </c>
      <c r="P26" s="113">
        <v>1</v>
      </c>
      <c r="Q26" s="113">
        <v>0</v>
      </c>
      <c r="R26" s="113">
        <v>0</v>
      </c>
      <c r="S26" s="113">
        <v>0</v>
      </c>
      <c r="T26" s="113">
        <f t="shared" si="2"/>
        <v>4</v>
      </c>
    </row>
    <row r="27" spans="1:20" x14ac:dyDescent="0.2">
      <c r="A27" s="127" t="s">
        <v>2455</v>
      </c>
      <c r="B27" s="113">
        <v>0</v>
      </c>
      <c r="C27" s="113">
        <v>3</v>
      </c>
      <c r="D27" s="113">
        <v>1</v>
      </c>
      <c r="E27" s="113">
        <v>0</v>
      </c>
      <c r="F27" s="113">
        <v>0</v>
      </c>
      <c r="G27" s="113">
        <v>0</v>
      </c>
      <c r="H27" s="113">
        <v>0</v>
      </c>
      <c r="I27" s="113">
        <v>0</v>
      </c>
      <c r="J27" s="113">
        <v>0</v>
      </c>
      <c r="K27" s="113">
        <v>0</v>
      </c>
      <c r="L27" s="113">
        <v>0</v>
      </c>
      <c r="M27" s="113">
        <v>0</v>
      </c>
      <c r="N27" s="113">
        <v>0</v>
      </c>
      <c r="O27" s="113">
        <v>0</v>
      </c>
      <c r="P27" s="113">
        <v>0</v>
      </c>
      <c r="Q27" s="113">
        <v>0</v>
      </c>
      <c r="R27" s="113">
        <v>0</v>
      </c>
      <c r="S27" s="113">
        <v>0</v>
      </c>
      <c r="T27" s="113">
        <f t="shared" si="2"/>
        <v>4</v>
      </c>
    </row>
    <row r="28" spans="1:20" x14ac:dyDescent="0.2">
      <c r="A28" s="127" t="s">
        <v>2458</v>
      </c>
      <c r="B28" s="113">
        <v>0</v>
      </c>
      <c r="C28" s="113">
        <v>2</v>
      </c>
      <c r="D28" s="113">
        <v>0</v>
      </c>
      <c r="E28" s="113">
        <v>0</v>
      </c>
      <c r="F28" s="113">
        <v>0</v>
      </c>
      <c r="G28" s="113">
        <v>3</v>
      </c>
      <c r="H28" s="113">
        <v>1</v>
      </c>
      <c r="I28" s="113">
        <v>0</v>
      </c>
      <c r="J28" s="113">
        <v>0</v>
      </c>
      <c r="K28" s="113">
        <v>1</v>
      </c>
      <c r="L28" s="113">
        <v>0</v>
      </c>
      <c r="M28" s="113">
        <v>0</v>
      </c>
      <c r="N28" s="113">
        <v>1</v>
      </c>
      <c r="O28" s="113">
        <v>0</v>
      </c>
      <c r="P28" s="113">
        <v>0</v>
      </c>
      <c r="Q28" s="113">
        <v>0</v>
      </c>
      <c r="R28" s="113">
        <v>0</v>
      </c>
      <c r="S28" s="113">
        <v>0</v>
      </c>
      <c r="T28" s="113">
        <f t="shared" si="2"/>
        <v>8</v>
      </c>
    </row>
    <row r="29" spans="1:20" x14ac:dyDescent="0.2">
      <c r="A29" s="127" t="s">
        <v>2459</v>
      </c>
      <c r="B29" s="113">
        <v>1</v>
      </c>
      <c r="C29" s="113">
        <v>1</v>
      </c>
      <c r="D29" s="113">
        <v>0</v>
      </c>
      <c r="E29" s="113">
        <v>0</v>
      </c>
      <c r="F29" s="113">
        <v>0</v>
      </c>
      <c r="G29" s="113">
        <v>0</v>
      </c>
      <c r="H29" s="113">
        <v>0</v>
      </c>
      <c r="I29" s="113">
        <v>0</v>
      </c>
      <c r="J29" s="113">
        <v>0</v>
      </c>
      <c r="K29" s="113">
        <v>1</v>
      </c>
      <c r="L29" s="113">
        <v>0</v>
      </c>
      <c r="M29" s="113">
        <v>0</v>
      </c>
      <c r="N29" s="113">
        <v>0</v>
      </c>
      <c r="O29" s="113">
        <v>0</v>
      </c>
      <c r="P29" s="113">
        <v>0</v>
      </c>
      <c r="Q29" s="113">
        <v>0</v>
      </c>
      <c r="R29" s="113">
        <v>0</v>
      </c>
      <c r="S29" s="113">
        <v>0</v>
      </c>
      <c r="T29" s="113">
        <f t="shared" si="2"/>
        <v>3</v>
      </c>
    </row>
    <row r="30" spans="1:20" x14ac:dyDescent="0.2">
      <c r="A30" s="127" t="s">
        <v>2460</v>
      </c>
      <c r="B30" s="113">
        <v>0</v>
      </c>
      <c r="C30" s="113">
        <v>0</v>
      </c>
      <c r="D30" s="113">
        <v>0</v>
      </c>
      <c r="E30" s="113">
        <v>0</v>
      </c>
      <c r="F30" s="113">
        <v>1</v>
      </c>
      <c r="G30" s="113">
        <v>1</v>
      </c>
      <c r="H30" s="113">
        <v>0</v>
      </c>
      <c r="I30" s="113">
        <v>0</v>
      </c>
      <c r="J30" s="113">
        <v>0</v>
      </c>
      <c r="K30" s="113">
        <v>2</v>
      </c>
      <c r="L30" s="113">
        <v>0</v>
      </c>
      <c r="M30" s="113">
        <v>0</v>
      </c>
      <c r="N30" s="113">
        <v>0</v>
      </c>
      <c r="O30" s="113">
        <v>1</v>
      </c>
      <c r="P30" s="113">
        <v>0</v>
      </c>
      <c r="Q30" s="113">
        <v>0</v>
      </c>
      <c r="R30" s="113">
        <v>0</v>
      </c>
      <c r="S30" s="113">
        <v>0</v>
      </c>
      <c r="T30" s="113">
        <f t="shared" si="2"/>
        <v>5</v>
      </c>
    </row>
    <row r="31" spans="1:20" x14ac:dyDescent="0.2">
      <c r="A31" s="127" t="s">
        <v>2461</v>
      </c>
      <c r="B31" s="113">
        <v>1</v>
      </c>
      <c r="C31" s="113">
        <v>1</v>
      </c>
      <c r="D31" s="113">
        <v>1</v>
      </c>
      <c r="E31" s="113">
        <v>0</v>
      </c>
      <c r="F31" s="113">
        <v>0</v>
      </c>
      <c r="G31" s="113">
        <v>1</v>
      </c>
      <c r="H31" s="113">
        <v>0</v>
      </c>
      <c r="I31" s="113">
        <v>0</v>
      </c>
      <c r="J31" s="113">
        <v>0</v>
      </c>
      <c r="K31" s="113">
        <v>1</v>
      </c>
      <c r="L31" s="113">
        <v>0</v>
      </c>
      <c r="M31" s="113">
        <v>0</v>
      </c>
      <c r="N31" s="113">
        <v>0</v>
      </c>
      <c r="O31" s="113">
        <v>0</v>
      </c>
      <c r="P31" s="113">
        <v>0</v>
      </c>
      <c r="Q31" s="113">
        <v>0</v>
      </c>
      <c r="R31" s="113">
        <v>1</v>
      </c>
      <c r="S31" s="113">
        <v>1</v>
      </c>
      <c r="T31" s="113">
        <f t="shared" si="2"/>
        <v>7</v>
      </c>
    </row>
    <row r="32" spans="1:20" x14ac:dyDescent="0.2">
      <c r="A32" s="127" t="s">
        <v>2462</v>
      </c>
      <c r="B32" s="113">
        <v>0</v>
      </c>
      <c r="C32" s="113">
        <v>3</v>
      </c>
      <c r="D32" s="113">
        <v>0</v>
      </c>
      <c r="E32" s="113">
        <v>1</v>
      </c>
      <c r="F32" s="113">
        <v>1</v>
      </c>
      <c r="G32" s="113">
        <v>0</v>
      </c>
      <c r="H32" s="113">
        <v>0</v>
      </c>
      <c r="I32" s="113">
        <v>0</v>
      </c>
      <c r="J32" s="113">
        <v>1</v>
      </c>
      <c r="K32" s="113">
        <v>0</v>
      </c>
      <c r="L32" s="113">
        <v>0</v>
      </c>
      <c r="M32" s="113">
        <v>1</v>
      </c>
      <c r="N32" s="113">
        <v>0</v>
      </c>
      <c r="O32" s="113">
        <v>0</v>
      </c>
      <c r="P32" s="113">
        <v>0</v>
      </c>
      <c r="Q32" s="113">
        <v>0</v>
      </c>
      <c r="R32" s="113">
        <v>0</v>
      </c>
      <c r="S32" s="113">
        <v>0</v>
      </c>
      <c r="T32" s="113">
        <f t="shared" si="2"/>
        <v>7</v>
      </c>
    </row>
    <row r="33" spans="1:20" x14ac:dyDescent="0.2">
      <c r="A33" s="127" t="s">
        <v>2463</v>
      </c>
      <c r="B33" s="113">
        <v>2</v>
      </c>
      <c r="C33" s="113">
        <v>1</v>
      </c>
      <c r="D33" s="113">
        <v>0</v>
      </c>
      <c r="E33" s="113">
        <v>0</v>
      </c>
      <c r="F33" s="113">
        <v>0</v>
      </c>
      <c r="G33" s="113">
        <v>0</v>
      </c>
      <c r="H33" s="113">
        <v>0</v>
      </c>
      <c r="I33" s="113">
        <v>0</v>
      </c>
      <c r="J33" s="113">
        <v>0</v>
      </c>
      <c r="K33" s="113">
        <v>0</v>
      </c>
      <c r="L33" s="113">
        <v>0</v>
      </c>
      <c r="M33" s="113">
        <v>0</v>
      </c>
      <c r="N33" s="113">
        <v>0</v>
      </c>
      <c r="O33" s="113">
        <v>0</v>
      </c>
      <c r="P33" s="113">
        <v>0</v>
      </c>
      <c r="Q33" s="113">
        <v>1</v>
      </c>
      <c r="R33" s="113">
        <v>0</v>
      </c>
      <c r="S33" s="113">
        <v>0</v>
      </c>
      <c r="T33" s="113">
        <f t="shared" si="2"/>
        <v>4</v>
      </c>
    </row>
    <row r="34" spans="1:20" x14ac:dyDescent="0.2">
      <c r="A34" s="127" t="s">
        <v>2464</v>
      </c>
      <c r="B34" s="113">
        <v>3</v>
      </c>
      <c r="C34" s="113">
        <v>0</v>
      </c>
      <c r="D34" s="113">
        <v>0</v>
      </c>
      <c r="E34" s="113">
        <v>0</v>
      </c>
      <c r="F34" s="113">
        <v>0</v>
      </c>
      <c r="G34" s="113">
        <v>1</v>
      </c>
      <c r="H34" s="113">
        <v>0</v>
      </c>
      <c r="I34" s="113">
        <v>0</v>
      </c>
      <c r="J34" s="113">
        <v>0</v>
      </c>
      <c r="K34" s="113">
        <v>1</v>
      </c>
      <c r="L34" s="113">
        <v>0</v>
      </c>
      <c r="M34" s="113">
        <v>0</v>
      </c>
      <c r="N34" s="113">
        <v>0</v>
      </c>
      <c r="O34" s="113">
        <v>0</v>
      </c>
      <c r="P34" s="113">
        <v>0</v>
      </c>
      <c r="Q34" s="113">
        <v>0</v>
      </c>
      <c r="R34" s="113">
        <v>0</v>
      </c>
      <c r="S34" s="113">
        <v>0</v>
      </c>
      <c r="T34" s="113">
        <f t="shared" si="2"/>
        <v>5</v>
      </c>
    </row>
    <row r="35" spans="1:20" x14ac:dyDescent="0.2">
      <c r="A35" s="127"/>
      <c r="B35" s="127"/>
      <c r="C35" s="127"/>
      <c r="D35" s="127"/>
      <c r="E35" s="127"/>
      <c r="F35" s="127"/>
      <c r="G35" s="127"/>
      <c r="H35" s="127"/>
      <c r="I35" s="127"/>
      <c r="J35" s="127"/>
      <c r="K35" s="127"/>
      <c r="L35" s="127"/>
      <c r="M35" s="127"/>
      <c r="N35" s="127"/>
      <c r="O35" s="127"/>
      <c r="P35" s="127"/>
      <c r="Q35" s="127"/>
      <c r="R35" s="127"/>
      <c r="S35" s="127"/>
      <c r="T35" s="127"/>
    </row>
    <row r="36" spans="1:20" x14ac:dyDescent="0.2">
      <c r="A36" s="127"/>
      <c r="B36" s="113">
        <f>SUM(B23:B35)</f>
        <v>11</v>
      </c>
      <c r="C36" s="113">
        <f t="shared" ref="C36:R36" si="3">SUM(C23:C35)</f>
        <v>16</v>
      </c>
      <c r="D36" s="113">
        <f t="shared" si="3"/>
        <v>2</v>
      </c>
      <c r="E36" s="113">
        <f t="shared" si="3"/>
        <v>1</v>
      </c>
      <c r="F36" s="113">
        <f t="shared" si="3"/>
        <v>2</v>
      </c>
      <c r="G36" s="113">
        <f t="shared" si="3"/>
        <v>6</v>
      </c>
      <c r="H36" s="113">
        <f t="shared" si="3"/>
        <v>1</v>
      </c>
      <c r="I36" s="113">
        <f t="shared" si="3"/>
        <v>1</v>
      </c>
      <c r="J36" s="113">
        <f t="shared" si="3"/>
        <v>1</v>
      </c>
      <c r="K36" s="113">
        <f t="shared" si="3"/>
        <v>6</v>
      </c>
      <c r="L36" s="113">
        <f t="shared" si="3"/>
        <v>1</v>
      </c>
      <c r="M36" s="113">
        <f t="shared" si="3"/>
        <v>1</v>
      </c>
      <c r="N36" s="113">
        <f t="shared" si="3"/>
        <v>1</v>
      </c>
      <c r="O36" s="113">
        <f t="shared" si="3"/>
        <v>1</v>
      </c>
      <c r="P36" s="113">
        <f t="shared" si="3"/>
        <v>1</v>
      </c>
      <c r="Q36" s="113">
        <f t="shared" si="3"/>
        <v>1</v>
      </c>
      <c r="R36" s="113">
        <f t="shared" si="3"/>
        <v>1</v>
      </c>
      <c r="S36" s="113">
        <f>SUM(S23:S35)</f>
        <v>1</v>
      </c>
      <c r="T36" s="131">
        <f>SUM(T23:T35)</f>
        <v>55</v>
      </c>
    </row>
    <row r="38" spans="1:20" ht="12.75" customHeight="1" x14ac:dyDescent="0.2">
      <c r="B38" s="224" t="s">
        <v>2439</v>
      </c>
      <c r="C38" s="224" t="s">
        <v>38</v>
      </c>
      <c r="D38" s="224" t="s">
        <v>39</v>
      </c>
      <c r="E38" s="204" t="s">
        <v>40</v>
      </c>
      <c r="F38" s="227"/>
      <c r="G38" s="205"/>
      <c r="H38" s="226" t="s">
        <v>2438</v>
      </c>
    </row>
    <row r="39" spans="1:20" ht="31.5" customHeight="1" x14ac:dyDescent="0.2">
      <c r="B39" s="225"/>
      <c r="C39" s="225"/>
      <c r="D39" s="225"/>
      <c r="E39" s="231" t="s">
        <v>44</v>
      </c>
      <c r="F39" s="232"/>
      <c r="G39" s="233"/>
      <c r="H39" s="226"/>
    </row>
    <row r="40" spans="1:20" ht="15" x14ac:dyDescent="0.25">
      <c r="B40" s="119">
        <f>O18+T36</f>
        <v>433</v>
      </c>
      <c r="C40" s="117">
        <f>O18</f>
        <v>378</v>
      </c>
      <c r="D40" s="117">
        <f>T36</f>
        <v>55</v>
      </c>
      <c r="E40" s="228">
        <f>SUM(EVAKUASI!K14:K446)</f>
        <v>2</v>
      </c>
      <c r="F40" s="229"/>
      <c r="G40" s="230"/>
      <c r="H40" s="117">
        <f>SUM(EVAKUASI!L14:L446)</f>
        <v>1</v>
      </c>
    </row>
  </sheetData>
  <mergeCells count="7">
    <mergeCell ref="H38:H39"/>
    <mergeCell ref="E38:G38"/>
    <mergeCell ref="E40:G40"/>
    <mergeCell ref="E39:G39"/>
    <mergeCell ref="B38:B39"/>
    <mergeCell ref="C38:C39"/>
    <mergeCell ref="D38:D39"/>
  </mergeCells>
  <pageMargins left="0.7" right="0.7" top="0.75" bottom="0.75" header="0.3" footer="0.3"/>
  <pageSetup paperSize="5" scale="80" orientation="landscape"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Y137"/>
  <sheetViews>
    <sheetView topLeftCell="A45" zoomScale="85" zoomScaleNormal="85" workbookViewId="0">
      <selection activeCell="S52" sqref="S52"/>
    </sheetView>
  </sheetViews>
  <sheetFormatPr defaultRowHeight="12.75" x14ac:dyDescent="0.2"/>
  <cols>
    <col min="1" max="1" width="6.83203125" customWidth="1"/>
    <col min="2" max="2" width="14.1640625" customWidth="1"/>
    <col min="3" max="3" width="11.1640625" customWidth="1"/>
    <col min="4" max="4" width="4.33203125" customWidth="1"/>
    <col min="5" max="5" width="4.83203125" style="62" customWidth="1"/>
    <col min="6" max="6" width="4.6640625" customWidth="1"/>
    <col min="7" max="7" width="4.33203125" customWidth="1"/>
    <col min="8" max="8" width="13.1640625" customWidth="1"/>
    <col min="9" max="9" width="24.5" customWidth="1"/>
    <col min="10" max="10" width="6.6640625" customWidth="1"/>
    <col min="11" max="11" width="6.5" customWidth="1"/>
    <col min="12" max="14" width="5.83203125" customWidth="1"/>
    <col min="15" max="15" width="6.6640625" customWidth="1"/>
    <col min="16" max="16" width="5.83203125" customWidth="1"/>
    <col min="17" max="17" width="6.1640625" customWidth="1"/>
    <col min="18" max="18" width="11.6640625" customWidth="1"/>
    <col min="19" max="19" width="5.5" customWidth="1"/>
    <col min="20" max="21" width="3.83203125" customWidth="1"/>
    <col min="22" max="22" width="5.33203125" customWidth="1"/>
  </cols>
  <sheetData>
    <row r="2" spans="1:25" ht="17.25" customHeight="1" x14ac:dyDescent="0.2">
      <c r="A2" s="5"/>
      <c r="B2" s="162" t="s">
        <v>3</v>
      </c>
      <c r="C2" s="162"/>
      <c r="D2" s="162"/>
      <c r="E2" s="162"/>
      <c r="F2" s="162"/>
      <c r="G2" s="162"/>
      <c r="H2" s="162"/>
      <c r="I2" s="162"/>
      <c r="J2" s="162"/>
      <c r="K2" s="162"/>
      <c r="L2" s="162"/>
      <c r="M2" s="162"/>
      <c r="N2" s="162"/>
      <c r="O2" s="162"/>
      <c r="P2" s="162"/>
      <c r="Q2" s="162"/>
      <c r="R2" s="162"/>
      <c r="S2" s="162"/>
      <c r="T2" s="162"/>
      <c r="U2" s="162"/>
      <c r="V2" s="162"/>
      <c r="W2" s="162"/>
      <c r="X2" s="162"/>
    </row>
    <row r="3" spans="1:25" ht="23.25" x14ac:dyDescent="0.2">
      <c r="A3" s="5"/>
      <c r="B3" s="163" t="s">
        <v>4</v>
      </c>
      <c r="C3" s="163"/>
      <c r="D3" s="163"/>
      <c r="E3" s="163"/>
      <c r="F3" s="163"/>
      <c r="G3" s="163"/>
      <c r="H3" s="163"/>
      <c r="I3" s="163"/>
      <c r="J3" s="163"/>
      <c r="K3" s="163"/>
      <c r="L3" s="163"/>
      <c r="M3" s="163"/>
      <c r="N3" s="163"/>
      <c r="O3" s="163"/>
      <c r="P3" s="163"/>
      <c r="Q3" s="163"/>
      <c r="R3" s="163"/>
      <c r="S3" s="163"/>
      <c r="T3" s="163"/>
      <c r="U3" s="163"/>
      <c r="V3" s="163"/>
      <c r="W3" s="163"/>
      <c r="X3" s="163"/>
    </row>
    <row r="4" spans="1:25" ht="14.25" x14ac:dyDescent="0.2">
      <c r="A4" s="5"/>
      <c r="B4" s="164" t="s">
        <v>6</v>
      </c>
      <c r="C4" s="164"/>
      <c r="D4" s="164"/>
      <c r="E4" s="164"/>
      <c r="F4" s="164"/>
      <c r="G4" s="164"/>
      <c r="H4" s="164"/>
      <c r="I4" s="164"/>
      <c r="J4" s="164"/>
      <c r="K4" s="164"/>
      <c r="L4" s="164"/>
      <c r="M4" s="164"/>
      <c r="N4" s="164"/>
      <c r="O4" s="164"/>
      <c r="P4" s="164"/>
      <c r="Q4" s="164"/>
      <c r="R4" s="164"/>
      <c r="S4" s="164"/>
      <c r="T4" s="164"/>
      <c r="U4" s="164"/>
      <c r="V4" s="164"/>
      <c r="W4" s="164"/>
      <c r="X4" s="164"/>
    </row>
    <row r="5" spans="1:25" ht="16.5" thickBot="1" x14ac:dyDescent="0.25">
      <c r="A5" s="4"/>
      <c r="B5" s="165" t="s">
        <v>5</v>
      </c>
      <c r="C5" s="165"/>
      <c r="D5" s="165"/>
      <c r="E5" s="165"/>
      <c r="F5" s="165"/>
      <c r="G5" s="165"/>
      <c r="H5" s="165"/>
      <c r="I5" s="165"/>
      <c r="J5" s="165"/>
      <c r="K5" s="165"/>
      <c r="L5" s="165"/>
      <c r="M5" s="165"/>
      <c r="N5" s="165"/>
      <c r="O5" s="165"/>
      <c r="P5" s="165"/>
      <c r="Q5" s="165"/>
      <c r="R5" s="165"/>
      <c r="S5" s="165"/>
      <c r="T5" s="165"/>
      <c r="U5" s="165"/>
      <c r="V5" s="165"/>
      <c r="W5" s="165"/>
      <c r="X5" s="165"/>
      <c r="Y5" s="103"/>
    </row>
    <row r="6" spans="1:25" ht="15.75" thickTop="1" x14ac:dyDescent="0.2">
      <c r="B6" s="1"/>
      <c r="C6" s="1"/>
      <c r="D6" s="1"/>
    </row>
    <row r="7" spans="1:25" ht="17.25" customHeight="1" x14ac:dyDescent="0.2">
      <c r="A7" s="166" t="s">
        <v>76</v>
      </c>
      <c r="B7" s="166"/>
      <c r="C7" s="166"/>
      <c r="D7" s="166"/>
      <c r="E7" s="166"/>
      <c r="F7" s="166"/>
      <c r="G7" s="166"/>
      <c r="H7" s="166"/>
      <c r="I7" s="166"/>
      <c r="J7" s="166"/>
      <c r="K7" s="166"/>
      <c r="L7" s="166"/>
      <c r="M7" s="166"/>
      <c r="N7" s="166"/>
      <c r="O7" s="166"/>
      <c r="P7" s="166"/>
      <c r="Q7" s="166"/>
      <c r="R7" s="166"/>
      <c r="S7" s="166"/>
      <c r="T7" s="166"/>
      <c r="U7" s="166"/>
      <c r="V7" s="166"/>
      <c r="W7" s="166"/>
      <c r="X7" s="166"/>
      <c r="Y7" s="166"/>
    </row>
    <row r="8" spans="1:25" ht="14.25" customHeight="1" x14ac:dyDescent="0.2">
      <c r="A8" s="166" t="s">
        <v>21</v>
      </c>
      <c r="B8" s="166"/>
      <c r="C8" s="166"/>
      <c r="D8" s="166"/>
      <c r="E8" s="166"/>
      <c r="F8" s="166"/>
      <c r="G8" s="166"/>
      <c r="H8" s="166"/>
      <c r="I8" s="166"/>
      <c r="J8" s="166"/>
      <c r="K8" s="166"/>
      <c r="L8" s="166"/>
      <c r="M8" s="166"/>
      <c r="N8" s="166"/>
      <c r="O8" s="166"/>
      <c r="P8" s="166"/>
      <c r="Q8" s="166"/>
      <c r="R8" s="166"/>
      <c r="S8" s="166"/>
      <c r="T8" s="166"/>
      <c r="U8" s="166"/>
      <c r="V8" s="166"/>
      <c r="W8" s="166"/>
      <c r="X8" s="166"/>
      <c r="Y8" s="166"/>
    </row>
    <row r="9" spans="1:25" ht="14.25" x14ac:dyDescent="0.2">
      <c r="A9" s="161" t="s">
        <v>2272</v>
      </c>
      <c r="B9" s="161"/>
      <c r="C9" s="161"/>
      <c r="D9" s="161"/>
      <c r="E9" s="161"/>
      <c r="F9" s="161"/>
      <c r="G9" s="161"/>
      <c r="H9" s="161"/>
      <c r="I9" s="161"/>
      <c r="J9" s="161"/>
      <c r="K9" s="161"/>
      <c r="L9" s="161"/>
      <c r="M9" s="161"/>
      <c r="N9" s="161"/>
      <c r="O9" s="161"/>
      <c r="P9" s="161"/>
      <c r="Q9" s="161"/>
      <c r="R9" s="161"/>
      <c r="S9" s="161"/>
      <c r="T9" s="161"/>
      <c r="U9" s="161"/>
      <c r="V9" s="161"/>
      <c r="W9" s="161"/>
      <c r="X9" s="161"/>
      <c r="Y9" s="161"/>
    </row>
    <row r="10" spans="1:25" ht="14.25" x14ac:dyDescent="0.2">
      <c r="A10" s="14"/>
      <c r="B10" s="14"/>
      <c r="C10" s="14"/>
      <c r="D10" s="14"/>
      <c r="E10" s="104"/>
      <c r="F10" s="14"/>
      <c r="G10" s="14"/>
      <c r="H10" s="14"/>
      <c r="I10" s="14"/>
      <c r="J10" s="14"/>
      <c r="K10" s="14"/>
      <c r="L10" s="14"/>
      <c r="M10" s="14"/>
      <c r="N10" s="14"/>
      <c r="O10" s="14"/>
      <c r="P10" s="14"/>
      <c r="Q10" s="14"/>
    </row>
    <row r="11" spans="1:25" s="18" customFormat="1" ht="15" customHeight="1" x14ac:dyDescent="0.2">
      <c r="A11" s="14"/>
      <c r="B11" s="14"/>
      <c r="C11" s="14"/>
      <c r="D11" s="14"/>
      <c r="E11" s="104"/>
      <c r="F11" s="14"/>
      <c r="G11" s="14"/>
      <c r="H11" s="14"/>
      <c r="I11" s="14"/>
      <c r="J11" s="14"/>
      <c r="K11" s="14"/>
      <c r="L11" s="14"/>
      <c r="M11" s="14"/>
      <c r="N11" s="14"/>
      <c r="O11" s="14"/>
      <c r="P11" s="14"/>
      <c r="Q11" s="14"/>
    </row>
    <row r="12" spans="1:25" s="17" customFormat="1" ht="35.1" customHeight="1" x14ac:dyDescent="0.2">
      <c r="A12" s="246" t="s">
        <v>2</v>
      </c>
      <c r="B12" s="246" t="s">
        <v>34</v>
      </c>
      <c r="C12" s="63" t="s">
        <v>35</v>
      </c>
      <c r="D12" s="248" t="s">
        <v>35</v>
      </c>
      <c r="E12" s="249"/>
      <c r="F12" s="249"/>
      <c r="G12" s="250"/>
      <c r="H12" s="64" t="s">
        <v>36</v>
      </c>
      <c r="I12" s="246" t="s">
        <v>37</v>
      </c>
      <c r="J12" s="254" t="s">
        <v>77</v>
      </c>
      <c r="K12" s="255"/>
      <c r="L12" s="271" t="s">
        <v>38</v>
      </c>
      <c r="M12" s="271" t="s">
        <v>39</v>
      </c>
      <c r="N12" s="234" t="s">
        <v>40</v>
      </c>
      <c r="O12" s="235"/>
      <c r="P12" s="234" t="s">
        <v>20</v>
      </c>
      <c r="Q12" s="235"/>
      <c r="R12" s="236" t="s">
        <v>78</v>
      </c>
      <c r="S12" s="238" t="s">
        <v>41</v>
      </c>
      <c r="T12" s="239"/>
      <c r="U12" s="239"/>
      <c r="V12" s="240"/>
      <c r="W12" s="244" t="s">
        <v>79</v>
      </c>
      <c r="X12" s="65" t="s">
        <v>80</v>
      </c>
      <c r="Y12" s="236" t="s">
        <v>42</v>
      </c>
    </row>
    <row r="13" spans="1:25" ht="35.1" customHeight="1" x14ac:dyDescent="0.2">
      <c r="A13" s="247"/>
      <c r="B13" s="247"/>
      <c r="C13" s="66" t="s">
        <v>81</v>
      </c>
      <c r="D13" s="251"/>
      <c r="E13" s="252"/>
      <c r="F13" s="252"/>
      <c r="G13" s="253"/>
      <c r="H13" s="67" t="s">
        <v>43</v>
      </c>
      <c r="I13" s="247"/>
      <c r="J13" s="68" t="s">
        <v>82</v>
      </c>
      <c r="K13" s="69" t="s">
        <v>83</v>
      </c>
      <c r="L13" s="272"/>
      <c r="M13" s="272"/>
      <c r="N13" s="69" t="s">
        <v>44</v>
      </c>
      <c r="O13" s="70" t="s">
        <v>45</v>
      </c>
      <c r="P13" s="71" t="s">
        <v>46</v>
      </c>
      <c r="Q13" s="71" t="s">
        <v>47</v>
      </c>
      <c r="R13" s="237"/>
      <c r="S13" s="241"/>
      <c r="T13" s="242"/>
      <c r="U13" s="242"/>
      <c r="V13" s="243"/>
      <c r="W13" s="245"/>
      <c r="X13" s="72" t="s">
        <v>35</v>
      </c>
      <c r="Y13" s="237"/>
    </row>
    <row r="14" spans="1:25" ht="351" customHeight="1" x14ac:dyDescent="0.2">
      <c r="A14" s="73">
        <v>1</v>
      </c>
      <c r="B14" s="74" t="s">
        <v>2273</v>
      </c>
      <c r="C14" s="82" t="s">
        <v>2277</v>
      </c>
      <c r="D14" s="259" t="s">
        <v>2274</v>
      </c>
      <c r="E14" s="260"/>
      <c r="F14" s="260"/>
      <c r="G14" s="261"/>
      <c r="H14" s="75" t="s">
        <v>2276</v>
      </c>
      <c r="I14" s="76" t="s">
        <v>2275</v>
      </c>
      <c r="J14" s="77">
        <v>0</v>
      </c>
      <c r="K14" s="77">
        <v>4</v>
      </c>
      <c r="L14" s="77">
        <v>0</v>
      </c>
      <c r="M14" s="77">
        <v>0</v>
      </c>
      <c r="N14" s="77">
        <v>0</v>
      </c>
      <c r="O14" s="77">
        <v>0</v>
      </c>
      <c r="P14" s="77">
        <v>1</v>
      </c>
      <c r="Q14" s="77">
        <v>1</v>
      </c>
      <c r="R14" s="78" t="s">
        <v>84</v>
      </c>
      <c r="S14" s="265" t="s">
        <v>93</v>
      </c>
      <c r="T14" s="266"/>
      <c r="U14" s="266"/>
      <c r="V14" s="267"/>
      <c r="W14" s="79">
        <v>14</v>
      </c>
      <c r="X14" s="79" t="s">
        <v>85</v>
      </c>
      <c r="Y14" s="80"/>
    </row>
    <row r="15" spans="1:25" ht="354.75" customHeight="1" x14ac:dyDescent="0.2">
      <c r="A15" s="73">
        <v>2</v>
      </c>
      <c r="B15" s="76" t="s">
        <v>2278</v>
      </c>
      <c r="C15" s="82" t="s">
        <v>2280</v>
      </c>
      <c r="D15" s="259" t="s">
        <v>2279</v>
      </c>
      <c r="E15" s="260"/>
      <c r="F15" s="260"/>
      <c r="G15" s="261"/>
      <c r="H15" s="75" t="s">
        <v>2282</v>
      </c>
      <c r="I15" s="76" t="s">
        <v>2281</v>
      </c>
      <c r="J15" s="77">
        <v>0</v>
      </c>
      <c r="K15" s="77">
        <v>3</v>
      </c>
      <c r="L15" s="77">
        <v>0</v>
      </c>
      <c r="M15" s="77">
        <v>0</v>
      </c>
      <c r="N15" s="77">
        <v>0</v>
      </c>
      <c r="O15" s="77">
        <v>0</v>
      </c>
      <c r="P15" s="77">
        <v>1</v>
      </c>
      <c r="Q15" s="77">
        <v>4</v>
      </c>
      <c r="R15" s="78" t="s">
        <v>84</v>
      </c>
      <c r="S15" s="262" t="s">
        <v>88</v>
      </c>
      <c r="T15" s="263"/>
      <c r="U15" s="263"/>
      <c r="V15" s="264"/>
      <c r="W15" s="81">
        <v>14</v>
      </c>
      <c r="X15" s="81" t="s">
        <v>85</v>
      </c>
      <c r="Y15" s="80"/>
    </row>
    <row r="16" spans="1:25" ht="324" customHeight="1" x14ac:dyDescent="0.2">
      <c r="A16" s="77">
        <v>3</v>
      </c>
      <c r="B16" s="76" t="s">
        <v>2283</v>
      </c>
      <c r="C16" s="82" t="s">
        <v>2287</v>
      </c>
      <c r="D16" s="259" t="s">
        <v>2284</v>
      </c>
      <c r="E16" s="260"/>
      <c r="F16" s="260"/>
      <c r="G16" s="261"/>
      <c r="H16" s="80" t="s">
        <v>2286</v>
      </c>
      <c r="I16" s="76" t="s">
        <v>2285</v>
      </c>
      <c r="J16" s="77">
        <v>0</v>
      </c>
      <c r="K16" s="77">
        <v>1</v>
      </c>
      <c r="L16" s="77">
        <v>0</v>
      </c>
      <c r="M16" s="77">
        <v>0</v>
      </c>
      <c r="N16" s="77">
        <v>0</v>
      </c>
      <c r="O16" s="77">
        <v>0</v>
      </c>
      <c r="P16" s="77">
        <v>1</v>
      </c>
      <c r="Q16" s="77">
        <v>2</v>
      </c>
      <c r="R16" s="78" t="s">
        <v>84</v>
      </c>
      <c r="S16" s="265" t="s">
        <v>87</v>
      </c>
      <c r="T16" s="266"/>
      <c r="U16" s="266"/>
      <c r="V16" s="267"/>
      <c r="W16" s="79">
        <v>14</v>
      </c>
      <c r="X16" s="79" t="s">
        <v>85</v>
      </c>
      <c r="Y16" s="80"/>
    </row>
    <row r="17" spans="1:25" ht="297.75" customHeight="1" x14ac:dyDescent="0.2">
      <c r="A17" s="73">
        <v>4</v>
      </c>
      <c r="B17" s="76" t="s">
        <v>2288</v>
      </c>
      <c r="C17" s="82" t="s">
        <v>2408</v>
      </c>
      <c r="D17" s="259" t="s">
        <v>2289</v>
      </c>
      <c r="E17" s="260"/>
      <c r="F17" s="260"/>
      <c r="G17" s="261"/>
      <c r="H17" s="75" t="s">
        <v>2434</v>
      </c>
      <c r="I17" s="76" t="s">
        <v>2290</v>
      </c>
      <c r="J17" s="77">
        <v>0</v>
      </c>
      <c r="K17" s="77">
        <v>1</v>
      </c>
      <c r="L17" s="77">
        <v>0</v>
      </c>
      <c r="M17" s="77">
        <v>0</v>
      </c>
      <c r="N17" s="77">
        <v>0</v>
      </c>
      <c r="O17" s="77">
        <v>0</v>
      </c>
      <c r="P17" s="77">
        <v>0</v>
      </c>
      <c r="Q17" s="77">
        <v>0</v>
      </c>
      <c r="R17" s="78" t="s">
        <v>84</v>
      </c>
      <c r="S17" s="262" t="s">
        <v>94</v>
      </c>
      <c r="T17" s="263"/>
      <c r="U17" s="263"/>
      <c r="V17" s="264"/>
      <c r="W17" s="81">
        <v>15</v>
      </c>
      <c r="X17" s="81" t="s">
        <v>85</v>
      </c>
      <c r="Y17" s="80" t="s">
        <v>2409</v>
      </c>
    </row>
    <row r="18" spans="1:25" ht="378" x14ac:dyDescent="0.2">
      <c r="A18" s="73">
        <v>5</v>
      </c>
      <c r="B18" s="84" t="s">
        <v>2291</v>
      </c>
      <c r="C18" s="82" t="s">
        <v>2294</v>
      </c>
      <c r="D18" s="259" t="s">
        <v>2292</v>
      </c>
      <c r="E18" s="260"/>
      <c r="F18" s="260"/>
      <c r="G18" s="261"/>
      <c r="H18" s="75" t="s">
        <v>2434</v>
      </c>
      <c r="I18" s="116" t="s">
        <v>2293</v>
      </c>
      <c r="J18" s="86">
        <v>0</v>
      </c>
      <c r="K18" s="87">
        <v>17</v>
      </c>
      <c r="L18" s="88">
        <v>0</v>
      </c>
      <c r="M18" s="88">
        <v>0</v>
      </c>
      <c r="N18" s="88">
        <v>0</v>
      </c>
      <c r="O18" s="87">
        <v>0</v>
      </c>
      <c r="P18" s="89">
        <v>16</v>
      </c>
      <c r="Q18" s="89">
        <v>70</v>
      </c>
      <c r="R18" s="90" t="s">
        <v>84</v>
      </c>
      <c r="S18" s="268" t="s">
        <v>88</v>
      </c>
      <c r="T18" s="269"/>
      <c r="U18" s="269"/>
      <c r="V18" s="270"/>
      <c r="W18" s="91">
        <v>15</v>
      </c>
      <c r="X18" s="91" t="s">
        <v>85</v>
      </c>
      <c r="Y18" s="80"/>
    </row>
    <row r="19" spans="1:25" ht="202.5" x14ac:dyDescent="0.2">
      <c r="A19" s="73">
        <v>6</v>
      </c>
      <c r="B19" s="84" t="s">
        <v>2295</v>
      </c>
      <c r="C19" s="82" t="s">
        <v>2410</v>
      </c>
      <c r="D19" s="259" t="s">
        <v>2296</v>
      </c>
      <c r="E19" s="260"/>
      <c r="F19" s="260"/>
      <c r="G19" s="261"/>
      <c r="H19" s="75" t="s">
        <v>2434</v>
      </c>
      <c r="I19" s="85" t="s">
        <v>2297</v>
      </c>
      <c r="J19" s="93">
        <v>0</v>
      </c>
      <c r="K19" s="93">
        <v>2</v>
      </c>
      <c r="L19" s="93">
        <v>0</v>
      </c>
      <c r="M19" s="93">
        <v>0</v>
      </c>
      <c r="N19" s="93">
        <v>0</v>
      </c>
      <c r="O19" s="93">
        <v>0</v>
      </c>
      <c r="P19" s="93">
        <v>2</v>
      </c>
      <c r="Q19" s="93">
        <v>5</v>
      </c>
      <c r="R19" s="90" t="s">
        <v>84</v>
      </c>
      <c r="S19" s="256" t="s">
        <v>2298</v>
      </c>
      <c r="T19" s="257"/>
      <c r="U19" s="257"/>
      <c r="V19" s="258"/>
      <c r="W19" s="94">
        <v>15</v>
      </c>
      <c r="X19" s="94" t="s">
        <v>85</v>
      </c>
      <c r="Y19" s="80"/>
    </row>
    <row r="20" spans="1:25" ht="225" x14ac:dyDescent="0.2">
      <c r="A20" s="73">
        <v>7</v>
      </c>
      <c r="B20" s="84" t="s">
        <v>2299</v>
      </c>
      <c r="C20" s="82" t="s">
        <v>2302</v>
      </c>
      <c r="D20" s="259" t="s">
        <v>2296</v>
      </c>
      <c r="E20" s="260"/>
      <c r="F20" s="260"/>
      <c r="G20" s="261"/>
      <c r="H20" s="92" t="s">
        <v>86</v>
      </c>
      <c r="I20" s="85" t="s">
        <v>2300</v>
      </c>
      <c r="J20" s="93">
        <v>0</v>
      </c>
      <c r="K20" s="93">
        <v>2</v>
      </c>
      <c r="L20" s="93">
        <v>0</v>
      </c>
      <c r="M20" s="93">
        <v>0</v>
      </c>
      <c r="N20" s="93">
        <v>0</v>
      </c>
      <c r="O20" s="93">
        <v>0</v>
      </c>
      <c r="P20" s="93">
        <v>2</v>
      </c>
      <c r="Q20" s="93">
        <v>4</v>
      </c>
      <c r="R20" s="86" t="s">
        <v>84</v>
      </c>
      <c r="S20" s="256" t="s">
        <v>964</v>
      </c>
      <c r="T20" s="257"/>
      <c r="U20" s="257"/>
      <c r="V20" s="258"/>
      <c r="W20" s="94">
        <v>15</v>
      </c>
      <c r="X20" s="94" t="s">
        <v>85</v>
      </c>
      <c r="Y20" s="80"/>
    </row>
    <row r="21" spans="1:25" ht="163.5" customHeight="1" x14ac:dyDescent="0.2">
      <c r="A21" s="73">
        <v>8</v>
      </c>
      <c r="B21" s="85" t="s">
        <v>2301</v>
      </c>
      <c r="C21" s="75" t="s">
        <v>2412</v>
      </c>
      <c r="D21" s="259" t="s">
        <v>2303</v>
      </c>
      <c r="E21" s="260"/>
      <c r="F21" s="260"/>
      <c r="G21" s="261"/>
      <c r="H21" s="92" t="s">
        <v>86</v>
      </c>
      <c r="I21" s="85" t="s">
        <v>2414</v>
      </c>
      <c r="J21" s="93">
        <v>0</v>
      </c>
      <c r="K21" s="93">
        <v>1</v>
      </c>
      <c r="L21" s="93">
        <v>0</v>
      </c>
      <c r="M21" s="93">
        <v>0</v>
      </c>
      <c r="N21" s="93">
        <v>0</v>
      </c>
      <c r="O21" s="93">
        <v>0</v>
      </c>
      <c r="P21" s="93">
        <v>0</v>
      </c>
      <c r="Q21" s="93">
        <v>0</v>
      </c>
      <c r="R21" s="86" t="s">
        <v>84</v>
      </c>
      <c r="S21" s="268" t="s">
        <v>54</v>
      </c>
      <c r="T21" s="269"/>
      <c r="U21" s="269"/>
      <c r="V21" s="270"/>
      <c r="W21" s="91">
        <v>15</v>
      </c>
      <c r="X21" s="91" t="s">
        <v>85</v>
      </c>
      <c r="Y21" s="80" t="s">
        <v>2411</v>
      </c>
    </row>
    <row r="22" spans="1:25" ht="185.25" customHeight="1" x14ac:dyDescent="0.2">
      <c r="A22" s="73">
        <v>9</v>
      </c>
      <c r="B22" s="85" t="s">
        <v>1155</v>
      </c>
      <c r="C22" s="75" t="s">
        <v>2304</v>
      </c>
      <c r="D22" s="259" t="s">
        <v>2305</v>
      </c>
      <c r="E22" s="260"/>
      <c r="F22" s="260"/>
      <c r="G22" s="261"/>
      <c r="H22" s="92" t="s">
        <v>2307</v>
      </c>
      <c r="I22" s="85" t="s">
        <v>2306</v>
      </c>
      <c r="J22" s="93">
        <v>0</v>
      </c>
      <c r="K22" s="93">
        <v>1</v>
      </c>
      <c r="L22" s="93">
        <v>0</v>
      </c>
      <c r="M22" s="93">
        <v>0</v>
      </c>
      <c r="N22" s="93">
        <v>0</v>
      </c>
      <c r="O22" s="93">
        <v>0</v>
      </c>
      <c r="P22" s="93">
        <v>1</v>
      </c>
      <c r="Q22" s="93">
        <v>2</v>
      </c>
      <c r="R22" s="86" t="s">
        <v>84</v>
      </c>
      <c r="S22" s="268" t="s">
        <v>2308</v>
      </c>
      <c r="T22" s="269"/>
      <c r="U22" s="269"/>
      <c r="V22" s="270"/>
      <c r="W22" s="91">
        <v>14</v>
      </c>
      <c r="X22" s="91" t="s">
        <v>85</v>
      </c>
      <c r="Y22" s="80"/>
    </row>
    <row r="23" spans="1:25" ht="208.5" customHeight="1" x14ac:dyDescent="0.2">
      <c r="A23" s="98">
        <v>10</v>
      </c>
      <c r="B23" s="85" t="s">
        <v>2309</v>
      </c>
      <c r="C23" s="92" t="s">
        <v>2310</v>
      </c>
      <c r="D23" s="259" t="s">
        <v>2311</v>
      </c>
      <c r="E23" s="260"/>
      <c r="F23" s="260"/>
      <c r="G23" s="261"/>
      <c r="H23" s="92" t="s">
        <v>2313</v>
      </c>
      <c r="I23" s="85" t="s">
        <v>2312</v>
      </c>
      <c r="J23" s="93">
        <v>0</v>
      </c>
      <c r="K23" s="93">
        <v>1</v>
      </c>
      <c r="L23" s="93">
        <v>0</v>
      </c>
      <c r="M23" s="93">
        <v>0</v>
      </c>
      <c r="N23" s="93">
        <v>0</v>
      </c>
      <c r="O23" s="93">
        <v>0</v>
      </c>
      <c r="P23" s="93">
        <v>1</v>
      </c>
      <c r="Q23" s="93">
        <v>3</v>
      </c>
      <c r="R23" s="86" t="s">
        <v>84</v>
      </c>
      <c r="S23" s="268" t="s">
        <v>48</v>
      </c>
      <c r="T23" s="269"/>
      <c r="U23" s="269"/>
      <c r="V23" s="270"/>
      <c r="W23" s="91">
        <v>14</v>
      </c>
      <c r="X23" s="91" t="s">
        <v>85</v>
      </c>
      <c r="Y23" s="80"/>
    </row>
    <row r="24" spans="1:25" ht="186.75" customHeight="1" x14ac:dyDescent="0.2">
      <c r="A24" s="73">
        <v>11</v>
      </c>
      <c r="B24" s="84" t="s">
        <v>1303</v>
      </c>
      <c r="C24" s="92" t="s">
        <v>2315</v>
      </c>
      <c r="D24" s="259" t="s">
        <v>2314</v>
      </c>
      <c r="E24" s="260"/>
      <c r="F24" s="260"/>
      <c r="G24" s="261"/>
      <c r="H24" s="92" t="s">
        <v>2319</v>
      </c>
      <c r="I24" s="85" t="s">
        <v>2318</v>
      </c>
      <c r="J24" s="93">
        <v>0</v>
      </c>
      <c r="K24" s="93">
        <v>1</v>
      </c>
      <c r="L24" s="93">
        <v>0</v>
      </c>
      <c r="M24" s="93">
        <v>0</v>
      </c>
      <c r="N24" s="93">
        <v>0</v>
      </c>
      <c r="O24" s="93">
        <v>0</v>
      </c>
      <c r="P24" s="93">
        <v>0</v>
      </c>
      <c r="Q24" s="93">
        <v>0</v>
      </c>
      <c r="R24" s="86" t="s">
        <v>84</v>
      </c>
      <c r="S24" s="256" t="s">
        <v>65</v>
      </c>
      <c r="T24" s="257"/>
      <c r="U24" s="257"/>
      <c r="V24" s="258"/>
      <c r="W24" s="94">
        <v>14</v>
      </c>
      <c r="X24" s="94" t="s">
        <v>85</v>
      </c>
      <c r="Y24" s="80"/>
    </row>
    <row r="25" spans="1:25" ht="270" x14ac:dyDescent="0.2">
      <c r="A25" s="73">
        <v>12</v>
      </c>
      <c r="B25" s="85" t="s">
        <v>2316</v>
      </c>
      <c r="C25" s="92" t="s">
        <v>2317</v>
      </c>
      <c r="D25" s="259" t="s">
        <v>2413</v>
      </c>
      <c r="E25" s="260"/>
      <c r="F25" s="260"/>
      <c r="G25" s="261"/>
      <c r="H25" s="96" t="s">
        <v>2320</v>
      </c>
      <c r="I25" s="85" t="s">
        <v>2321</v>
      </c>
      <c r="J25" s="93">
        <v>0</v>
      </c>
      <c r="K25" s="93">
        <v>1</v>
      </c>
      <c r="L25" s="93">
        <v>0</v>
      </c>
      <c r="M25" s="93">
        <v>0</v>
      </c>
      <c r="N25" s="93">
        <v>0</v>
      </c>
      <c r="O25" s="93">
        <v>0</v>
      </c>
      <c r="P25" s="93">
        <v>0</v>
      </c>
      <c r="Q25" s="93">
        <v>0</v>
      </c>
      <c r="R25" s="86" t="s">
        <v>91</v>
      </c>
      <c r="S25" s="268" t="s">
        <v>55</v>
      </c>
      <c r="T25" s="269"/>
      <c r="U25" s="269"/>
      <c r="V25" s="270"/>
      <c r="W25" s="91">
        <v>15</v>
      </c>
      <c r="X25" s="91" t="s">
        <v>85</v>
      </c>
      <c r="Y25" s="80" t="s">
        <v>2415</v>
      </c>
    </row>
    <row r="26" spans="1:25" ht="247.5" x14ac:dyDescent="0.2">
      <c r="A26" s="73">
        <v>13</v>
      </c>
      <c r="B26" s="84" t="s">
        <v>2322</v>
      </c>
      <c r="C26" s="92" t="s">
        <v>2326</v>
      </c>
      <c r="D26" s="259" t="s">
        <v>2323</v>
      </c>
      <c r="E26" s="260"/>
      <c r="F26" s="260"/>
      <c r="G26" s="261"/>
      <c r="H26" s="92" t="s">
        <v>2325</v>
      </c>
      <c r="I26" s="85" t="s">
        <v>2324</v>
      </c>
      <c r="J26" s="93">
        <v>0</v>
      </c>
      <c r="K26" s="93">
        <v>1</v>
      </c>
      <c r="L26" s="93">
        <v>0</v>
      </c>
      <c r="M26" s="93">
        <v>0</v>
      </c>
      <c r="N26" s="93">
        <v>0</v>
      </c>
      <c r="O26" s="93">
        <v>0</v>
      </c>
      <c r="P26" s="93">
        <v>2</v>
      </c>
      <c r="Q26" s="93">
        <v>7</v>
      </c>
      <c r="R26" s="86" t="s">
        <v>84</v>
      </c>
      <c r="S26" s="256" t="s">
        <v>90</v>
      </c>
      <c r="T26" s="257"/>
      <c r="U26" s="257"/>
      <c r="V26" s="258"/>
      <c r="W26" s="94">
        <v>15</v>
      </c>
      <c r="X26" s="94" t="s">
        <v>92</v>
      </c>
      <c r="Y26" s="80"/>
    </row>
    <row r="27" spans="1:25" ht="258.75" x14ac:dyDescent="0.2">
      <c r="A27" s="73">
        <v>14</v>
      </c>
      <c r="B27" s="95" t="s">
        <v>1582</v>
      </c>
      <c r="C27" s="92" t="s">
        <v>2328</v>
      </c>
      <c r="D27" s="259" t="s">
        <v>2327</v>
      </c>
      <c r="E27" s="260"/>
      <c r="F27" s="260"/>
      <c r="G27" s="261"/>
      <c r="H27" s="75" t="s">
        <v>2434</v>
      </c>
      <c r="I27" s="85" t="s">
        <v>2329</v>
      </c>
      <c r="J27" s="93">
        <v>0</v>
      </c>
      <c r="K27" s="93">
        <v>1</v>
      </c>
      <c r="L27" s="93">
        <v>0</v>
      </c>
      <c r="M27" s="93">
        <v>0</v>
      </c>
      <c r="N27" s="93">
        <v>0</v>
      </c>
      <c r="O27" s="93">
        <v>0</v>
      </c>
      <c r="P27" s="93">
        <v>0</v>
      </c>
      <c r="Q27" s="93">
        <v>0</v>
      </c>
      <c r="R27" s="86" t="s">
        <v>84</v>
      </c>
      <c r="S27" s="268" t="s">
        <v>48</v>
      </c>
      <c r="T27" s="269"/>
      <c r="U27" s="269"/>
      <c r="V27" s="270"/>
      <c r="W27" s="91">
        <v>15</v>
      </c>
      <c r="X27" s="91" t="s">
        <v>85</v>
      </c>
      <c r="Y27" s="80" t="s">
        <v>2416</v>
      </c>
    </row>
    <row r="28" spans="1:25" ht="247.5" x14ac:dyDescent="0.2">
      <c r="A28" s="73">
        <v>15</v>
      </c>
      <c r="B28" s="95" t="s">
        <v>2331</v>
      </c>
      <c r="C28" s="92" t="s">
        <v>2332</v>
      </c>
      <c r="D28" s="259" t="s">
        <v>2333</v>
      </c>
      <c r="E28" s="260"/>
      <c r="F28" s="260"/>
      <c r="G28" s="261"/>
      <c r="H28" s="92" t="s">
        <v>2330</v>
      </c>
      <c r="I28" s="85" t="s">
        <v>2334</v>
      </c>
      <c r="J28" s="93">
        <v>0</v>
      </c>
      <c r="K28" s="93">
        <v>1</v>
      </c>
      <c r="L28" s="93">
        <v>0</v>
      </c>
      <c r="M28" s="93">
        <v>0</v>
      </c>
      <c r="N28" s="93">
        <v>0</v>
      </c>
      <c r="O28" s="93">
        <v>0</v>
      </c>
      <c r="P28" s="93">
        <v>1</v>
      </c>
      <c r="Q28" s="93">
        <v>4</v>
      </c>
      <c r="R28" s="86" t="s">
        <v>84</v>
      </c>
      <c r="S28" s="268" t="s">
        <v>99</v>
      </c>
      <c r="T28" s="269"/>
      <c r="U28" s="269"/>
      <c r="V28" s="270"/>
      <c r="W28" s="91">
        <v>15</v>
      </c>
      <c r="X28" s="91" t="s">
        <v>85</v>
      </c>
      <c r="Y28" s="80"/>
    </row>
    <row r="29" spans="1:25" ht="276.75" customHeight="1" x14ac:dyDescent="0.2">
      <c r="A29" s="73">
        <v>16</v>
      </c>
      <c r="B29" s="85" t="s">
        <v>1742</v>
      </c>
      <c r="C29" s="92" t="s">
        <v>2417</v>
      </c>
      <c r="D29" s="259" t="s">
        <v>2335</v>
      </c>
      <c r="E29" s="260"/>
      <c r="F29" s="260"/>
      <c r="G29" s="261"/>
      <c r="H29" s="92" t="s">
        <v>2337</v>
      </c>
      <c r="I29" s="85" t="s">
        <v>2336</v>
      </c>
      <c r="J29" s="93">
        <v>0</v>
      </c>
      <c r="K29" s="93">
        <v>1</v>
      </c>
      <c r="L29" s="93">
        <v>0</v>
      </c>
      <c r="M29" s="93">
        <v>0</v>
      </c>
      <c r="N29" s="93">
        <v>0</v>
      </c>
      <c r="O29" s="93">
        <v>0</v>
      </c>
      <c r="P29" s="93">
        <v>1</v>
      </c>
      <c r="Q29" s="93">
        <v>4</v>
      </c>
      <c r="R29" s="86" t="s">
        <v>84</v>
      </c>
      <c r="S29" s="268" t="s">
        <v>2338</v>
      </c>
      <c r="T29" s="269"/>
      <c r="U29" s="269"/>
      <c r="V29" s="270"/>
      <c r="W29" s="91">
        <v>15</v>
      </c>
      <c r="X29" s="91" t="s">
        <v>85</v>
      </c>
      <c r="Y29" s="80"/>
    </row>
    <row r="30" spans="1:25" ht="281.25" x14ac:dyDescent="0.2">
      <c r="A30" s="73">
        <v>17</v>
      </c>
      <c r="B30" s="85" t="s">
        <v>2339</v>
      </c>
      <c r="C30" s="92" t="s">
        <v>2343</v>
      </c>
      <c r="D30" s="259" t="s">
        <v>2340</v>
      </c>
      <c r="E30" s="260"/>
      <c r="F30" s="260"/>
      <c r="G30" s="261"/>
      <c r="H30" s="92" t="s">
        <v>2342</v>
      </c>
      <c r="I30" s="85" t="s">
        <v>2341</v>
      </c>
      <c r="J30" s="93">
        <v>0</v>
      </c>
      <c r="K30" s="93">
        <v>1</v>
      </c>
      <c r="L30" s="93">
        <v>0</v>
      </c>
      <c r="M30" s="93">
        <v>0</v>
      </c>
      <c r="N30" s="93">
        <v>0</v>
      </c>
      <c r="O30" s="93">
        <v>0</v>
      </c>
      <c r="P30" s="93">
        <v>1</v>
      </c>
      <c r="Q30" s="93">
        <v>4</v>
      </c>
      <c r="R30" s="86" t="s">
        <v>84</v>
      </c>
      <c r="S30" s="256" t="s">
        <v>54</v>
      </c>
      <c r="T30" s="257"/>
      <c r="U30" s="257"/>
      <c r="V30" s="258"/>
      <c r="W30" s="94">
        <v>15</v>
      </c>
      <c r="X30" s="94" t="s">
        <v>85</v>
      </c>
      <c r="Y30" s="80"/>
    </row>
    <row r="31" spans="1:25" ht="281.25" x14ac:dyDescent="0.2">
      <c r="A31" s="73">
        <v>18</v>
      </c>
      <c r="B31" s="95" t="s">
        <v>2339</v>
      </c>
      <c r="C31" s="97" t="s">
        <v>2345</v>
      </c>
      <c r="D31" s="259" t="s">
        <v>2344</v>
      </c>
      <c r="E31" s="260"/>
      <c r="F31" s="260"/>
      <c r="G31" s="261"/>
      <c r="H31" s="92" t="s">
        <v>2347</v>
      </c>
      <c r="I31" s="85" t="s">
        <v>2346</v>
      </c>
      <c r="J31" s="93">
        <v>0</v>
      </c>
      <c r="K31" s="93">
        <v>1</v>
      </c>
      <c r="L31" s="93">
        <v>0</v>
      </c>
      <c r="M31" s="93">
        <v>0</v>
      </c>
      <c r="N31" s="93">
        <v>0</v>
      </c>
      <c r="O31" s="93">
        <v>0</v>
      </c>
      <c r="P31" s="93">
        <v>1</v>
      </c>
      <c r="Q31" s="93">
        <v>1</v>
      </c>
      <c r="R31" s="86" t="s">
        <v>84</v>
      </c>
      <c r="S31" s="268" t="s">
        <v>964</v>
      </c>
      <c r="T31" s="269"/>
      <c r="U31" s="269"/>
      <c r="V31" s="270"/>
      <c r="W31" s="91">
        <v>15</v>
      </c>
      <c r="X31" s="91" t="s">
        <v>85</v>
      </c>
      <c r="Y31" s="80"/>
    </row>
    <row r="32" spans="1:25" ht="191.25" x14ac:dyDescent="0.2">
      <c r="A32" s="73">
        <v>19</v>
      </c>
      <c r="B32" s="95" t="s">
        <v>2348</v>
      </c>
      <c r="C32" s="97" t="s">
        <v>2418</v>
      </c>
      <c r="D32" s="259" t="s">
        <v>2349</v>
      </c>
      <c r="E32" s="260"/>
      <c r="F32" s="260"/>
      <c r="G32" s="261"/>
      <c r="H32" s="92" t="s">
        <v>2351</v>
      </c>
      <c r="I32" s="85" t="s">
        <v>2350</v>
      </c>
      <c r="J32" s="93">
        <v>0</v>
      </c>
      <c r="K32" s="93">
        <v>1</v>
      </c>
      <c r="L32" s="93">
        <v>0</v>
      </c>
      <c r="M32" s="93">
        <v>0</v>
      </c>
      <c r="N32" s="93">
        <v>0</v>
      </c>
      <c r="O32" s="93">
        <v>0</v>
      </c>
      <c r="P32" s="93">
        <v>1</v>
      </c>
      <c r="Q32" s="93">
        <v>4</v>
      </c>
      <c r="R32" s="86" t="s">
        <v>84</v>
      </c>
      <c r="S32" s="268" t="s">
        <v>98</v>
      </c>
      <c r="T32" s="269"/>
      <c r="U32" s="269"/>
      <c r="V32" s="270"/>
      <c r="W32" s="91">
        <v>14</v>
      </c>
      <c r="X32" s="91" t="s">
        <v>85</v>
      </c>
      <c r="Y32" s="80"/>
    </row>
    <row r="33" spans="1:25" ht="228" x14ac:dyDescent="0.2">
      <c r="A33" s="73">
        <v>20</v>
      </c>
      <c r="B33" s="76" t="s">
        <v>1852</v>
      </c>
      <c r="C33" s="75" t="s">
        <v>2420</v>
      </c>
      <c r="D33" s="259" t="s">
        <v>2352</v>
      </c>
      <c r="E33" s="260"/>
      <c r="F33" s="260"/>
      <c r="G33" s="261"/>
      <c r="H33" s="75" t="s">
        <v>2354</v>
      </c>
      <c r="I33" s="76" t="s">
        <v>2353</v>
      </c>
      <c r="J33" s="86">
        <v>0</v>
      </c>
      <c r="K33" s="87">
        <v>1</v>
      </c>
      <c r="L33" s="77">
        <v>0</v>
      </c>
      <c r="M33" s="77">
        <v>0</v>
      </c>
      <c r="N33" s="77">
        <v>0</v>
      </c>
      <c r="O33" s="77">
        <v>0</v>
      </c>
      <c r="P33" s="77">
        <v>0</v>
      </c>
      <c r="Q33" s="77">
        <v>0</v>
      </c>
      <c r="R33" s="86" t="s">
        <v>84</v>
      </c>
      <c r="S33" s="265" t="s">
        <v>95</v>
      </c>
      <c r="T33" s="266"/>
      <c r="U33" s="266"/>
      <c r="V33" s="267"/>
      <c r="W33" s="79">
        <v>14</v>
      </c>
      <c r="X33" s="79" t="s">
        <v>85</v>
      </c>
      <c r="Y33" s="80" t="s">
        <v>2419</v>
      </c>
    </row>
    <row r="34" spans="1:25" ht="240" x14ac:dyDescent="0.2">
      <c r="A34" s="73">
        <v>21</v>
      </c>
      <c r="B34" s="76" t="s">
        <v>2355</v>
      </c>
      <c r="C34" s="75" t="s">
        <v>2421</v>
      </c>
      <c r="D34" s="259" t="s">
        <v>2356</v>
      </c>
      <c r="E34" s="260"/>
      <c r="F34" s="260"/>
      <c r="G34" s="261"/>
      <c r="H34" s="75" t="s">
        <v>2358</v>
      </c>
      <c r="I34" s="76" t="s">
        <v>2357</v>
      </c>
      <c r="J34" s="93">
        <v>0</v>
      </c>
      <c r="K34" s="93">
        <v>1</v>
      </c>
      <c r="L34" s="77">
        <v>0</v>
      </c>
      <c r="M34" s="77">
        <v>0</v>
      </c>
      <c r="N34" s="77">
        <v>0</v>
      </c>
      <c r="O34" s="77">
        <v>0</v>
      </c>
      <c r="P34" s="77">
        <v>1</v>
      </c>
      <c r="Q34" s="77">
        <v>5</v>
      </c>
      <c r="R34" s="78" t="s">
        <v>84</v>
      </c>
      <c r="S34" s="265" t="s">
        <v>54</v>
      </c>
      <c r="T34" s="266"/>
      <c r="U34" s="266"/>
      <c r="V34" s="267"/>
      <c r="W34" s="79">
        <v>14</v>
      </c>
      <c r="X34" s="79" t="s">
        <v>85</v>
      </c>
      <c r="Y34" s="80"/>
    </row>
    <row r="35" spans="1:25" ht="240" x14ac:dyDescent="0.2">
      <c r="A35" s="73">
        <v>22</v>
      </c>
      <c r="B35" s="76" t="s">
        <v>1871</v>
      </c>
      <c r="C35" s="75" t="s">
        <v>2422</v>
      </c>
      <c r="D35" s="259" t="s">
        <v>2359</v>
      </c>
      <c r="E35" s="260"/>
      <c r="F35" s="260"/>
      <c r="G35" s="261"/>
      <c r="H35" s="75" t="s">
        <v>2361</v>
      </c>
      <c r="I35" s="76" t="s">
        <v>2360</v>
      </c>
      <c r="J35" s="93">
        <v>0</v>
      </c>
      <c r="K35" s="93">
        <v>1</v>
      </c>
      <c r="L35" s="77">
        <v>0</v>
      </c>
      <c r="M35" s="77">
        <v>0</v>
      </c>
      <c r="N35" s="77">
        <v>0</v>
      </c>
      <c r="O35" s="77">
        <v>0</v>
      </c>
      <c r="P35" s="77">
        <v>0</v>
      </c>
      <c r="Q35" s="77">
        <v>0</v>
      </c>
      <c r="R35" s="78" t="s">
        <v>84</v>
      </c>
      <c r="S35" s="265" t="s">
        <v>2362</v>
      </c>
      <c r="T35" s="266"/>
      <c r="U35" s="266"/>
      <c r="V35" s="267"/>
      <c r="W35" s="79">
        <v>14</v>
      </c>
      <c r="X35" s="79" t="s">
        <v>85</v>
      </c>
      <c r="Y35" s="80" t="s">
        <v>2423</v>
      </c>
    </row>
    <row r="36" spans="1:25" ht="252" x14ac:dyDescent="0.2">
      <c r="A36" s="73">
        <v>23</v>
      </c>
      <c r="B36" s="76" t="s">
        <v>2363</v>
      </c>
      <c r="C36" s="75" t="s">
        <v>2367</v>
      </c>
      <c r="D36" s="259" t="s">
        <v>2364</v>
      </c>
      <c r="E36" s="260"/>
      <c r="F36" s="260"/>
      <c r="G36" s="261"/>
      <c r="H36" s="75" t="s">
        <v>2366</v>
      </c>
      <c r="I36" s="76" t="s">
        <v>2365</v>
      </c>
      <c r="J36" s="93">
        <v>0</v>
      </c>
      <c r="K36" s="93">
        <v>1</v>
      </c>
      <c r="L36" s="77">
        <v>0</v>
      </c>
      <c r="M36" s="77">
        <v>0</v>
      </c>
      <c r="N36" s="77">
        <v>0</v>
      </c>
      <c r="O36" s="77">
        <v>0</v>
      </c>
      <c r="P36" s="77">
        <v>1</v>
      </c>
      <c r="Q36" s="77">
        <v>3</v>
      </c>
      <c r="R36" s="78" t="s">
        <v>84</v>
      </c>
      <c r="S36" s="262" t="s">
        <v>57</v>
      </c>
      <c r="T36" s="263"/>
      <c r="U36" s="263"/>
      <c r="V36" s="264"/>
      <c r="W36" s="81">
        <v>14</v>
      </c>
      <c r="X36" s="81" t="s">
        <v>85</v>
      </c>
      <c r="Y36" s="80"/>
    </row>
    <row r="37" spans="1:25" ht="312" x14ac:dyDescent="0.2">
      <c r="A37" s="73">
        <v>24</v>
      </c>
      <c r="B37" s="76" t="s">
        <v>2368</v>
      </c>
      <c r="C37" s="75" t="s">
        <v>2369</v>
      </c>
      <c r="D37" s="259" t="s">
        <v>2370</v>
      </c>
      <c r="E37" s="260"/>
      <c r="F37" s="260"/>
      <c r="G37" s="261"/>
      <c r="H37" s="75" t="s">
        <v>2372</v>
      </c>
      <c r="I37" s="76" t="s">
        <v>2371</v>
      </c>
      <c r="J37" s="93">
        <v>0</v>
      </c>
      <c r="K37" s="93">
        <v>1</v>
      </c>
      <c r="L37" s="77">
        <v>0</v>
      </c>
      <c r="M37" s="77">
        <v>0</v>
      </c>
      <c r="N37" s="77">
        <v>0</v>
      </c>
      <c r="O37" s="77">
        <v>0</v>
      </c>
      <c r="P37" s="77">
        <v>0</v>
      </c>
      <c r="Q37" s="77">
        <v>0</v>
      </c>
      <c r="R37" s="78" t="s">
        <v>84</v>
      </c>
      <c r="S37" s="265" t="s">
        <v>100</v>
      </c>
      <c r="T37" s="266"/>
      <c r="U37" s="266"/>
      <c r="V37" s="267"/>
      <c r="W37" s="79">
        <v>14</v>
      </c>
      <c r="X37" s="79" t="s">
        <v>85</v>
      </c>
      <c r="Y37" s="80"/>
    </row>
    <row r="38" spans="1:25" ht="300" x14ac:dyDescent="0.2">
      <c r="A38" s="73">
        <v>25</v>
      </c>
      <c r="B38" s="76" t="s">
        <v>2373</v>
      </c>
      <c r="C38" s="75" t="s">
        <v>2376</v>
      </c>
      <c r="D38" s="259" t="s">
        <v>2377</v>
      </c>
      <c r="E38" s="260"/>
      <c r="F38" s="260"/>
      <c r="G38" s="261"/>
      <c r="H38" s="75" t="s">
        <v>2375</v>
      </c>
      <c r="I38" s="76" t="s">
        <v>2374</v>
      </c>
      <c r="J38" s="93">
        <v>0</v>
      </c>
      <c r="K38" s="93">
        <v>1</v>
      </c>
      <c r="L38" s="77">
        <v>0</v>
      </c>
      <c r="M38" s="77">
        <v>0</v>
      </c>
      <c r="N38" s="77">
        <v>0</v>
      </c>
      <c r="O38" s="77">
        <v>0</v>
      </c>
      <c r="P38" s="77">
        <v>0</v>
      </c>
      <c r="Q38" s="77">
        <v>0</v>
      </c>
      <c r="R38" s="78" t="s">
        <v>84</v>
      </c>
      <c r="S38" s="265" t="s">
        <v>964</v>
      </c>
      <c r="T38" s="266"/>
      <c r="U38" s="266"/>
      <c r="V38" s="267"/>
      <c r="W38" s="79">
        <v>15</v>
      </c>
      <c r="X38" s="79" t="s">
        <v>85</v>
      </c>
      <c r="Y38" s="80"/>
    </row>
    <row r="39" spans="1:25" ht="228" x14ac:dyDescent="0.2">
      <c r="A39" s="73">
        <v>26</v>
      </c>
      <c r="B39" s="76" t="s">
        <v>2378</v>
      </c>
      <c r="C39" s="75" t="s">
        <v>2424</v>
      </c>
      <c r="D39" s="259" t="s">
        <v>2379</v>
      </c>
      <c r="E39" s="260"/>
      <c r="F39" s="260"/>
      <c r="G39" s="261"/>
      <c r="H39" s="83" t="s">
        <v>2382</v>
      </c>
      <c r="I39" s="76" t="s">
        <v>2381</v>
      </c>
      <c r="J39" s="93">
        <v>0</v>
      </c>
      <c r="K39" s="93">
        <v>1</v>
      </c>
      <c r="L39" s="77">
        <v>0</v>
      </c>
      <c r="M39" s="77">
        <v>0</v>
      </c>
      <c r="N39" s="77">
        <v>0</v>
      </c>
      <c r="O39" s="77">
        <v>0</v>
      </c>
      <c r="P39" s="77">
        <v>1</v>
      </c>
      <c r="Q39" s="77">
        <v>5</v>
      </c>
      <c r="R39" s="78" t="s">
        <v>2380</v>
      </c>
      <c r="S39" s="262" t="s">
        <v>65</v>
      </c>
      <c r="T39" s="263"/>
      <c r="U39" s="263"/>
      <c r="V39" s="264"/>
      <c r="W39" s="81">
        <v>15</v>
      </c>
      <c r="X39" s="81" t="s">
        <v>85</v>
      </c>
      <c r="Y39" s="80"/>
    </row>
    <row r="40" spans="1:25" ht="240" x14ac:dyDescent="0.2">
      <c r="A40" s="73">
        <v>27</v>
      </c>
      <c r="B40" s="76" t="s">
        <v>2378</v>
      </c>
      <c r="C40" s="75" t="s">
        <v>2425</v>
      </c>
      <c r="D40" s="259" t="s">
        <v>2384</v>
      </c>
      <c r="E40" s="260"/>
      <c r="F40" s="260"/>
      <c r="G40" s="261"/>
      <c r="H40" s="75" t="s">
        <v>2386</v>
      </c>
      <c r="I40" s="76" t="s">
        <v>2385</v>
      </c>
      <c r="J40" s="93">
        <v>0</v>
      </c>
      <c r="K40" s="93">
        <v>1</v>
      </c>
      <c r="L40" s="77">
        <v>0</v>
      </c>
      <c r="M40" s="77">
        <v>0</v>
      </c>
      <c r="N40" s="77">
        <v>0</v>
      </c>
      <c r="O40" s="77">
        <v>0</v>
      </c>
      <c r="P40" s="77">
        <v>0</v>
      </c>
      <c r="Q40" s="77">
        <v>0</v>
      </c>
      <c r="R40" s="78" t="s">
        <v>2383</v>
      </c>
      <c r="S40" s="262" t="s">
        <v>2387</v>
      </c>
      <c r="T40" s="263"/>
      <c r="U40" s="263"/>
      <c r="V40" s="264"/>
      <c r="W40" s="81">
        <v>14</v>
      </c>
      <c r="X40" s="81" t="s">
        <v>85</v>
      </c>
      <c r="Y40" s="80" t="s">
        <v>2426</v>
      </c>
    </row>
    <row r="41" spans="1:25" ht="212.25" customHeight="1" x14ac:dyDescent="0.2">
      <c r="A41" s="73">
        <v>28</v>
      </c>
      <c r="B41" s="76" t="s">
        <v>2388</v>
      </c>
      <c r="C41" s="75" t="s">
        <v>2427</v>
      </c>
      <c r="D41" s="259" t="s">
        <v>2389</v>
      </c>
      <c r="E41" s="260"/>
      <c r="F41" s="260"/>
      <c r="G41" s="261"/>
      <c r="H41" s="75" t="s">
        <v>2393</v>
      </c>
      <c r="I41" s="76" t="s">
        <v>2390</v>
      </c>
      <c r="J41" s="93">
        <v>0</v>
      </c>
      <c r="K41" s="93">
        <v>1</v>
      </c>
      <c r="L41" s="77">
        <v>0</v>
      </c>
      <c r="M41" s="77">
        <v>0</v>
      </c>
      <c r="N41" s="77">
        <v>0</v>
      </c>
      <c r="O41" s="77">
        <v>0</v>
      </c>
      <c r="P41" s="77">
        <v>1</v>
      </c>
      <c r="Q41" s="77">
        <v>5</v>
      </c>
      <c r="R41" s="78" t="s">
        <v>84</v>
      </c>
      <c r="S41" s="265" t="s">
        <v>2362</v>
      </c>
      <c r="T41" s="266"/>
      <c r="U41" s="266"/>
      <c r="V41" s="267"/>
      <c r="W41" s="79">
        <v>14</v>
      </c>
      <c r="X41" s="79" t="s">
        <v>85</v>
      </c>
      <c r="Y41" s="80"/>
    </row>
    <row r="42" spans="1:25" ht="204" x14ac:dyDescent="0.2">
      <c r="A42" s="73">
        <v>29</v>
      </c>
      <c r="B42" s="76" t="s">
        <v>2391</v>
      </c>
      <c r="C42" s="75" t="s">
        <v>2428</v>
      </c>
      <c r="D42" s="259" t="s">
        <v>2392</v>
      </c>
      <c r="E42" s="260"/>
      <c r="F42" s="260"/>
      <c r="G42" s="261"/>
      <c r="H42" s="75" t="s">
        <v>2395</v>
      </c>
      <c r="I42" s="76" t="s">
        <v>2394</v>
      </c>
      <c r="J42" s="93">
        <v>0</v>
      </c>
      <c r="K42" s="93">
        <v>1</v>
      </c>
      <c r="L42" s="77">
        <v>0</v>
      </c>
      <c r="M42" s="77">
        <v>0</v>
      </c>
      <c r="N42" s="77">
        <v>0</v>
      </c>
      <c r="O42" s="77">
        <v>0</v>
      </c>
      <c r="P42" s="77">
        <v>0</v>
      </c>
      <c r="Q42" s="77">
        <v>0</v>
      </c>
      <c r="R42" s="78" t="s">
        <v>2380</v>
      </c>
      <c r="S42" s="262" t="s">
        <v>96</v>
      </c>
      <c r="T42" s="263"/>
      <c r="U42" s="263"/>
      <c r="V42" s="264"/>
      <c r="W42" s="81">
        <v>14</v>
      </c>
      <c r="X42" s="81" t="s">
        <v>85</v>
      </c>
      <c r="Y42" s="80" t="s">
        <v>2429</v>
      </c>
    </row>
    <row r="43" spans="1:25" ht="330.75" customHeight="1" x14ac:dyDescent="0.2">
      <c r="A43" s="73">
        <v>30</v>
      </c>
      <c r="B43" s="76" t="s">
        <v>2396</v>
      </c>
      <c r="C43" s="75" t="s">
        <v>2398</v>
      </c>
      <c r="D43" s="259" t="s">
        <v>2397</v>
      </c>
      <c r="E43" s="260"/>
      <c r="F43" s="260"/>
      <c r="G43" s="261"/>
      <c r="H43" s="75" t="s">
        <v>2400</v>
      </c>
      <c r="I43" s="76" t="s">
        <v>2399</v>
      </c>
      <c r="J43" s="93">
        <v>0</v>
      </c>
      <c r="K43" s="93">
        <v>3</v>
      </c>
      <c r="L43" s="77">
        <v>0</v>
      </c>
      <c r="M43" s="77">
        <v>0</v>
      </c>
      <c r="N43" s="77">
        <v>0</v>
      </c>
      <c r="O43" s="77">
        <v>1</v>
      </c>
      <c r="P43" s="77">
        <v>5</v>
      </c>
      <c r="Q43" s="77">
        <v>12</v>
      </c>
      <c r="R43" s="78" t="s">
        <v>84</v>
      </c>
      <c r="S43" s="262" t="s">
        <v>97</v>
      </c>
      <c r="T43" s="263"/>
      <c r="U43" s="263"/>
      <c r="V43" s="264"/>
      <c r="W43" s="81">
        <v>14</v>
      </c>
      <c r="X43" s="81" t="s">
        <v>85</v>
      </c>
      <c r="Y43" s="80"/>
    </row>
    <row r="44" spans="1:25" ht="262.5" customHeight="1" x14ac:dyDescent="0.2">
      <c r="A44" s="98">
        <v>31</v>
      </c>
      <c r="B44" s="76" t="s">
        <v>2401</v>
      </c>
      <c r="C44" s="75" t="s">
        <v>2430</v>
      </c>
      <c r="D44" s="259" t="s">
        <v>2431</v>
      </c>
      <c r="E44" s="260"/>
      <c r="F44" s="260"/>
      <c r="G44" s="261"/>
      <c r="H44" s="75" t="s">
        <v>2403</v>
      </c>
      <c r="I44" s="76" t="s">
        <v>2402</v>
      </c>
      <c r="J44" s="77">
        <v>0</v>
      </c>
      <c r="K44" s="77">
        <v>1</v>
      </c>
      <c r="L44" s="77">
        <v>0</v>
      </c>
      <c r="M44" s="77">
        <v>0</v>
      </c>
      <c r="N44" s="77">
        <v>0</v>
      </c>
      <c r="O44" s="77">
        <v>0</v>
      </c>
      <c r="P44" s="77">
        <v>0</v>
      </c>
      <c r="Q44" s="77">
        <v>0</v>
      </c>
      <c r="R44" s="78" t="s">
        <v>84</v>
      </c>
      <c r="S44" s="262" t="s">
        <v>93</v>
      </c>
      <c r="T44" s="263"/>
      <c r="U44" s="263"/>
      <c r="V44" s="264"/>
      <c r="W44" s="81">
        <v>14</v>
      </c>
      <c r="X44" s="81" t="s">
        <v>85</v>
      </c>
      <c r="Y44" s="80" t="s">
        <v>2432</v>
      </c>
    </row>
    <row r="45" spans="1:25" ht="234" customHeight="1" x14ac:dyDescent="0.2">
      <c r="A45" s="73">
        <v>32</v>
      </c>
      <c r="B45" s="76" t="s">
        <v>2404</v>
      </c>
      <c r="C45" s="75" t="s">
        <v>2433</v>
      </c>
      <c r="D45" s="259" t="s">
        <v>2405</v>
      </c>
      <c r="E45" s="260"/>
      <c r="F45" s="260"/>
      <c r="G45" s="261"/>
      <c r="H45" s="75" t="s">
        <v>2406</v>
      </c>
      <c r="I45" s="76" t="s">
        <v>2407</v>
      </c>
      <c r="J45" s="93">
        <v>0</v>
      </c>
      <c r="K45" s="93">
        <v>1</v>
      </c>
      <c r="L45" s="77">
        <v>0</v>
      </c>
      <c r="M45" s="77">
        <v>0</v>
      </c>
      <c r="N45" s="77">
        <v>0</v>
      </c>
      <c r="O45" s="77">
        <v>0</v>
      </c>
      <c r="P45" s="77">
        <v>0</v>
      </c>
      <c r="Q45" s="77">
        <v>0</v>
      </c>
      <c r="R45" s="78"/>
      <c r="S45" s="262" t="s">
        <v>89</v>
      </c>
      <c r="T45" s="263"/>
      <c r="U45" s="263"/>
      <c r="V45" s="264"/>
      <c r="W45" s="81">
        <v>15</v>
      </c>
      <c r="X45" s="81" t="s">
        <v>85</v>
      </c>
      <c r="Y45" s="80" t="s">
        <v>2419</v>
      </c>
    </row>
    <row r="46" spans="1:25" ht="14.25" x14ac:dyDescent="0.2">
      <c r="A46" s="100"/>
      <c r="B46" s="183" t="s">
        <v>20</v>
      </c>
      <c r="C46" s="183"/>
      <c r="D46" s="183"/>
      <c r="E46" s="183"/>
      <c r="F46" s="183"/>
      <c r="G46" s="183"/>
      <c r="H46" s="183"/>
      <c r="I46" s="183"/>
      <c r="J46" s="101">
        <f t="shared" ref="J46:Q46" si="0">SUM(J14:J45)</f>
        <v>0</v>
      </c>
      <c r="K46" s="101">
        <f t="shared" si="0"/>
        <v>57</v>
      </c>
      <c r="L46" s="101">
        <f t="shared" si="0"/>
        <v>0</v>
      </c>
      <c r="M46" s="101">
        <f t="shared" si="0"/>
        <v>0</v>
      </c>
      <c r="N46" s="101">
        <f t="shared" si="0"/>
        <v>0</v>
      </c>
      <c r="O46" s="101">
        <f t="shared" si="0"/>
        <v>1</v>
      </c>
      <c r="P46" s="101">
        <f t="shared" si="0"/>
        <v>41</v>
      </c>
      <c r="Q46" s="101">
        <f t="shared" si="0"/>
        <v>145</v>
      </c>
      <c r="R46" s="99"/>
      <c r="S46" s="99"/>
      <c r="T46" s="99"/>
      <c r="U46" s="99"/>
      <c r="V46" s="99"/>
      <c r="W46" s="101">
        <f>SUM(W14:W45)</f>
        <v>463</v>
      </c>
      <c r="X46" s="101" t="s">
        <v>101</v>
      </c>
    </row>
    <row r="52" spans="8:14" ht="15" x14ac:dyDescent="0.2">
      <c r="H52" s="168" t="s">
        <v>643</v>
      </c>
      <c r="I52" s="168"/>
      <c r="J52" s="168"/>
      <c r="K52" s="168"/>
      <c r="L52" s="168"/>
      <c r="M52" s="168"/>
      <c r="N52" s="168"/>
    </row>
    <row r="53" spans="8:14" ht="15" x14ac:dyDescent="0.2">
      <c r="H53" s="168" t="s">
        <v>30</v>
      </c>
      <c r="I53" s="168"/>
      <c r="J53" s="168"/>
      <c r="K53" s="168"/>
      <c r="L53" s="168"/>
      <c r="M53" s="168"/>
      <c r="N53" s="168"/>
    </row>
    <row r="54" spans="8:14" ht="15" x14ac:dyDescent="0.2">
      <c r="I54" s="16"/>
      <c r="J54" s="16"/>
      <c r="K54" s="16"/>
      <c r="L54" s="16"/>
      <c r="M54" s="16"/>
      <c r="N54" s="16"/>
    </row>
    <row r="55" spans="8:14" ht="15" x14ac:dyDescent="0.2">
      <c r="I55" s="16"/>
      <c r="J55" s="16"/>
      <c r="K55" s="16"/>
      <c r="L55" s="16"/>
      <c r="M55" s="16"/>
      <c r="N55" s="16"/>
    </row>
    <row r="56" spans="8:14" ht="15" x14ac:dyDescent="0.2">
      <c r="I56" s="16"/>
      <c r="J56" s="16"/>
      <c r="K56" s="16"/>
      <c r="L56" s="16"/>
      <c r="M56" s="16"/>
      <c r="N56" s="16"/>
    </row>
    <row r="57" spans="8:14" ht="15" x14ac:dyDescent="0.2">
      <c r="H57" s="175" t="s">
        <v>31</v>
      </c>
      <c r="I57" s="175"/>
      <c r="J57" s="175"/>
      <c r="K57" s="175"/>
      <c r="L57" s="175"/>
      <c r="M57" s="175"/>
      <c r="N57" s="175"/>
    </row>
    <row r="58" spans="8:14" ht="15" x14ac:dyDescent="0.2">
      <c r="H58" s="168" t="s">
        <v>32</v>
      </c>
      <c r="I58" s="168"/>
      <c r="J58" s="168"/>
      <c r="K58" s="168"/>
      <c r="L58" s="168"/>
      <c r="M58" s="168"/>
      <c r="N58" s="168"/>
    </row>
    <row r="59" spans="8:14" ht="15" x14ac:dyDescent="0.2">
      <c r="H59" s="168" t="s">
        <v>33</v>
      </c>
      <c r="I59" s="168"/>
      <c r="J59" s="168"/>
      <c r="K59" s="168"/>
      <c r="L59" s="168"/>
      <c r="M59" s="168"/>
      <c r="N59" s="168"/>
    </row>
    <row r="133" ht="16.5" customHeight="1" x14ac:dyDescent="0.2"/>
    <row r="135" ht="20.25" customHeight="1" x14ac:dyDescent="0.2"/>
    <row r="136" ht="24.75" customHeight="1" x14ac:dyDescent="0.2"/>
    <row r="137" ht="22.5" customHeight="1" x14ac:dyDescent="0.2"/>
  </sheetData>
  <mergeCells count="90">
    <mergeCell ref="D36:G36"/>
    <mergeCell ref="D37:G37"/>
    <mergeCell ref="D38:G38"/>
    <mergeCell ref="D39:G39"/>
    <mergeCell ref="D40:G40"/>
    <mergeCell ref="D27:G27"/>
    <mergeCell ref="D28:G28"/>
    <mergeCell ref="D29:G29"/>
    <mergeCell ref="H59:N59"/>
    <mergeCell ref="H58:N58"/>
    <mergeCell ref="H57:N57"/>
    <mergeCell ref="H53:N53"/>
    <mergeCell ref="H52:N52"/>
    <mergeCell ref="D44:G44"/>
    <mergeCell ref="D45:G45"/>
    <mergeCell ref="D30:G30"/>
    <mergeCell ref="D31:G31"/>
    <mergeCell ref="D32:G32"/>
    <mergeCell ref="D33:G33"/>
    <mergeCell ref="D34:G34"/>
    <mergeCell ref="D35:G35"/>
    <mergeCell ref="L12:L13"/>
    <mergeCell ref="M12:M13"/>
    <mergeCell ref="N12:O12"/>
    <mergeCell ref="Y12:Y13"/>
    <mergeCell ref="D26:G26"/>
    <mergeCell ref="D21:G21"/>
    <mergeCell ref="D22:G22"/>
    <mergeCell ref="D23:G23"/>
    <mergeCell ref="D24:G24"/>
    <mergeCell ref="D25:G25"/>
    <mergeCell ref="S25:V25"/>
    <mergeCell ref="S26:V26"/>
    <mergeCell ref="S24:V24"/>
    <mergeCell ref="S21:V21"/>
    <mergeCell ref="S22:V22"/>
    <mergeCell ref="S23:V23"/>
    <mergeCell ref="S33:V33"/>
    <mergeCell ref="S34:V34"/>
    <mergeCell ref="S35:V35"/>
    <mergeCell ref="S36:V36"/>
    <mergeCell ref="S37:V37"/>
    <mergeCell ref="B46:I46"/>
    <mergeCell ref="S43:V43"/>
    <mergeCell ref="S44:V44"/>
    <mergeCell ref="S45:V45"/>
    <mergeCell ref="S38:V38"/>
    <mergeCell ref="S39:V39"/>
    <mergeCell ref="S40:V40"/>
    <mergeCell ref="S41:V41"/>
    <mergeCell ref="S42:V42"/>
    <mergeCell ref="D41:G41"/>
    <mergeCell ref="D42:G42"/>
    <mergeCell ref="D43:G43"/>
    <mergeCell ref="S30:V30"/>
    <mergeCell ref="S31:V31"/>
    <mergeCell ref="S32:V32"/>
    <mergeCell ref="S29:V29"/>
    <mergeCell ref="S27:V27"/>
    <mergeCell ref="S28:V28"/>
    <mergeCell ref="S20:V20"/>
    <mergeCell ref="D14:G14"/>
    <mergeCell ref="D15:G15"/>
    <mergeCell ref="D16:G16"/>
    <mergeCell ref="D17:G17"/>
    <mergeCell ref="S19:V19"/>
    <mergeCell ref="S17:V17"/>
    <mergeCell ref="S16:V16"/>
    <mergeCell ref="S14:V14"/>
    <mergeCell ref="S15:V15"/>
    <mergeCell ref="D19:G19"/>
    <mergeCell ref="D20:G20"/>
    <mergeCell ref="D18:G18"/>
    <mergeCell ref="S18:V18"/>
    <mergeCell ref="B4:X4"/>
    <mergeCell ref="B3:X3"/>
    <mergeCell ref="B2:X2"/>
    <mergeCell ref="P12:Q12"/>
    <mergeCell ref="R12:R13"/>
    <mergeCell ref="S12:V13"/>
    <mergeCell ref="W12:W13"/>
    <mergeCell ref="B5:X5"/>
    <mergeCell ref="A7:Y7"/>
    <mergeCell ref="A8:Y8"/>
    <mergeCell ref="A9:Y9"/>
    <mergeCell ref="A12:A13"/>
    <mergeCell ref="B12:B13"/>
    <mergeCell ref="D12:G13"/>
    <mergeCell ref="I12:I13"/>
    <mergeCell ref="J12:K12"/>
  </mergeCells>
  <phoneticPr fontId="25" type="noConversion"/>
  <pageMargins left="0.92" right="0.3" top="0.23" bottom="0.28999999999999998" header="0.15" footer="0.17"/>
  <pageSetup paperSize="5" scale="80" orientation="landscape"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AB137"/>
  <sheetViews>
    <sheetView tabSelected="1" topLeftCell="A45" zoomScale="85" zoomScaleNormal="85" workbookViewId="0">
      <selection activeCell="X49" sqref="X49"/>
    </sheetView>
  </sheetViews>
  <sheetFormatPr defaultRowHeight="12.75" x14ac:dyDescent="0.2"/>
  <cols>
    <col min="1" max="1" width="6.83203125" customWidth="1"/>
    <col min="2" max="2" width="14.1640625" customWidth="1"/>
    <col min="3" max="3" width="11.1640625" customWidth="1"/>
    <col min="4" max="4" width="4.33203125" customWidth="1"/>
    <col min="5" max="5" width="4.83203125" style="62" customWidth="1"/>
    <col min="6" max="6" width="4.6640625" customWidth="1"/>
    <col min="7" max="7" width="4.33203125" customWidth="1"/>
    <col min="8" max="8" width="13.1640625" customWidth="1"/>
    <col min="9" max="9" width="24.5" customWidth="1"/>
    <col min="10" max="10" width="6.6640625" customWidth="1"/>
    <col min="11" max="11" width="6.5" customWidth="1"/>
    <col min="12" max="14" width="5.83203125" customWidth="1"/>
    <col min="15" max="15" width="6.6640625" customWidth="1"/>
    <col min="16" max="16" width="5.83203125" customWidth="1"/>
    <col min="17" max="17" width="6.1640625" customWidth="1"/>
    <col min="18" max="18" width="11.6640625" customWidth="1"/>
    <col min="19" max="19" width="5.5" customWidth="1"/>
    <col min="20" max="21" width="3.83203125" customWidth="1"/>
    <col min="22" max="22" width="5.33203125" customWidth="1"/>
  </cols>
  <sheetData>
    <row r="2" spans="1:25" ht="17.25" customHeight="1" x14ac:dyDescent="0.2">
      <c r="A2" s="5"/>
      <c r="B2" s="162" t="s">
        <v>3</v>
      </c>
      <c r="C2" s="162"/>
      <c r="D2" s="162"/>
      <c r="E2" s="162"/>
      <c r="F2" s="162"/>
      <c r="G2" s="162"/>
      <c r="H2" s="162"/>
      <c r="I2" s="162"/>
      <c r="J2" s="162"/>
      <c r="K2" s="162"/>
      <c r="L2" s="162"/>
      <c r="M2" s="162"/>
      <c r="N2" s="162"/>
      <c r="O2" s="162"/>
      <c r="P2" s="162"/>
      <c r="Q2" s="162"/>
      <c r="R2" s="162"/>
      <c r="S2" s="162"/>
      <c r="T2" s="162"/>
      <c r="U2" s="162"/>
      <c r="V2" s="162"/>
      <c r="W2" s="162"/>
      <c r="X2" s="162"/>
    </row>
    <row r="3" spans="1:25" ht="23.25" x14ac:dyDescent="0.2">
      <c r="A3" s="5"/>
      <c r="B3" s="163" t="s">
        <v>4</v>
      </c>
      <c r="C3" s="163"/>
      <c r="D3" s="163"/>
      <c r="E3" s="163"/>
      <c r="F3" s="163"/>
      <c r="G3" s="163"/>
      <c r="H3" s="163"/>
      <c r="I3" s="163"/>
      <c r="J3" s="163"/>
      <c r="K3" s="163"/>
      <c r="L3" s="163"/>
      <c r="M3" s="163"/>
      <c r="N3" s="163"/>
      <c r="O3" s="163"/>
      <c r="P3" s="163"/>
      <c r="Q3" s="163"/>
      <c r="R3" s="163"/>
      <c r="S3" s="163"/>
      <c r="T3" s="163"/>
      <c r="U3" s="163"/>
      <c r="V3" s="163"/>
      <c r="W3" s="163"/>
      <c r="X3" s="163"/>
    </row>
    <row r="4" spans="1:25" ht="14.25" x14ac:dyDescent="0.2">
      <c r="A4" s="5"/>
      <c r="B4" s="164" t="s">
        <v>6</v>
      </c>
      <c r="C4" s="164"/>
      <c r="D4" s="164"/>
      <c r="E4" s="164"/>
      <c r="F4" s="164"/>
      <c r="G4" s="164"/>
      <c r="H4" s="164"/>
      <c r="I4" s="164"/>
      <c r="J4" s="164"/>
      <c r="K4" s="164"/>
      <c r="L4" s="164"/>
      <c r="M4" s="164"/>
      <c r="N4" s="164"/>
      <c r="O4" s="164"/>
      <c r="P4" s="164"/>
      <c r="Q4" s="164"/>
      <c r="R4" s="164"/>
      <c r="S4" s="164"/>
      <c r="T4" s="164"/>
      <c r="U4" s="164"/>
      <c r="V4" s="164"/>
      <c r="W4" s="164"/>
      <c r="X4" s="164"/>
    </row>
    <row r="5" spans="1:25" ht="16.5" thickBot="1" x14ac:dyDescent="0.25">
      <c r="A5" s="4"/>
      <c r="B5" s="165" t="s">
        <v>5</v>
      </c>
      <c r="C5" s="165"/>
      <c r="D5" s="165"/>
      <c r="E5" s="165"/>
      <c r="F5" s="165"/>
      <c r="G5" s="165"/>
      <c r="H5" s="165"/>
      <c r="I5" s="165"/>
      <c r="J5" s="165"/>
      <c r="K5" s="165"/>
      <c r="L5" s="165"/>
      <c r="M5" s="165"/>
      <c r="N5" s="165"/>
      <c r="O5" s="165"/>
      <c r="P5" s="165"/>
      <c r="Q5" s="165"/>
      <c r="R5" s="165"/>
      <c r="S5" s="165"/>
      <c r="T5" s="165"/>
      <c r="U5" s="165"/>
      <c r="V5" s="165"/>
      <c r="W5" s="165"/>
      <c r="X5" s="165"/>
      <c r="Y5" s="103"/>
    </row>
    <row r="6" spans="1:25" ht="15.75" thickTop="1" x14ac:dyDescent="0.2">
      <c r="B6" s="1"/>
      <c r="C6" s="1"/>
      <c r="D6" s="1"/>
    </row>
    <row r="7" spans="1:25" ht="17.25" customHeight="1" x14ac:dyDescent="0.2">
      <c r="A7" s="166" t="s">
        <v>76</v>
      </c>
      <c r="B7" s="166"/>
      <c r="C7" s="166"/>
      <c r="D7" s="166"/>
      <c r="E7" s="166"/>
      <c r="F7" s="166"/>
      <c r="G7" s="166"/>
      <c r="H7" s="166"/>
      <c r="I7" s="166"/>
      <c r="J7" s="166"/>
      <c r="K7" s="166"/>
      <c r="L7" s="166"/>
      <c r="M7" s="166"/>
      <c r="N7" s="166"/>
      <c r="O7" s="166"/>
      <c r="P7" s="166"/>
      <c r="Q7" s="166"/>
      <c r="R7" s="166"/>
      <c r="S7" s="166"/>
      <c r="T7" s="166"/>
      <c r="U7" s="166"/>
      <c r="V7" s="166"/>
      <c r="W7" s="166"/>
      <c r="X7" s="166"/>
      <c r="Y7" s="166"/>
    </row>
    <row r="8" spans="1:25" ht="14.25" customHeight="1" x14ac:dyDescent="0.2">
      <c r="A8" s="166" t="s">
        <v>21</v>
      </c>
      <c r="B8" s="166"/>
      <c r="C8" s="166"/>
      <c r="D8" s="166"/>
      <c r="E8" s="166"/>
      <c r="F8" s="166"/>
      <c r="G8" s="166"/>
      <c r="H8" s="166"/>
      <c r="I8" s="166"/>
      <c r="J8" s="166"/>
      <c r="K8" s="166"/>
      <c r="L8" s="166"/>
      <c r="M8" s="166"/>
      <c r="N8" s="166"/>
      <c r="O8" s="166"/>
      <c r="P8" s="166"/>
      <c r="Q8" s="166"/>
      <c r="R8" s="166"/>
      <c r="S8" s="166"/>
      <c r="T8" s="166"/>
      <c r="U8" s="166"/>
      <c r="V8" s="166"/>
      <c r="W8" s="166"/>
      <c r="X8" s="166"/>
      <c r="Y8" s="166"/>
    </row>
    <row r="9" spans="1:25" ht="14.25" x14ac:dyDescent="0.2">
      <c r="A9" s="161" t="s">
        <v>2272</v>
      </c>
      <c r="B9" s="161"/>
      <c r="C9" s="161"/>
      <c r="D9" s="161"/>
      <c r="E9" s="161"/>
      <c r="F9" s="161"/>
      <c r="G9" s="161"/>
      <c r="H9" s="161"/>
      <c r="I9" s="161"/>
      <c r="J9" s="161"/>
      <c r="K9" s="161"/>
      <c r="L9" s="161"/>
      <c r="M9" s="161"/>
      <c r="N9" s="161"/>
      <c r="O9" s="161"/>
      <c r="P9" s="161"/>
      <c r="Q9" s="161"/>
      <c r="R9" s="161"/>
      <c r="S9" s="161"/>
      <c r="T9" s="161"/>
      <c r="U9" s="161"/>
      <c r="V9" s="161"/>
      <c r="W9" s="161"/>
      <c r="X9" s="161"/>
      <c r="Y9" s="161"/>
    </row>
    <row r="10" spans="1:25" ht="14.25" x14ac:dyDescent="0.2">
      <c r="A10" s="14"/>
      <c r="B10" s="14"/>
      <c r="C10" s="14"/>
      <c r="D10" s="14"/>
      <c r="E10" s="104"/>
      <c r="F10" s="14"/>
      <c r="G10" s="14"/>
      <c r="H10" s="14"/>
      <c r="I10" s="14"/>
      <c r="J10" s="14"/>
      <c r="K10" s="14"/>
      <c r="L10" s="14"/>
      <c r="M10" s="14"/>
      <c r="N10" s="14"/>
      <c r="O10" s="14"/>
      <c r="P10" s="14"/>
      <c r="Q10" s="14"/>
    </row>
    <row r="11" spans="1:25" s="18" customFormat="1" ht="15" customHeight="1" x14ac:dyDescent="0.2">
      <c r="A11" s="14"/>
      <c r="B11" s="14"/>
      <c r="C11" s="14"/>
      <c r="D11" s="14"/>
      <c r="E11" s="104"/>
      <c r="F11" s="14"/>
      <c r="G11" s="14"/>
      <c r="H11" s="14"/>
      <c r="I11" s="14"/>
      <c r="J11" s="14"/>
      <c r="K11" s="14"/>
      <c r="L11" s="14"/>
      <c r="M11" s="14"/>
      <c r="N11" s="14"/>
      <c r="O11" s="14"/>
      <c r="P11" s="14"/>
      <c r="Q11" s="14"/>
    </row>
    <row r="12" spans="1:25" s="17" customFormat="1" ht="35.1" customHeight="1" x14ac:dyDescent="0.2">
      <c r="A12" s="246" t="s">
        <v>2</v>
      </c>
      <c r="B12" s="246" t="s">
        <v>34</v>
      </c>
      <c r="C12" s="152" t="s">
        <v>35</v>
      </c>
      <c r="D12" s="248" t="s">
        <v>35</v>
      </c>
      <c r="E12" s="249"/>
      <c r="F12" s="249"/>
      <c r="G12" s="250"/>
      <c r="H12" s="64" t="s">
        <v>36</v>
      </c>
      <c r="I12" s="246" t="s">
        <v>37</v>
      </c>
      <c r="J12" s="254" t="s">
        <v>77</v>
      </c>
      <c r="K12" s="255"/>
      <c r="L12" s="271" t="s">
        <v>38</v>
      </c>
      <c r="M12" s="271" t="s">
        <v>39</v>
      </c>
      <c r="N12" s="234" t="s">
        <v>40</v>
      </c>
      <c r="O12" s="235"/>
      <c r="P12" s="234" t="s">
        <v>20</v>
      </c>
      <c r="Q12" s="235"/>
      <c r="R12" s="236" t="s">
        <v>78</v>
      </c>
      <c r="S12" s="238" t="s">
        <v>41</v>
      </c>
      <c r="T12" s="239"/>
      <c r="U12" s="239"/>
      <c r="V12" s="240"/>
      <c r="W12" s="244" t="s">
        <v>79</v>
      </c>
      <c r="X12" s="147" t="s">
        <v>80</v>
      </c>
      <c r="Y12" s="236" t="s">
        <v>42</v>
      </c>
    </row>
    <row r="13" spans="1:25" ht="35.1" customHeight="1" x14ac:dyDescent="0.2">
      <c r="A13" s="247"/>
      <c r="B13" s="247"/>
      <c r="C13" s="148" t="s">
        <v>81</v>
      </c>
      <c r="D13" s="251"/>
      <c r="E13" s="252"/>
      <c r="F13" s="252"/>
      <c r="G13" s="253"/>
      <c r="H13" s="151" t="s">
        <v>43</v>
      </c>
      <c r="I13" s="247"/>
      <c r="J13" s="153" t="s">
        <v>82</v>
      </c>
      <c r="K13" s="146" t="s">
        <v>83</v>
      </c>
      <c r="L13" s="272"/>
      <c r="M13" s="272"/>
      <c r="N13" s="146" t="s">
        <v>44</v>
      </c>
      <c r="O13" s="70" t="s">
        <v>45</v>
      </c>
      <c r="P13" s="150" t="s">
        <v>46</v>
      </c>
      <c r="Q13" s="150" t="s">
        <v>47</v>
      </c>
      <c r="R13" s="237"/>
      <c r="S13" s="241"/>
      <c r="T13" s="242"/>
      <c r="U13" s="242"/>
      <c r="V13" s="243"/>
      <c r="W13" s="245"/>
      <c r="X13" s="149" t="s">
        <v>35</v>
      </c>
      <c r="Y13" s="237"/>
    </row>
    <row r="14" spans="1:25" ht="351" customHeight="1" x14ac:dyDescent="0.2">
      <c r="A14" s="73">
        <v>1</v>
      </c>
      <c r="B14" s="74" t="s">
        <v>2273</v>
      </c>
      <c r="C14" s="82" t="s">
        <v>2277</v>
      </c>
      <c r="D14" s="259" t="s">
        <v>2274</v>
      </c>
      <c r="E14" s="260"/>
      <c r="F14" s="260"/>
      <c r="G14" s="261"/>
      <c r="H14" s="75" t="s">
        <v>2276</v>
      </c>
      <c r="I14" s="76" t="s">
        <v>2275</v>
      </c>
      <c r="J14" s="77">
        <v>0</v>
      </c>
      <c r="K14" s="77">
        <v>4</v>
      </c>
      <c r="L14" s="77">
        <v>0</v>
      </c>
      <c r="M14" s="77">
        <v>0</v>
      </c>
      <c r="N14" s="77">
        <v>0</v>
      </c>
      <c r="O14" s="77">
        <v>0</v>
      </c>
      <c r="P14" s="77">
        <v>1</v>
      </c>
      <c r="Q14" s="77">
        <v>1</v>
      </c>
      <c r="R14" s="155" t="s">
        <v>84</v>
      </c>
      <c r="S14" s="265" t="s">
        <v>93</v>
      </c>
      <c r="T14" s="266"/>
      <c r="U14" s="266"/>
      <c r="V14" s="267"/>
      <c r="W14" s="157">
        <v>8</v>
      </c>
      <c r="X14" s="157" t="s">
        <v>85</v>
      </c>
      <c r="Y14" s="80"/>
    </row>
    <row r="15" spans="1:25" ht="354.75" customHeight="1" x14ac:dyDescent="0.2">
      <c r="A15" s="73">
        <v>2</v>
      </c>
      <c r="B15" s="76" t="s">
        <v>2278</v>
      </c>
      <c r="C15" s="82" t="s">
        <v>2280</v>
      </c>
      <c r="D15" s="259" t="s">
        <v>2279</v>
      </c>
      <c r="E15" s="260"/>
      <c r="F15" s="260"/>
      <c r="G15" s="261"/>
      <c r="H15" s="75" t="s">
        <v>2282</v>
      </c>
      <c r="I15" s="76" t="s">
        <v>2281</v>
      </c>
      <c r="J15" s="77">
        <v>0</v>
      </c>
      <c r="K15" s="77">
        <v>3</v>
      </c>
      <c r="L15" s="77">
        <v>0</v>
      </c>
      <c r="M15" s="77">
        <v>0</v>
      </c>
      <c r="N15" s="77">
        <v>0</v>
      </c>
      <c r="O15" s="77">
        <v>0</v>
      </c>
      <c r="P15" s="77">
        <v>1</v>
      </c>
      <c r="Q15" s="77">
        <v>4</v>
      </c>
      <c r="R15" s="155" t="s">
        <v>84</v>
      </c>
      <c r="S15" s="262" t="s">
        <v>88</v>
      </c>
      <c r="T15" s="263"/>
      <c r="U15" s="263"/>
      <c r="V15" s="264"/>
      <c r="W15" s="156">
        <v>13</v>
      </c>
      <c r="X15" s="156" t="s">
        <v>85</v>
      </c>
      <c r="Y15" s="80"/>
    </row>
    <row r="16" spans="1:25" ht="324" customHeight="1" x14ac:dyDescent="0.2">
      <c r="A16" s="77">
        <v>3</v>
      </c>
      <c r="B16" s="76" t="s">
        <v>2283</v>
      </c>
      <c r="C16" s="82" t="s">
        <v>2287</v>
      </c>
      <c r="D16" s="259" t="s">
        <v>2284</v>
      </c>
      <c r="E16" s="260"/>
      <c r="F16" s="260"/>
      <c r="G16" s="261"/>
      <c r="H16" s="80" t="s">
        <v>2286</v>
      </c>
      <c r="I16" s="76" t="s">
        <v>2285</v>
      </c>
      <c r="J16" s="77">
        <v>0</v>
      </c>
      <c r="K16" s="77">
        <v>1</v>
      </c>
      <c r="L16" s="77">
        <v>0</v>
      </c>
      <c r="M16" s="77">
        <v>0</v>
      </c>
      <c r="N16" s="77">
        <v>0</v>
      </c>
      <c r="O16" s="77">
        <v>0</v>
      </c>
      <c r="P16" s="77">
        <v>1</v>
      </c>
      <c r="Q16" s="77">
        <v>2</v>
      </c>
      <c r="R16" s="155" t="s">
        <v>84</v>
      </c>
      <c r="S16" s="265" t="s">
        <v>87</v>
      </c>
      <c r="T16" s="266"/>
      <c r="U16" s="266"/>
      <c r="V16" s="267"/>
      <c r="W16" s="157">
        <v>12</v>
      </c>
      <c r="X16" s="157" t="s">
        <v>85</v>
      </c>
      <c r="Y16" s="80"/>
    </row>
    <row r="17" spans="1:28" ht="297.75" customHeight="1" x14ac:dyDescent="0.2">
      <c r="A17" s="73">
        <v>4</v>
      </c>
      <c r="B17" s="76" t="s">
        <v>2288</v>
      </c>
      <c r="C17" s="82" t="s">
        <v>2408</v>
      </c>
      <c r="D17" s="259" t="s">
        <v>2289</v>
      </c>
      <c r="E17" s="260"/>
      <c r="F17" s="260"/>
      <c r="G17" s="261"/>
      <c r="H17" s="75" t="s">
        <v>2434</v>
      </c>
      <c r="I17" s="76" t="s">
        <v>2290</v>
      </c>
      <c r="J17" s="77">
        <v>0</v>
      </c>
      <c r="K17" s="77">
        <v>1</v>
      </c>
      <c r="L17" s="77">
        <v>0</v>
      </c>
      <c r="M17" s="77">
        <v>0</v>
      </c>
      <c r="N17" s="77">
        <v>0</v>
      </c>
      <c r="O17" s="77">
        <v>0</v>
      </c>
      <c r="P17" s="77">
        <v>0</v>
      </c>
      <c r="Q17" s="77">
        <v>0</v>
      </c>
      <c r="R17" s="155" t="s">
        <v>84</v>
      </c>
      <c r="S17" s="262" t="s">
        <v>94</v>
      </c>
      <c r="T17" s="263"/>
      <c r="U17" s="263"/>
      <c r="V17" s="264"/>
      <c r="W17" s="156">
        <v>13</v>
      </c>
      <c r="X17" s="156" t="s">
        <v>85</v>
      </c>
      <c r="Y17" s="80" t="s">
        <v>2409</v>
      </c>
    </row>
    <row r="18" spans="1:28" ht="378" x14ac:dyDescent="0.2">
      <c r="A18" s="73">
        <v>5</v>
      </c>
      <c r="B18" s="84" t="s">
        <v>2291</v>
      </c>
      <c r="C18" s="82" t="s">
        <v>2294</v>
      </c>
      <c r="D18" s="259" t="s">
        <v>2292</v>
      </c>
      <c r="E18" s="260"/>
      <c r="F18" s="260"/>
      <c r="G18" s="261"/>
      <c r="H18" s="75" t="s">
        <v>2434</v>
      </c>
      <c r="I18" s="116" t="s">
        <v>2293</v>
      </c>
      <c r="J18" s="158">
        <v>0</v>
      </c>
      <c r="K18" s="87">
        <v>17</v>
      </c>
      <c r="L18" s="88">
        <v>0</v>
      </c>
      <c r="M18" s="88">
        <v>0</v>
      </c>
      <c r="N18" s="88">
        <v>0</v>
      </c>
      <c r="O18" s="87">
        <v>0</v>
      </c>
      <c r="P18" s="89">
        <v>16</v>
      </c>
      <c r="Q18" s="89">
        <v>70</v>
      </c>
      <c r="R18" s="90" t="s">
        <v>84</v>
      </c>
      <c r="S18" s="268" t="s">
        <v>88</v>
      </c>
      <c r="T18" s="269"/>
      <c r="U18" s="269"/>
      <c r="V18" s="270"/>
      <c r="W18" s="159">
        <v>12</v>
      </c>
      <c r="X18" s="159" t="s">
        <v>85</v>
      </c>
      <c r="Y18" s="80"/>
    </row>
    <row r="19" spans="1:28" ht="202.5" x14ac:dyDescent="0.2">
      <c r="A19" s="73">
        <v>6</v>
      </c>
      <c r="B19" s="84" t="s">
        <v>2295</v>
      </c>
      <c r="C19" s="82" t="s">
        <v>2410</v>
      </c>
      <c r="D19" s="259" t="s">
        <v>2296</v>
      </c>
      <c r="E19" s="260"/>
      <c r="F19" s="260"/>
      <c r="G19" s="261"/>
      <c r="H19" s="75" t="s">
        <v>2434</v>
      </c>
      <c r="I19" s="85" t="s">
        <v>2297</v>
      </c>
      <c r="J19" s="93">
        <v>0</v>
      </c>
      <c r="K19" s="93">
        <v>2</v>
      </c>
      <c r="L19" s="93">
        <v>0</v>
      </c>
      <c r="M19" s="93">
        <v>0</v>
      </c>
      <c r="N19" s="93">
        <v>0</v>
      </c>
      <c r="O19" s="93">
        <v>0</v>
      </c>
      <c r="P19" s="93">
        <v>2</v>
      </c>
      <c r="Q19" s="93">
        <v>5</v>
      </c>
      <c r="R19" s="90" t="s">
        <v>84</v>
      </c>
      <c r="S19" s="256" t="s">
        <v>2298</v>
      </c>
      <c r="T19" s="257"/>
      <c r="U19" s="257"/>
      <c r="V19" s="258"/>
      <c r="W19" s="154">
        <v>15</v>
      </c>
      <c r="X19" s="154" t="s">
        <v>85</v>
      </c>
      <c r="Y19" s="80"/>
    </row>
    <row r="20" spans="1:28" ht="225" x14ac:dyDescent="0.2">
      <c r="A20" s="73">
        <v>7</v>
      </c>
      <c r="B20" s="84" t="s">
        <v>2299</v>
      </c>
      <c r="C20" s="82" t="s">
        <v>2302</v>
      </c>
      <c r="D20" s="259" t="s">
        <v>2296</v>
      </c>
      <c r="E20" s="260"/>
      <c r="F20" s="260"/>
      <c r="G20" s="261"/>
      <c r="H20" s="92" t="s">
        <v>86</v>
      </c>
      <c r="I20" s="85" t="s">
        <v>2300</v>
      </c>
      <c r="J20" s="93">
        <v>0</v>
      </c>
      <c r="K20" s="93">
        <v>2</v>
      </c>
      <c r="L20" s="93">
        <v>0</v>
      </c>
      <c r="M20" s="93">
        <v>0</v>
      </c>
      <c r="N20" s="93">
        <v>0</v>
      </c>
      <c r="O20" s="93">
        <v>0</v>
      </c>
      <c r="P20" s="93">
        <v>2</v>
      </c>
      <c r="Q20" s="93">
        <v>4</v>
      </c>
      <c r="R20" s="158" t="s">
        <v>84</v>
      </c>
      <c r="S20" s="256" t="s">
        <v>964</v>
      </c>
      <c r="T20" s="257"/>
      <c r="U20" s="257"/>
      <c r="V20" s="258"/>
      <c r="W20" s="154">
        <v>7</v>
      </c>
      <c r="X20" s="154" t="s">
        <v>85</v>
      </c>
      <c r="Y20" s="80"/>
    </row>
    <row r="21" spans="1:28" ht="163.5" customHeight="1" x14ac:dyDescent="0.2">
      <c r="A21" s="73">
        <v>8</v>
      </c>
      <c r="B21" s="85" t="s">
        <v>2301</v>
      </c>
      <c r="C21" s="75" t="s">
        <v>2412</v>
      </c>
      <c r="D21" s="259" t="s">
        <v>2303</v>
      </c>
      <c r="E21" s="260"/>
      <c r="F21" s="260"/>
      <c r="G21" s="261"/>
      <c r="H21" s="92" t="s">
        <v>86</v>
      </c>
      <c r="I21" s="85" t="s">
        <v>2414</v>
      </c>
      <c r="J21" s="93">
        <v>0</v>
      </c>
      <c r="K21" s="93">
        <v>1</v>
      </c>
      <c r="L21" s="93">
        <v>0</v>
      </c>
      <c r="M21" s="93">
        <v>0</v>
      </c>
      <c r="N21" s="93">
        <v>0</v>
      </c>
      <c r="O21" s="93">
        <v>0</v>
      </c>
      <c r="P21" s="93">
        <v>0</v>
      </c>
      <c r="Q21" s="93">
        <v>0</v>
      </c>
      <c r="R21" s="158" t="s">
        <v>84</v>
      </c>
      <c r="S21" s="268" t="s">
        <v>54</v>
      </c>
      <c r="T21" s="269"/>
      <c r="U21" s="269"/>
      <c r="V21" s="270"/>
      <c r="W21" s="159">
        <v>11</v>
      </c>
      <c r="X21" s="159" t="s">
        <v>85</v>
      </c>
      <c r="Y21" s="80" t="s">
        <v>2411</v>
      </c>
    </row>
    <row r="22" spans="1:28" ht="185.25" customHeight="1" x14ac:dyDescent="0.2">
      <c r="A22" s="73">
        <v>9</v>
      </c>
      <c r="B22" s="85" t="s">
        <v>1155</v>
      </c>
      <c r="C22" s="75" t="s">
        <v>2304</v>
      </c>
      <c r="D22" s="259" t="s">
        <v>2305</v>
      </c>
      <c r="E22" s="260"/>
      <c r="F22" s="260"/>
      <c r="G22" s="261"/>
      <c r="H22" s="92" t="s">
        <v>2307</v>
      </c>
      <c r="I22" s="85" t="s">
        <v>2306</v>
      </c>
      <c r="J22" s="93">
        <v>0</v>
      </c>
      <c r="K22" s="93">
        <v>1</v>
      </c>
      <c r="L22" s="93">
        <v>0</v>
      </c>
      <c r="M22" s="93">
        <v>0</v>
      </c>
      <c r="N22" s="93">
        <v>0</v>
      </c>
      <c r="O22" s="93">
        <v>0</v>
      </c>
      <c r="P22" s="93">
        <v>1</v>
      </c>
      <c r="Q22" s="93">
        <v>2</v>
      </c>
      <c r="R22" s="158" t="s">
        <v>84</v>
      </c>
      <c r="S22" s="268" t="s">
        <v>2308</v>
      </c>
      <c r="T22" s="269"/>
      <c r="U22" s="269"/>
      <c r="V22" s="270"/>
      <c r="W22" s="159">
        <v>12</v>
      </c>
      <c r="X22" s="159" t="s">
        <v>85</v>
      </c>
      <c r="Y22" s="80"/>
    </row>
    <row r="23" spans="1:28" ht="208.5" customHeight="1" x14ac:dyDescent="0.2">
      <c r="A23" s="98">
        <v>10</v>
      </c>
      <c r="B23" s="85" t="s">
        <v>2309</v>
      </c>
      <c r="C23" s="92" t="s">
        <v>2310</v>
      </c>
      <c r="D23" s="259" t="s">
        <v>2311</v>
      </c>
      <c r="E23" s="260"/>
      <c r="F23" s="260"/>
      <c r="G23" s="261"/>
      <c r="H23" s="92" t="s">
        <v>2313</v>
      </c>
      <c r="I23" s="85" t="s">
        <v>2312</v>
      </c>
      <c r="J23" s="93">
        <v>0</v>
      </c>
      <c r="K23" s="93">
        <v>1</v>
      </c>
      <c r="L23" s="93">
        <v>0</v>
      </c>
      <c r="M23" s="93">
        <v>0</v>
      </c>
      <c r="N23" s="93">
        <v>0</v>
      </c>
      <c r="O23" s="93">
        <v>0</v>
      </c>
      <c r="P23" s="93">
        <v>1</v>
      </c>
      <c r="Q23" s="93">
        <v>3</v>
      </c>
      <c r="R23" s="158" t="s">
        <v>84</v>
      </c>
      <c r="S23" s="268" t="s">
        <v>48</v>
      </c>
      <c r="T23" s="269"/>
      <c r="U23" s="269"/>
      <c r="V23" s="270"/>
      <c r="W23" s="159">
        <v>7</v>
      </c>
      <c r="X23" s="159" t="s">
        <v>85</v>
      </c>
      <c r="Y23" s="80"/>
    </row>
    <row r="24" spans="1:28" ht="186.75" customHeight="1" x14ac:dyDescent="0.2">
      <c r="A24" s="73">
        <v>11</v>
      </c>
      <c r="B24" s="84" t="s">
        <v>1303</v>
      </c>
      <c r="C24" s="92" t="s">
        <v>2315</v>
      </c>
      <c r="D24" s="259" t="s">
        <v>2314</v>
      </c>
      <c r="E24" s="260"/>
      <c r="F24" s="260"/>
      <c r="G24" s="261"/>
      <c r="H24" s="92" t="s">
        <v>2319</v>
      </c>
      <c r="I24" s="85" t="s">
        <v>2318</v>
      </c>
      <c r="J24" s="93">
        <v>0</v>
      </c>
      <c r="K24" s="93">
        <v>1</v>
      </c>
      <c r="L24" s="93">
        <v>0</v>
      </c>
      <c r="M24" s="93">
        <v>0</v>
      </c>
      <c r="N24" s="93">
        <v>0</v>
      </c>
      <c r="O24" s="93">
        <v>0</v>
      </c>
      <c r="P24" s="93">
        <v>0</v>
      </c>
      <c r="Q24" s="93">
        <v>0</v>
      </c>
      <c r="R24" s="158" t="s">
        <v>84</v>
      </c>
      <c r="S24" s="256" t="s">
        <v>65</v>
      </c>
      <c r="T24" s="257"/>
      <c r="U24" s="257"/>
      <c r="V24" s="258"/>
      <c r="W24" s="154">
        <v>10</v>
      </c>
      <c r="X24" s="154" t="s">
        <v>85</v>
      </c>
      <c r="Y24" s="80"/>
    </row>
    <row r="25" spans="1:28" ht="270" x14ac:dyDescent="0.2">
      <c r="A25" s="73">
        <v>12</v>
      </c>
      <c r="B25" s="85" t="s">
        <v>2316</v>
      </c>
      <c r="C25" s="92" t="s">
        <v>2317</v>
      </c>
      <c r="D25" s="259" t="s">
        <v>2413</v>
      </c>
      <c r="E25" s="260"/>
      <c r="F25" s="260"/>
      <c r="G25" s="261"/>
      <c r="H25" s="96" t="s">
        <v>2320</v>
      </c>
      <c r="I25" s="85" t="s">
        <v>2321</v>
      </c>
      <c r="J25" s="93">
        <v>0</v>
      </c>
      <c r="K25" s="93">
        <v>1</v>
      </c>
      <c r="L25" s="93">
        <v>0</v>
      </c>
      <c r="M25" s="93">
        <v>0</v>
      </c>
      <c r="N25" s="93">
        <v>0</v>
      </c>
      <c r="O25" s="93">
        <v>0</v>
      </c>
      <c r="P25" s="93">
        <v>0</v>
      </c>
      <c r="Q25" s="93">
        <v>0</v>
      </c>
      <c r="R25" s="158" t="s">
        <v>91</v>
      </c>
      <c r="S25" s="268" t="s">
        <v>55</v>
      </c>
      <c r="T25" s="269"/>
      <c r="U25" s="269"/>
      <c r="V25" s="270"/>
      <c r="W25" s="159">
        <v>8</v>
      </c>
      <c r="X25" s="159" t="s">
        <v>85</v>
      </c>
      <c r="Y25" s="80" t="s">
        <v>2415</v>
      </c>
    </row>
    <row r="26" spans="1:28" ht="247.5" x14ac:dyDescent="0.2">
      <c r="A26" s="73">
        <v>13</v>
      </c>
      <c r="B26" s="84" t="s">
        <v>2322</v>
      </c>
      <c r="C26" s="92" t="s">
        <v>2326</v>
      </c>
      <c r="D26" s="259" t="s">
        <v>2323</v>
      </c>
      <c r="E26" s="260"/>
      <c r="F26" s="260"/>
      <c r="G26" s="261"/>
      <c r="H26" s="92" t="s">
        <v>2325</v>
      </c>
      <c r="I26" s="85" t="s">
        <v>2324</v>
      </c>
      <c r="J26" s="93">
        <v>0</v>
      </c>
      <c r="K26" s="93">
        <v>1</v>
      </c>
      <c r="L26" s="93">
        <v>0</v>
      </c>
      <c r="M26" s="93">
        <v>0</v>
      </c>
      <c r="N26" s="93">
        <v>0</v>
      </c>
      <c r="O26" s="93">
        <v>0</v>
      </c>
      <c r="P26" s="93">
        <v>2</v>
      </c>
      <c r="Q26" s="93">
        <v>7</v>
      </c>
      <c r="R26" s="158" t="s">
        <v>84</v>
      </c>
      <c r="S26" s="256" t="s">
        <v>90</v>
      </c>
      <c r="T26" s="257"/>
      <c r="U26" s="257"/>
      <c r="V26" s="258"/>
      <c r="W26" s="154">
        <v>8</v>
      </c>
      <c r="X26" s="154" t="s">
        <v>92</v>
      </c>
      <c r="Y26" s="80"/>
    </row>
    <row r="27" spans="1:28" ht="258.75" x14ac:dyDescent="0.2">
      <c r="A27" s="73">
        <v>14</v>
      </c>
      <c r="B27" s="95" t="s">
        <v>1582</v>
      </c>
      <c r="C27" s="92" t="s">
        <v>2328</v>
      </c>
      <c r="D27" s="259" t="s">
        <v>2327</v>
      </c>
      <c r="E27" s="260"/>
      <c r="F27" s="260"/>
      <c r="G27" s="261"/>
      <c r="H27" s="75" t="s">
        <v>2434</v>
      </c>
      <c r="I27" s="85" t="s">
        <v>2329</v>
      </c>
      <c r="J27" s="93">
        <v>0</v>
      </c>
      <c r="K27" s="93">
        <v>1</v>
      </c>
      <c r="L27" s="93">
        <v>0</v>
      </c>
      <c r="M27" s="93">
        <v>0</v>
      </c>
      <c r="N27" s="93">
        <v>0</v>
      </c>
      <c r="O27" s="93">
        <v>0</v>
      </c>
      <c r="P27" s="93">
        <v>0</v>
      </c>
      <c r="Q27" s="93">
        <v>0</v>
      </c>
      <c r="R27" s="158" t="s">
        <v>84</v>
      </c>
      <c r="S27" s="268" t="s">
        <v>48</v>
      </c>
      <c r="T27" s="269"/>
      <c r="U27" s="269"/>
      <c r="V27" s="270"/>
      <c r="W27" s="159">
        <v>10</v>
      </c>
      <c r="X27" s="159" t="s">
        <v>85</v>
      </c>
      <c r="Y27" s="80" t="s">
        <v>2416</v>
      </c>
    </row>
    <row r="28" spans="1:28" ht="247.5" x14ac:dyDescent="0.2">
      <c r="A28" s="73">
        <v>15</v>
      </c>
      <c r="B28" s="95" t="s">
        <v>2331</v>
      </c>
      <c r="C28" s="92" t="s">
        <v>2332</v>
      </c>
      <c r="D28" s="259" t="s">
        <v>2333</v>
      </c>
      <c r="E28" s="260"/>
      <c r="F28" s="260"/>
      <c r="G28" s="261"/>
      <c r="H28" s="92" t="s">
        <v>2330</v>
      </c>
      <c r="I28" s="85" t="s">
        <v>2334</v>
      </c>
      <c r="J28" s="93">
        <v>0</v>
      </c>
      <c r="K28" s="93">
        <v>1</v>
      </c>
      <c r="L28" s="93">
        <v>0</v>
      </c>
      <c r="M28" s="93">
        <v>0</v>
      </c>
      <c r="N28" s="93">
        <v>0</v>
      </c>
      <c r="O28" s="93">
        <v>0</v>
      </c>
      <c r="P28" s="93">
        <v>1</v>
      </c>
      <c r="Q28" s="93">
        <v>4</v>
      </c>
      <c r="R28" s="158" t="s">
        <v>84</v>
      </c>
      <c r="S28" s="268" t="s">
        <v>99</v>
      </c>
      <c r="T28" s="269"/>
      <c r="U28" s="269"/>
      <c r="V28" s="270"/>
      <c r="W28" s="159">
        <v>13</v>
      </c>
      <c r="X28" s="159" t="s">
        <v>85</v>
      </c>
      <c r="Y28" s="80"/>
      <c r="AB28" t="s">
        <v>2499</v>
      </c>
    </row>
    <row r="29" spans="1:28" ht="276.75" customHeight="1" x14ac:dyDescent="0.2">
      <c r="A29" s="73">
        <v>16</v>
      </c>
      <c r="B29" s="85" t="s">
        <v>1742</v>
      </c>
      <c r="C29" s="92" t="s">
        <v>2417</v>
      </c>
      <c r="D29" s="259" t="s">
        <v>2335</v>
      </c>
      <c r="E29" s="260"/>
      <c r="F29" s="260"/>
      <c r="G29" s="261"/>
      <c r="H29" s="92" t="s">
        <v>2337</v>
      </c>
      <c r="I29" s="85" t="s">
        <v>2336</v>
      </c>
      <c r="J29" s="93">
        <v>0</v>
      </c>
      <c r="K29" s="93">
        <v>1</v>
      </c>
      <c r="L29" s="93">
        <v>0</v>
      </c>
      <c r="M29" s="93">
        <v>0</v>
      </c>
      <c r="N29" s="93">
        <v>0</v>
      </c>
      <c r="O29" s="93">
        <v>0</v>
      </c>
      <c r="P29" s="93">
        <v>1</v>
      </c>
      <c r="Q29" s="93">
        <v>4</v>
      </c>
      <c r="R29" s="158" t="s">
        <v>84</v>
      </c>
      <c r="S29" s="268" t="s">
        <v>2338</v>
      </c>
      <c r="T29" s="269"/>
      <c r="U29" s="269"/>
      <c r="V29" s="270"/>
      <c r="W29" s="159">
        <v>11</v>
      </c>
      <c r="X29" s="159" t="s">
        <v>85</v>
      </c>
      <c r="Y29" s="80"/>
    </row>
    <row r="30" spans="1:28" ht="281.25" x14ac:dyDescent="0.2">
      <c r="A30" s="73">
        <v>17</v>
      </c>
      <c r="B30" s="85" t="s">
        <v>2339</v>
      </c>
      <c r="C30" s="92" t="s">
        <v>2343</v>
      </c>
      <c r="D30" s="259" t="s">
        <v>2340</v>
      </c>
      <c r="E30" s="260"/>
      <c r="F30" s="260"/>
      <c r="G30" s="261"/>
      <c r="H30" s="92" t="s">
        <v>2342</v>
      </c>
      <c r="I30" s="85" t="s">
        <v>2341</v>
      </c>
      <c r="J30" s="93">
        <v>0</v>
      </c>
      <c r="K30" s="93">
        <v>1</v>
      </c>
      <c r="L30" s="93">
        <v>0</v>
      </c>
      <c r="M30" s="93">
        <v>0</v>
      </c>
      <c r="N30" s="93">
        <v>0</v>
      </c>
      <c r="O30" s="93">
        <v>0</v>
      </c>
      <c r="P30" s="93">
        <v>1</v>
      </c>
      <c r="Q30" s="93">
        <v>4</v>
      </c>
      <c r="R30" s="158" t="s">
        <v>84</v>
      </c>
      <c r="S30" s="256" t="s">
        <v>54</v>
      </c>
      <c r="T30" s="257"/>
      <c r="U30" s="257"/>
      <c r="V30" s="258"/>
      <c r="W30" s="154">
        <v>0</v>
      </c>
      <c r="X30" s="154" t="s">
        <v>85</v>
      </c>
      <c r="Y30" s="80"/>
    </row>
    <row r="31" spans="1:28" ht="281.25" x14ac:dyDescent="0.2">
      <c r="A31" s="73">
        <v>18</v>
      </c>
      <c r="B31" s="95" t="s">
        <v>2339</v>
      </c>
      <c r="C31" s="97" t="s">
        <v>2345</v>
      </c>
      <c r="D31" s="259" t="s">
        <v>2344</v>
      </c>
      <c r="E31" s="260"/>
      <c r="F31" s="260"/>
      <c r="G31" s="261"/>
      <c r="H31" s="92" t="s">
        <v>2347</v>
      </c>
      <c r="I31" s="85" t="s">
        <v>2346</v>
      </c>
      <c r="J31" s="93">
        <v>0</v>
      </c>
      <c r="K31" s="93">
        <v>1</v>
      </c>
      <c r="L31" s="93">
        <v>0</v>
      </c>
      <c r="M31" s="93">
        <v>0</v>
      </c>
      <c r="N31" s="93">
        <v>0</v>
      </c>
      <c r="O31" s="93">
        <v>0</v>
      </c>
      <c r="P31" s="93">
        <v>1</v>
      </c>
      <c r="Q31" s="93">
        <v>1</v>
      </c>
      <c r="R31" s="158" t="s">
        <v>84</v>
      </c>
      <c r="S31" s="268" t="s">
        <v>964</v>
      </c>
      <c r="T31" s="269"/>
      <c r="U31" s="269"/>
      <c r="V31" s="270"/>
      <c r="W31" s="159">
        <v>8</v>
      </c>
      <c r="X31" s="159" t="s">
        <v>85</v>
      </c>
      <c r="Y31" s="80"/>
    </row>
    <row r="32" spans="1:28" ht="191.25" x14ac:dyDescent="0.2">
      <c r="A32" s="73">
        <v>19</v>
      </c>
      <c r="B32" s="95" t="s">
        <v>2348</v>
      </c>
      <c r="C32" s="97" t="s">
        <v>2418</v>
      </c>
      <c r="D32" s="259" t="s">
        <v>2349</v>
      </c>
      <c r="E32" s="260"/>
      <c r="F32" s="260"/>
      <c r="G32" s="261"/>
      <c r="H32" s="92" t="s">
        <v>2351</v>
      </c>
      <c r="I32" s="85" t="s">
        <v>2350</v>
      </c>
      <c r="J32" s="93">
        <v>0</v>
      </c>
      <c r="K32" s="93">
        <v>1</v>
      </c>
      <c r="L32" s="93">
        <v>0</v>
      </c>
      <c r="M32" s="93">
        <v>0</v>
      </c>
      <c r="N32" s="93">
        <v>0</v>
      </c>
      <c r="O32" s="93">
        <v>0</v>
      </c>
      <c r="P32" s="93">
        <v>1</v>
      </c>
      <c r="Q32" s="93">
        <v>4</v>
      </c>
      <c r="R32" s="158" t="s">
        <v>84</v>
      </c>
      <c r="S32" s="268" t="s">
        <v>98</v>
      </c>
      <c r="T32" s="269"/>
      <c r="U32" s="269"/>
      <c r="V32" s="270"/>
      <c r="W32" s="159">
        <v>13</v>
      </c>
      <c r="X32" s="159" t="s">
        <v>85</v>
      </c>
      <c r="Y32" s="80"/>
    </row>
    <row r="33" spans="1:25" ht="228" x14ac:dyDescent="0.2">
      <c r="A33" s="73">
        <v>20</v>
      </c>
      <c r="B33" s="76" t="s">
        <v>1852</v>
      </c>
      <c r="C33" s="75" t="s">
        <v>2420</v>
      </c>
      <c r="D33" s="259" t="s">
        <v>2352</v>
      </c>
      <c r="E33" s="260"/>
      <c r="F33" s="260"/>
      <c r="G33" s="261"/>
      <c r="H33" s="75" t="s">
        <v>2354</v>
      </c>
      <c r="I33" s="76" t="s">
        <v>2353</v>
      </c>
      <c r="J33" s="158">
        <v>0</v>
      </c>
      <c r="K33" s="87">
        <v>1</v>
      </c>
      <c r="L33" s="77">
        <v>0</v>
      </c>
      <c r="M33" s="77">
        <v>0</v>
      </c>
      <c r="N33" s="77">
        <v>0</v>
      </c>
      <c r="O33" s="77">
        <v>0</v>
      </c>
      <c r="P33" s="77">
        <v>0</v>
      </c>
      <c r="Q33" s="77">
        <v>0</v>
      </c>
      <c r="R33" s="158" t="s">
        <v>84</v>
      </c>
      <c r="S33" s="265" t="s">
        <v>95</v>
      </c>
      <c r="T33" s="266"/>
      <c r="U33" s="266"/>
      <c r="V33" s="267"/>
      <c r="W33" s="157">
        <v>10</v>
      </c>
      <c r="X33" s="157" t="s">
        <v>85</v>
      </c>
      <c r="Y33" s="80" t="s">
        <v>2419</v>
      </c>
    </row>
    <row r="34" spans="1:25" ht="240" x14ac:dyDescent="0.2">
      <c r="A34" s="73">
        <v>21</v>
      </c>
      <c r="B34" s="76" t="s">
        <v>2355</v>
      </c>
      <c r="C34" s="75" t="s">
        <v>2421</v>
      </c>
      <c r="D34" s="259" t="s">
        <v>2356</v>
      </c>
      <c r="E34" s="260"/>
      <c r="F34" s="260"/>
      <c r="G34" s="261"/>
      <c r="H34" s="75" t="s">
        <v>2358</v>
      </c>
      <c r="I34" s="76" t="s">
        <v>2357</v>
      </c>
      <c r="J34" s="93">
        <v>0</v>
      </c>
      <c r="K34" s="93">
        <v>1</v>
      </c>
      <c r="L34" s="77">
        <v>0</v>
      </c>
      <c r="M34" s="77">
        <v>0</v>
      </c>
      <c r="N34" s="77">
        <v>0</v>
      </c>
      <c r="O34" s="77">
        <v>0</v>
      </c>
      <c r="P34" s="77">
        <v>1</v>
      </c>
      <c r="Q34" s="77">
        <v>5</v>
      </c>
      <c r="R34" s="155" t="s">
        <v>84</v>
      </c>
      <c r="S34" s="265" t="s">
        <v>54</v>
      </c>
      <c r="T34" s="266"/>
      <c r="U34" s="266"/>
      <c r="V34" s="267"/>
      <c r="W34" s="157">
        <v>13</v>
      </c>
      <c r="X34" s="157" t="s">
        <v>85</v>
      </c>
      <c r="Y34" s="80"/>
    </row>
    <row r="35" spans="1:25" ht="240" x14ac:dyDescent="0.2">
      <c r="A35" s="73">
        <v>22</v>
      </c>
      <c r="B35" s="76" t="s">
        <v>1871</v>
      </c>
      <c r="C35" s="75" t="s">
        <v>2422</v>
      </c>
      <c r="D35" s="259" t="s">
        <v>2359</v>
      </c>
      <c r="E35" s="260"/>
      <c r="F35" s="260"/>
      <c r="G35" s="261"/>
      <c r="H35" s="75" t="s">
        <v>2361</v>
      </c>
      <c r="I35" s="76" t="s">
        <v>2360</v>
      </c>
      <c r="J35" s="93">
        <v>0</v>
      </c>
      <c r="K35" s="93">
        <v>1</v>
      </c>
      <c r="L35" s="77">
        <v>0</v>
      </c>
      <c r="M35" s="77">
        <v>0</v>
      </c>
      <c r="N35" s="77">
        <v>0</v>
      </c>
      <c r="O35" s="77">
        <v>0</v>
      </c>
      <c r="P35" s="77">
        <v>0</v>
      </c>
      <c r="Q35" s="77">
        <v>0</v>
      </c>
      <c r="R35" s="155" t="s">
        <v>84</v>
      </c>
      <c r="S35" s="265" t="s">
        <v>2362</v>
      </c>
      <c r="T35" s="266"/>
      <c r="U35" s="266"/>
      <c r="V35" s="267"/>
      <c r="W35" s="157">
        <v>7</v>
      </c>
      <c r="X35" s="157" t="s">
        <v>85</v>
      </c>
      <c r="Y35" s="80" t="s">
        <v>2423</v>
      </c>
    </row>
    <row r="36" spans="1:25" ht="252" x14ac:dyDescent="0.2">
      <c r="A36" s="73">
        <v>23</v>
      </c>
      <c r="B36" s="76" t="s">
        <v>2363</v>
      </c>
      <c r="C36" s="75" t="s">
        <v>2367</v>
      </c>
      <c r="D36" s="259" t="s">
        <v>2364</v>
      </c>
      <c r="E36" s="260"/>
      <c r="F36" s="260"/>
      <c r="G36" s="261"/>
      <c r="H36" s="75" t="s">
        <v>2366</v>
      </c>
      <c r="I36" s="76" t="s">
        <v>2365</v>
      </c>
      <c r="J36" s="93">
        <v>0</v>
      </c>
      <c r="K36" s="93">
        <v>1</v>
      </c>
      <c r="L36" s="77">
        <v>0</v>
      </c>
      <c r="M36" s="77">
        <v>0</v>
      </c>
      <c r="N36" s="77">
        <v>0</v>
      </c>
      <c r="O36" s="77">
        <v>0</v>
      </c>
      <c r="P36" s="77">
        <v>1</v>
      </c>
      <c r="Q36" s="77">
        <v>3</v>
      </c>
      <c r="R36" s="155" t="s">
        <v>84</v>
      </c>
      <c r="S36" s="262" t="s">
        <v>57</v>
      </c>
      <c r="T36" s="263"/>
      <c r="U36" s="263"/>
      <c r="V36" s="264"/>
      <c r="W36" s="156">
        <v>10</v>
      </c>
      <c r="X36" s="156" t="s">
        <v>85</v>
      </c>
      <c r="Y36" s="80"/>
    </row>
    <row r="37" spans="1:25" ht="312" x14ac:dyDescent="0.2">
      <c r="A37" s="73">
        <v>24</v>
      </c>
      <c r="B37" s="76" t="s">
        <v>2368</v>
      </c>
      <c r="C37" s="75" t="s">
        <v>2369</v>
      </c>
      <c r="D37" s="259" t="s">
        <v>2370</v>
      </c>
      <c r="E37" s="260"/>
      <c r="F37" s="260"/>
      <c r="G37" s="261"/>
      <c r="H37" s="75" t="s">
        <v>2372</v>
      </c>
      <c r="I37" s="76" t="s">
        <v>2371</v>
      </c>
      <c r="J37" s="93">
        <v>0</v>
      </c>
      <c r="K37" s="93">
        <v>1</v>
      </c>
      <c r="L37" s="77">
        <v>0</v>
      </c>
      <c r="M37" s="77">
        <v>0</v>
      </c>
      <c r="N37" s="77">
        <v>0</v>
      </c>
      <c r="O37" s="77">
        <v>0</v>
      </c>
      <c r="P37" s="77">
        <v>0</v>
      </c>
      <c r="Q37" s="77">
        <v>0</v>
      </c>
      <c r="R37" s="155" t="s">
        <v>84</v>
      </c>
      <c r="S37" s="265" t="s">
        <v>100</v>
      </c>
      <c r="T37" s="266"/>
      <c r="U37" s="266"/>
      <c r="V37" s="267"/>
      <c r="W37" s="157">
        <v>0</v>
      </c>
      <c r="X37" s="157" t="s">
        <v>85</v>
      </c>
      <c r="Y37" s="80"/>
    </row>
    <row r="38" spans="1:25" ht="300" x14ac:dyDescent="0.2">
      <c r="A38" s="73">
        <v>25</v>
      </c>
      <c r="B38" s="76" t="s">
        <v>2373</v>
      </c>
      <c r="C38" s="75" t="s">
        <v>2376</v>
      </c>
      <c r="D38" s="259" t="s">
        <v>2377</v>
      </c>
      <c r="E38" s="260"/>
      <c r="F38" s="260"/>
      <c r="G38" s="261"/>
      <c r="H38" s="75" t="s">
        <v>2375</v>
      </c>
      <c r="I38" s="76" t="s">
        <v>2374</v>
      </c>
      <c r="J38" s="93">
        <v>0</v>
      </c>
      <c r="K38" s="93">
        <v>1</v>
      </c>
      <c r="L38" s="77">
        <v>0</v>
      </c>
      <c r="M38" s="77">
        <v>0</v>
      </c>
      <c r="N38" s="77">
        <v>0</v>
      </c>
      <c r="O38" s="77">
        <v>0</v>
      </c>
      <c r="P38" s="77">
        <v>0</v>
      </c>
      <c r="Q38" s="77">
        <v>0</v>
      </c>
      <c r="R38" s="155" t="s">
        <v>84</v>
      </c>
      <c r="S38" s="265" t="s">
        <v>964</v>
      </c>
      <c r="T38" s="266"/>
      <c r="U38" s="266"/>
      <c r="V38" s="267"/>
      <c r="W38" s="157">
        <v>0</v>
      </c>
      <c r="X38" s="157" t="s">
        <v>85</v>
      </c>
      <c r="Y38" s="80"/>
    </row>
    <row r="39" spans="1:25" ht="228" x14ac:dyDescent="0.2">
      <c r="A39" s="73">
        <v>26</v>
      </c>
      <c r="B39" s="76" t="s">
        <v>2378</v>
      </c>
      <c r="C39" s="75" t="s">
        <v>2424</v>
      </c>
      <c r="D39" s="259" t="s">
        <v>2379</v>
      </c>
      <c r="E39" s="260"/>
      <c r="F39" s="260"/>
      <c r="G39" s="261"/>
      <c r="H39" s="83" t="s">
        <v>2382</v>
      </c>
      <c r="I39" s="76" t="s">
        <v>2381</v>
      </c>
      <c r="J39" s="93">
        <v>0</v>
      </c>
      <c r="K39" s="93">
        <v>1</v>
      </c>
      <c r="L39" s="77">
        <v>0</v>
      </c>
      <c r="M39" s="77">
        <v>0</v>
      </c>
      <c r="N39" s="77">
        <v>0</v>
      </c>
      <c r="O39" s="77">
        <v>0</v>
      </c>
      <c r="P39" s="77">
        <v>1</v>
      </c>
      <c r="Q39" s="77">
        <v>5</v>
      </c>
      <c r="R39" s="155" t="s">
        <v>2380</v>
      </c>
      <c r="S39" s="262" t="s">
        <v>65</v>
      </c>
      <c r="T39" s="263"/>
      <c r="U39" s="263"/>
      <c r="V39" s="264"/>
      <c r="W39" s="156">
        <v>14</v>
      </c>
      <c r="X39" s="156" t="s">
        <v>85</v>
      </c>
      <c r="Y39" s="80"/>
    </row>
    <row r="40" spans="1:25" ht="240" x14ac:dyDescent="0.2">
      <c r="A40" s="73">
        <v>27</v>
      </c>
      <c r="B40" s="76" t="s">
        <v>2378</v>
      </c>
      <c r="C40" s="75" t="s">
        <v>2425</v>
      </c>
      <c r="D40" s="259" t="s">
        <v>2384</v>
      </c>
      <c r="E40" s="260"/>
      <c r="F40" s="260"/>
      <c r="G40" s="261"/>
      <c r="H40" s="75" t="s">
        <v>2386</v>
      </c>
      <c r="I40" s="76" t="s">
        <v>2385</v>
      </c>
      <c r="J40" s="93">
        <v>0</v>
      </c>
      <c r="K40" s="93">
        <v>1</v>
      </c>
      <c r="L40" s="77">
        <v>0</v>
      </c>
      <c r="M40" s="77">
        <v>0</v>
      </c>
      <c r="N40" s="77">
        <v>0</v>
      </c>
      <c r="O40" s="77">
        <v>0</v>
      </c>
      <c r="P40" s="77">
        <v>0</v>
      </c>
      <c r="Q40" s="77">
        <v>0</v>
      </c>
      <c r="R40" s="155" t="s">
        <v>2383</v>
      </c>
      <c r="S40" s="262" t="s">
        <v>2387</v>
      </c>
      <c r="T40" s="263"/>
      <c r="U40" s="263"/>
      <c r="V40" s="264"/>
      <c r="W40" s="156">
        <v>10</v>
      </c>
      <c r="X40" s="156" t="s">
        <v>85</v>
      </c>
      <c r="Y40" s="80" t="s">
        <v>2426</v>
      </c>
    </row>
    <row r="41" spans="1:25" ht="212.25" customHeight="1" x14ac:dyDescent="0.2">
      <c r="A41" s="73">
        <v>28</v>
      </c>
      <c r="B41" s="76" t="s">
        <v>2388</v>
      </c>
      <c r="C41" s="75" t="s">
        <v>2427</v>
      </c>
      <c r="D41" s="259" t="s">
        <v>2389</v>
      </c>
      <c r="E41" s="260"/>
      <c r="F41" s="260"/>
      <c r="G41" s="261"/>
      <c r="H41" s="75" t="s">
        <v>2393</v>
      </c>
      <c r="I41" s="76" t="s">
        <v>2390</v>
      </c>
      <c r="J41" s="93">
        <v>0</v>
      </c>
      <c r="K41" s="93">
        <v>1</v>
      </c>
      <c r="L41" s="77">
        <v>0</v>
      </c>
      <c r="M41" s="77">
        <v>0</v>
      </c>
      <c r="N41" s="77">
        <v>0</v>
      </c>
      <c r="O41" s="77">
        <v>0</v>
      </c>
      <c r="P41" s="77">
        <v>1</v>
      </c>
      <c r="Q41" s="77">
        <v>5</v>
      </c>
      <c r="R41" s="155" t="s">
        <v>84</v>
      </c>
      <c r="S41" s="265" t="s">
        <v>2362</v>
      </c>
      <c r="T41" s="266"/>
      <c r="U41" s="266"/>
      <c r="V41" s="267"/>
      <c r="W41" s="157">
        <v>10</v>
      </c>
      <c r="X41" s="157" t="s">
        <v>85</v>
      </c>
      <c r="Y41" s="80"/>
    </row>
    <row r="42" spans="1:25" ht="204" x14ac:dyDescent="0.2">
      <c r="A42" s="73">
        <v>29</v>
      </c>
      <c r="B42" s="76" t="s">
        <v>2391</v>
      </c>
      <c r="C42" s="75" t="s">
        <v>2428</v>
      </c>
      <c r="D42" s="259" t="s">
        <v>2392</v>
      </c>
      <c r="E42" s="260"/>
      <c r="F42" s="260"/>
      <c r="G42" s="261"/>
      <c r="H42" s="75" t="s">
        <v>2395</v>
      </c>
      <c r="I42" s="76" t="s">
        <v>2394</v>
      </c>
      <c r="J42" s="93">
        <v>0</v>
      </c>
      <c r="K42" s="93">
        <v>1</v>
      </c>
      <c r="L42" s="77">
        <v>0</v>
      </c>
      <c r="M42" s="77">
        <v>0</v>
      </c>
      <c r="N42" s="77">
        <v>0</v>
      </c>
      <c r="O42" s="77">
        <v>0</v>
      </c>
      <c r="P42" s="77">
        <v>0</v>
      </c>
      <c r="Q42" s="77">
        <v>0</v>
      </c>
      <c r="R42" s="155" t="s">
        <v>2380</v>
      </c>
      <c r="S42" s="262" t="s">
        <v>96</v>
      </c>
      <c r="T42" s="263"/>
      <c r="U42" s="263"/>
      <c r="V42" s="264"/>
      <c r="W42" s="156">
        <v>10</v>
      </c>
      <c r="X42" s="156" t="s">
        <v>85</v>
      </c>
      <c r="Y42" s="80" t="s">
        <v>2429</v>
      </c>
    </row>
    <row r="43" spans="1:25" ht="330.75" customHeight="1" x14ac:dyDescent="0.2">
      <c r="A43" s="73">
        <v>30</v>
      </c>
      <c r="B43" s="76" t="s">
        <v>2396</v>
      </c>
      <c r="C43" s="75" t="s">
        <v>2398</v>
      </c>
      <c r="D43" s="259" t="s">
        <v>2397</v>
      </c>
      <c r="E43" s="260"/>
      <c r="F43" s="260"/>
      <c r="G43" s="261"/>
      <c r="H43" s="75" t="s">
        <v>2400</v>
      </c>
      <c r="I43" s="76" t="s">
        <v>2399</v>
      </c>
      <c r="J43" s="93">
        <v>0</v>
      </c>
      <c r="K43" s="93">
        <v>3</v>
      </c>
      <c r="L43" s="77">
        <v>0</v>
      </c>
      <c r="M43" s="77">
        <v>0</v>
      </c>
      <c r="N43" s="77">
        <v>0</v>
      </c>
      <c r="O43" s="77">
        <v>1</v>
      </c>
      <c r="P43" s="77">
        <v>5</v>
      </c>
      <c r="Q43" s="77">
        <v>12</v>
      </c>
      <c r="R43" s="155" t="s">
        <v>84</v>
      </c>
      <c r="S43" s="262" t="s">
        <v>97</v>
      </c>
      <c r="T43" s="263"/>
      <c r="U43" s="263"/>
      <c r="V43" s="264"/>
      <c r="W43" s="156">
        <v>9</v>
      </c>
      <c r="X43" s="156" t="s">
        <v>85</v>
      </c>
      <c r="Y43" s="80"/>
    </row>
    <row r="44" spans="1:25" ht="262.5" customHeight="1" x14ac:dyDescent="0.2">
      <c r="A44" s="98">
        <v>31</v>
      </c>
      <c r="B44" s="76" t="s">
        <v>2401</v>
      </c>
      <c r="C44" s="75" t="s">
        <v>2430</v>
      </c>
      <c r="D44" s="259" t="s">
        <v>2431</v>
      </c>
      <c r="E44" s="260"/>
      <c r="F44" s="260"/>
      <c r="G44" s="261"/>
      <c r="H44" s="75" t="s">
        <v>2403</v>
      </c>
      <c r="I44" s="76" t="s">
        <v>2402</v>
      </c>
      <c r="J44" s="77">
        <v>0</v>
      </c>
      <c r="K44" s="77">
        <v>1</v>
      </c>
      <c r="L44" s="77">
        <v>0</v>
      </c>
      <c r="M44" s="77">
        <v>0</v>
      </c>
      <c r="N44" s="77">
        <v>0</v>
      </c>
      <c r="O44" s="77">
        <v>0</v>
      </c>
      <c r="P44" s="77">
        <v>0</v>
      </c>
      <c r="Q44" s="77">
        <v>0</v>
      </c>
      <c r="R44" s="155" t="s">
        <v>84</v>
      </c>
      <c r="S44" s="262" t="s">
        <v>93</v>
      </c>
      <c r="T44" s="263"/>
      <c r="U44" s="263"/>
      <c r="V44" s="264"/>
      <c r="W44" s="156">
        <v>8</v>
      </c>
      <c r="X44" s="156" t="s">
        <v>85</v>
      </c>
      <c r="Y44" s="80" t="s">
        <v>2432</v>
      </c>
    </row>
    <row r="45" spans="1:25" ht="234" customHeight="1" x14ac:dyDescent="0.2">
      <c r="A45" s="73">
        <v>32</v>
      </c>
      <c r="B45" s="76" t="s">
        <v>2404</v>
      </c>
      <c r="C45" s="75" t="s">
        <v>2433</v>
      </c>
      <c r="D45" s="259" t="s">
        <v>2405</v>
      </c>
      <c r="E45" s="260"/>
      <c r="F45" s="260"/>
      <c r="G45" s="261"/>
      <c r="H45" s="75" t="s">
        <v>2406</v>
      </c>
      <c r="I45" s="76" t="s">
        <v>2407</v>
      </c>
      <c r="J45" s="93">
        <v>0</v>
      </c>
      <c r="K45" s="93">
        <v>1</v>
      </c>
      <c r="L45" s="77">
        <v>0</v>
      </c>
      <c r="M45" s="77">
        <v>0</v>
      </c>
      <c r="N45" s="77">
        <v>0</v>
      </c>
      <c r="O45" s="77">
        <v>0</v>
      </c>
      <c r="P45" s="77">
        <v>0</v>
      </c>
      <c r="Q45" s="77">
        <v>0</v>
      </c>
      <c r="R45" s="155"/>
      <c r="S45" s="262" t="s">
        <v>89</v>
      </c>
      <c r="T45" s="263"/>
      <c r="U45" s="263"/>
      <c r="V45" s="264"/>
      <c r="W45" s="156">
        <v>15</v>
      </c>
      <c r="X45" s="156" t="s">
        <v>85</v>
      </c>
      <c r="Y45" s="80" t="s">
        <v>2419</v>
      </c>
    </row>
    <row r="46" spans="1:25" ht="14.25" x14ac:dyDescent="0.2">
      <c r="A46" s="100"/>
      <c r="B46" s="183" t="s">
        <v>20</v>
      </c>
      <c r="C46" s="183"/>
      <c r="D46" s="183"/>
      <c r="E46" s="183"/>
      <c r="F46" s="183"/>
      <c r="G46" s="183"/>
      <c r="H46" s="183"/>
      <c r="I46" s="183"/>
      <c r="J46" s="101">
        <f t="shared" ref="J46:Q46" si="0">SUM(J14:J45)</f>
        <v>0</v>
      </c>
      <c r="K46" s="101">
        <f t="shared" si="0"/>
        <v>57</v>
      </c>
      <c r="L46" s="101">
        <f t="shared" si="0"/>
        <v>0</v>
      </c>
      <c r="M46" s="101">
        <f t="shared" si="0"/>
        <v>0</v>
      </c>
      <c r="N46" s="101">
        <f t="shared" si="0"/>
        <v>0</v>
      </c>
      <c r="O46" s="101">
        <f t="shared" si="0"/>
        <v>1</v>
      </c>
      <c r="P46" s="101">
        <f t="shared" si="0"/>
        <v>41</v>
      </c>
      <c r="Q46" s="101">
        <f t="shared" si="0"/>
        <v>145</v>
      </c>
      <c r="R46" s="99"/>
      <c r="S46" s="99"/>
      <c r="T46" s="99"/>
      <c r="U46" s="99"/>
      <c r="V46" s="99"/>
      <c r="W46" s="101">
        <f>SUM(W14:W45)</f>
        <v>307</v>
      </c>
      <c r="X46" s="101" t="s">
        <v>101</v>
      </c>
    </row>
    <row r="52" spans="8:14" ht="15" x14ac:dyDescent="0.2">
      <c r="H52" s="168" t="s">
        <v>643</v>
      </c>
      <c r="I52" s="168"/>
      <c r="J52" s="168"/>
      <c r="K52" s="168"/>
      <c r="L52" s="168"/>
      <c r="M52" s="168"/>
      <c r="N52" s="168"/>
    </row>
    <row r="53" spans="8:14" ht="15" x14ac:dyDescent="0.2">
      <c r="H53" s="168" t="s">
        <v>30</v>
      </c>
      <c r="I53" s="168"/>
      <c r="J53" s="168"/>
      <c r="K53" s="168"/>
      <c r="L53" s="168"/>
      <c r="M53" s="168"/>
      <c r="N53" s="168"/>
    </row>
    <row r="54" spans="8:14" ht="15" x14ac:dyDescent="0.2">
      <c r="I54" s="16"/>
      <c r="J54" s="16"/>
      <c r="K54" s="16"/>
      <c r="L54" s="16"/>
      <c r="M54" s="16"/>
      <c r="N54" s="16"/>
    </row>
    <row r="55" spans="8:14" ht="15" x14ac:dyDescent="0.2">
      <c r="I55" s="16"/>
      <c r="J55" s="16"/>
      <c r="K55" s="16"/>
      <c r="L55" s="16"/>
      <c r="M55" s="16"/>
      <c r="N55" s="16"/>
    </row>
    <row r="56" spans="8:14" ht="15" x14ac:dyDescent="0.2">
      <c r="I56" s="16"/>
      <c r="J56" s="16"/>
      <c r="K56" s="16"/>
      <c r="L56" s="16"/>
      <c r="M56" s="16"/>
      <c r="N56" s="16"/>
    </row>
    <row r="57" spans="8:14" ht="15" x14ac:dyDescent="0.2">
      <c r="H57" s="175" t="s">
        <v>31</v>
      </c>
      <c r="I57" s="175"/>
      <c r="J57" s="175"/>
      <c r="K57" s="175"/>
      <c r="L57" s="175"/>
      <c r="M57" s="175"/>
      <c r="N57" s="175"/>
    </row>
    <row r="58" spans="8:14" ht="15" x14ac:dyDescent="0.2">
      <c r="H58" s="168" t="s">
        <v>32</v>
      </c>
      <c r="I58" s="168"/>
      <c r="J58" s="168"/>
      <c r="K58" s="168"/>
      <c r="L58" s="168"/>
      <c r="M58" s="168"/>
      <c r="N58" s="168"/>
    </row>
    <row r="59" spans="8:14" ht="15" x14ac:dyDescent="0.2">
      <c r="H59" s="168" t="s">
        <v>33</v>
      </c>
      <c r="I59" s="168"/>
      <c r="J59" s="168"/>
      <c r="K59" s="168"/>
      <c r="L59" s="168"/>
      <c r="M59" s="168"/>
      <c r="N59" s="168"/>
    </row>
    <row r="133" ht="16.5" customHeight="1" x14ac:dyDescent="0.2"/>
    <row r="135" ht="20.25" customHeight="1" x14ac:dyDescent="0.2"/>
    <row r="136" ht="24.75" customHeight="1" x14ac:dyDescent="0.2"/>
    <row r="137" ht="22.5" customHeight="1" x14ac:dyDescent="0.2"/>
  </sheetData>
  <mergeCells count="90">
    <mergeCell ref="A8:Y8"/>
    <mergeCell ref="B2:X2"/>
    <mergeCell ref="B3:X3"/>
    <mergeCell ref="B4:X4"/>
    <mergeCell ref="B5:X5"/>
    <mergeCell ref="A7:Y7"/>
    <mergeCell ref="A9:Y9"/>
    <mergeCell ref="A12:A13"/>
    <mergeCell ref="B12:B13"/>
    <mergeCell ref="D12:G13"/>
    <mergeCell ref="I12:I13"/>
    <mergeCell ref="J12:K12"/>
    <mergeCell ref="L12:L13"/>
    <mergeCell ref="M12:M13"/>
    <mergeCell ref="N12:O12"/>
    <mergeCell ref="P12:Q12"/>
    <mergeCell ref="R12:R13"/>
    <mergeCell ref="S12:V13"/>
    <mergeCell ref="W12:W13"/>
    <mergeCell ref="Y12:Y13"/>
    <mergeCell ref="D14:G14"/>
    <mergeCell ref="S14:V14"/>
    <mergeCell ref="D15:G15"/>
    <mergeCell ref="S15:V15"/>
    <mergeCell ref="D16:G16"/>
    <mergeCell ref="S16:V16"/>
    <mergeCell ref="D17:G17"/>
    <mergeCell ref="S17:V17"/>
    <mergeCell ref="D18:G18"/>
    <mergeCell ref="S18:V18"/>
    <mergeCell ref="D19:G19"/>
    <mergeCell ref="S19:V19"/>
    <mergeCell ref="D20:G20"/>
    <mergeCell ref="S20:V20"/>
    <mergeCell ref="D21:G21"/>
    <mergeCell ref="S21:V21"/>
    <mergeCell ref="D22:G22"/>
    <mergeCell ref="S22:V22"/>
    <mergeCell ref="D23:G23"/>
    <mergeCell ref="S23:V23"/>
    <mergeCell ref="D24:G24"/>
    <mergeCell ref="S24:V24"/>
    <mergeCell ref="D25:G25"/>
    <mergeCell ref="S25:V25"/>
    <mergeCell ref="D26:G26"/>
    <mergeCell ref="S26:V26"/>
    <mergeCell ref="D27:G27"/>
    <mergeCell ref="S27:V27"/>
    <mergeCell ref="D28:G28"/>
    <mergeCell ref="S28:V28"/>
    <mergeCell ref="D29:G29"/>
    <mergeCell ref="S29:V29"/>
    <mergeCell ref="D30:G30"/>
    <mergeCell ref="S30:V30"/>
    <mergeCell ref="D31:G31"/>
    <mergeCell ref="S31:V31"/>
    <mergeCell ref="D32:G32"/>
    <mergeCell ref="S32:V32"/>
    <mergeCell ref="D33:G33"/>
    <mergeCell ref="S33:V33"/>
    <mergeCell ref="D34:G34"/>
    <mergeCell ref="S34:V34"/>
    <mergeCell ref="D35:G35"/>
    <mergeCell ref="S35:V35"/>
    <mergeCell ref="D36:G36"/>
    <mergeCell ref="S36:V36"/>
    <mergeCell ref="D37:G37"/>
    <mergeCell ref="S37:V37"/>
    <mergeCell ref="D38:G38"/>
    <mergeCell ref="S38:V38"/>
    <mergeCell ref="D39:G39"/>
    <mergeCell ref="S39:V39"/>
    <mergeCell ref="D40:G40"/>
    <mergeCell ref="S40:V40"/>
    <mergeCell ref="D41:G41"/>
    <mergeCell ref="S41:V41"/>
    <mergeCell ref="D42:G42"/>
    <mergeCell ref="S42:V42"/>
    <mergeCell ref="D43:G43"/>
    <mergeCell ref="S43:V43"/>
    <mergeCell ref="D44:G44"/>
    <mergeCell ref="S44:V44"/>
    <mergeCell ref="H58:N58"/>
    <mergeCell ref="H59:N59"/>
    <mergeCell ref="D45:G45"/>
    <mergeCell ref="S45:V45"/>
    <mergeCell ref="B46:I46"/>
    <mergeCell ref="H52:N52"/>
    <mergeCell ref="H53:N53"/>
    <mergeCell ref="H57:N57"/>
  </mergeCells>
  <pageMargins left="0.92" right="0.3" top="0.23" bottom="0.28999999999999998" header="0.15" footer="0.17"/>
  <pageSetup paperSize="5" scale="80" orientation="landscape" horizontalDpi="0"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19"/>
  <sheetViews>
    <sheetView topLeftCell="E1" workbookViewId="0">
      <selection activeCell="X9" sqref="X9"/>
    </sheetView>
  </sheetViews>
  <sheetFormatPr defaultRowHeight="12.75" x14ac:dyDescent="0.2"/>
  <cols>
    <col min="2" max="2" width="15.1640625" customWidth="1"/>
    <col min="9" max="9" width="13" customWidth="1"/>
    <col min="10" max="10" width="10.83203125" customWidth="1"/>
    <col min="12" max="12" width="10.33203125" customWidth="1"/>
    <col min="13" max="13" width="11.83203125" customWidth="1"/>
    <col min="14" max="14" width="8.6640625" customWidth="1"/>
  </cols>
  <sheetData>
    <row r="1" spans="1:19" ht="15.75" x14ac:dyDescent="0.2">
      <c r="A1" s="140" t="s">
        <v>2487</v>
      </c>
    </row>
    <row r="2" spans="1:19" ht="15.75" x14ac:dyDescent="0.2">
      <c r="A2" s="140"/>
    </row>
    <row r="3" spans="1:19" ht="17.25" customHeight="1" x14ac:dyDescent="0.2">
      <c r="A3" s="279" t="s">
        <v>77</v>
      </c>
      <c r="B3" s="280"/>
      <c r="C3" s="283" t="s">
        <v>38</v>
      </c>
      <c r="D3" s="283" t="s">
        <v>39</v>
      </c>
      <c r="E3" s="285" t="s">
        <v>40</v>
      </c>
      <c r="F3" s="286"/>
      <c r="G3" s="285" t="s">
        <v>20</v>
      </c>
      <c r="H3" s="286"/>
      <c r="I3" s="281" t="s">
        <v>79</v>
      </c>
      <c r="J3" s="136" t="s">
        <v>80</v>
      </c>
      <c r="K3" s="126"/>
      <c r="L3" s="273" t="s">
        <v>102</v>
      </c>
      <c r="M3" s="273" t="s">
        <v>103</v>
      </c>
      <c r="N3" s="277" t="s">
        <v>104</v>
      </c>
      <c r="O3" s="278"/>
    </row>
    <row r="4" spans="1:19" ht="22.5" customHeight="1" x14ac:dyDescent="0.2">
      <c r="A4" s="135" t="s">
        <v>82</v>
      </c>
      <c r="B4" s="136" t="s">
        <v>83</v>
      </c>
      <c r="C4" s="284"/>
      <c r="D4" s="284"/>
      <c r="E4" s="137" t="s">
        <v>44</v>
      </c>
      <c r="F4" s="138" t="s">
        <v>45</v>
      </c>
      <c r="G4" s="139" t="s">
        <v>46</v>
      </c>
      <c r="H4" s="139" t="s">
        <v>47</v>
      </c>
      <c r="I4" s="282"/>
      <c r="J4" s="136" t="s">
        <v>35</v>
      </c>
      <c r="K4" s="126"/>
      <c r="L4" s="274"/>
      <c r="M4" s="274"/>
      <c r="N4" s="275" t="s">
        <v>79</v>
      </c>
      <c r="O4" s="276"/>
    </row>
    <row r="5" spans="1:19" ht="15" x14ac:dyDescent="0.2">
      <c r="A5" s="102">
        <f>'RESPONSE TIME'!J46</f>
        <v>0</v>
      </c>
      <c r="B5" s="102">
        <f>'RESPONSE TIME'!K46</f>
        <v>57</v>
      </c>
      <c r="C5" s="102">
        <f>'RESPONSE TIME'!L46</f>
        <v>0</v>
      </c>
      <c r="D5" s="102">
        <f>'RESPONSE TIME'!M46</f>
        <v>0</v>
      </c>
      <c r="E5" s="102">
        <f>'RESPONSE TIME'!N46</f>
        <v>0</v>
      </c>
      <c r="F5" s="102">
        <f>'RESPONSE TIME'!O46</f>
        <v>1</v>
      </c>
      <c r="G5" s="102">
        <f>'RESPONSE TIME'!P46</f>
        <v>41</v>
      </c>
      <c r="H5" s="102">
        <f>'RESPONSE TIME'!Q46</f>
        <v>145</v>
      </c>
      <c r="I5" s="102">
        <f>'RESPONSE TIME'!W46</f>
        <v>463</v>
      </c>
      <c r="J5" s="102" t="str">
        <f>'RESPONSE TIME'!X46</f>
        <v>MENIT</v>
      </c>
      <c r="K5" s="126"/>
      <c r="L5" s="2">
        <f>I5</f>
        <v>463</v>
      </c>
      <c r="M5" s="112">
        <v>32</v>
      </c>
      <c r="N5" s="134">
        <f>L5/M5</f>
        <v>14.46875</v>
      </c>
      <c r="O5" s="133" t="s">
        <v>101</v>
      </c>
    </row>
    <row r="12" spans="1:19" x14ac:dyDescent="0.2">
      <c r="O12" t="s">
        <v>2500</v>
      </c>
      <c r="P12" t="s">
        <v>2501</v>
      </c>
      <c r="R12" t="s">
        <v>2500</v>
      </c>
      <c r="S12" t="s">
        <v>2501</v>
      </c>
    </row>
    <row r="13" spans="1:19" x14ac:dyDescent="0.2">
      <c r="O13">
        <v>2024</v>
      </c>
      <c r="P13" s="160">
        <f>N5</f>
        <v>14.46875</v>
      </c>
      <c r="R13">
        <v>2024</v>
      </c>
      <c r="S13">
        <v>9.59</v>
      </c>
    </row>
    <row r="14" spans="1:19" x14ac:dyDescent="0.2">
      <c r="O14">
        <v>2025</v>
      </c>
      <c r="P14" s="160">
        <f>N5-0.06</f>
        <v>14.40875</v>
      </c>
      <c r="R14">
        <v>2025</v>
      </c>
      <c r="S14">
        <f>S13-0.03</f>
        <v>9.56</v>
      </c>
    </row>
    <row r="15" spans="1:19" ht="15" customHeight="1" x14ac:dyDescent="0.2">
      <c r="O15">
        <v>2026</v>
      </c>
      <c r="P15" s="160">
        <f>P14-0.05</f>
        <v>14.358749999999999</v>
      </c>
      <c r="R15">
        <v>2026</v>
      </c>
      <c r="S15">
        <f>S14-0.02</f>
        <v>9.5400000000000009</v>
      </c>
    </row>
    <row r="16" spans="1:19" x14ac:dyDescent="0.2">
      <c r="O16">
        <v>2027</v>
      </c>
      <c r="P16" s="160">
        <f>P15-0.05</f>
        <v>14.308749999999998</v>
      </c>
      <c r="R16">
        <v>2027</v>
      </c>
      <c r="S16">
        <f>S15-0.03</f>
        <v>9.5100000000000016</v>
      </c>
    </row>
    <row r="17" spans="15:19" x14ac:dyDescent="0.2">
      <c r="O17">
        <v>2028</v>
      </c>
      <c r="P17" s="160">
        <f>P16-0.05</f>
        <v>14.258749999999997</v>
      </c>
      <c r="R17">
        <v>2028</v>
      </c>
      <c r="S17">
        <f>S16-0.02</f>
        <v>9.490000000000002</v>
      </c>
    </row>
    <row r="18" spans="15:19" x14ac:dyDescent="0.2">
      <c r="O18">
        <v>2029</v>
      </c>
      <c r="P18" s="160">
        <f>P17-0.05</f>
        <v>14.208749999999997</v>
      </c>
      <c r="R18">
        <v>2029</v>
      </c>
      <c r="S18">
        <f>S17-0.02</f>
        <v>9.4700000000000024</v>
      </c>
    </row>
    <row r="19" spans="15:19" x14ac:dyDescent="0.2">
      <c r="O19">
        <v>2030</v>
      </c>
      <c r="P19" s="160">
        <f>P18-0.05</f>
        <v>14.158749999999996</v>
      </c>
      <c r="R19">
        <v>2030</v>
      </c>
      <c r="S19">
        <f>S18-0.03</f>
        <v>9.4400000000000031</v>
      </c>
    </row>
  </sheetData>
  <mergeCells count="10">
    <mergeCell ref="L3:L4"/>
    <mergeCell ref="M3:M4"/>
    <mergeCell ref="N4:O4"/>
    <mergeCell ref="N3:O3"/>
    <mergeCell ref="A3:B3"/>
    <mergeCell ref="I3:I4"/>
    <mergeCell ref="C3:C4"/>
    <mergeCell ref="D3:D4"/>
    <mergeCell ref="E3:F3"/>
    <mergeCell ref="G3:H3"/>
  </mergeCells>
  <pageMargins left="0.7" right="0.7" top="0.75" bottom="0.75" header="0.3" footer="0.3"/>
  <pageSetup paperSize="5" orientation="landscape"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RELAWAN</vt:lpstr>
      <vt:lpstr>APARATUR</vt:lpstr>
      <vt:lpstr>JUMLAH KAPASITAS</vt:lpstr>
      <vt:lpstr>SAPRAS</vt:lpstr>
      <vt:lpstr>DATA POS </vt:lpstr>
      <vt:lpstr>EVAKUASI</vt:lpstr>
      <vt:lpstr>Sheet1</vt:lpstr>
      <vt:lpstr>RESPONSE TIME</vt:lpstr>
      <vt:lpstr>RESPONSE TIME (2)</vt:lpstr>
      <vt:lpstr>Sheet2</vt:lpstr>
      <vt:lpstr>SAPRAS!Print_Area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Oracle Reports</dc:creator>
  <cp:lastModifiedBy>ACER</cp:lastModifiedBy>
  <cp:lastPrinted>2025-01-14T01:54:43Z</cp:lastPrinted>
  <dcterms:created xsi:type="dcterms:W3CDTF">2024-01-07T09:53:51Z</dcterms:created>
  <dcterms:modified xsi:type="dcterms:W3CDTF">2026-05-25T04:55:25Z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2023-11-06T00:00:00Z</vt:filetime>
  </property>
  <property fmtid="{D5CDD505-2E9C-101B-9397-08002B2CF9AE}" pid="3" name="Creator">
    <vt:lpwstr>Oracle11gR1 AS Reports Services</vt:lpwstr>
  </property>
  <property fmtid="{D5CDD505-2E9C-101B-9397-08002B2CF9AE}" pid="4" name="LastSaved">
    <vt:filetime>2024-01-07T00:00:00Z</vt:filetime>
  </property>
  <property fmtid="{D5CDD505-2E9C-101B-9397-08002B2CF9AE}" pid="5" name="Producer">
    <vt:lpwstr>Oracle PDF driver</vt:lpwstr>
  </property>
</Properties>
</file>