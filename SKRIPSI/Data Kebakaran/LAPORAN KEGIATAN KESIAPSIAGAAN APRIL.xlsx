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yu\spj\Rekap Kegiatan\Rekap April\"/>
    </mc:Choice>
  </mc:AlternateContent>
  <xr:revisionPtr revIDLastSave="0" documentId="13_ncr:1_{2100BDDF-247F-4A7B-8D32-CEA88BC85B0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Jadwal Petugas Piket" sheetId="2" r:id="rId1"/>
    <sheet name="Laporan Kegiata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5" i="1" l="1"/>
  <c r="I13" i="1"/>
  <c r="I11" i="1"/>
  <c r="G10" i="1"/>
  <c r="M21" i="1" l="1"/>
  <c r="M22" i="1" s="1"/>
</calcChain>
</file>

<file path=xl/sharedStrings.xml><?xml version="1.0" encoding="utf-8"?>
<sst xmlns="http://schemas.openxmlformats.org/spreadsheetml/2006/main" count="366" uniqueCount="189">
  <si>
    <t>No</t>
  </si>
  <si>
    <t>Tanggal Kejadian</t>
  </si>
  <si>
    <t>Jenis Kejadian</t>
  </si>
  <si>
    <t>Jarak Tempuh</t>
  </si>
  <si>
    <t>Waktu Menerima Laporan</t>
  </si>
  <si>
    <t>Waktu Tiba Dilokasi Kejadian</t>
  </si>
  <si>
    <t>Respon Time</t>
  </si>
  <si>
    <t>Keterangan</t>
  </si>
  <si>
    <t>Biodata</t>
  </si>
  <si>
    <t>Gender</t>
  </si>
  <si>
    <t>Regu Bertugas</t>
  </si>
  <si>
    <t>Alamat</t>
  </si>
  <si>
    <t>Regu 3</t>
  </si>
  <si>
    <t>Konsleting Listrik</t>
  </si>
  <si>
    <t>Kebakaran Bangunan</t>
  </si>
  <si>
    <t>Regu 1</t>
  </si>
  <si>
    <t>Nama Korban / Pelapor</t>
  </si>
  <si>
    <t>Unit</t>
  </si>
  <si>
    <t>Menit</t>
  </si>
  <si>
    <t>Simulasi</t>
  </si>
  <si>
    <t>REGU I</t>
  </si>
  <si>
    <t>REGU II</t>
  </si>
  <si>
    <t>REGU III</t>
  </si>
  <si>
    <t>Ka UPT Damkar</t>
  </si>
  <si>
    <t>Syafrullah S.Sos, M.Si.</t>
  </si>
  <si>
    <t>Danru</t>
  </si>
  <si>
    <t>Budi Adi</t>
  </si>
  <si>
    <t>Ranu Wibowo</t>
  </si>
  <si>
    <t>Agus Budianto</t>
  </si>
  <si>
    <t>Kasubbag TU Damkar</t>
  </si>
  <si>
    <t>Nur Hidayah, SE</t>
  </si>
  <si>
    <t>Anggota</t>
  </si>
  <si>
    <t>Ade Susanto</t>
  </si>
  <si>
    <t>Imam Kastalani</t>
  </si>
  <si>
    <t>Muhammad Fikri Nisfuadi</t>
  </si>
  <si>
    <t>Penata Layanan Operasional</t>
  </si>
  <si>
    <t>M. Dadang Kurniwan, S.H.</t>
  </si>
  <si>
    <t>Muhammad Noor</t>
  </si>
  <si>
    <t>Ahmad Riduan</t>
  </si>
  <si>
    <t>Cipta Bayu Mukti</t>
  </si>
  <si>
    <t>Bambang Arry Arsono</t>
  </si>
  <si>
    <t>Muhamad Noor SE</t>
  </si>
  <si>
    <t>Herianto</t>
  </si>
  <si>
    <t>Muhammad Yoppie Wirawan</t>
  </si>
  <si>
    <t>UPT PEMADAM KEBAKARAN BANJARBARU KOTA BANJARBARU</t>
  </si>
  <si>
    <t>BULAN JANUARI 2026</t>
  </si>
  <si>
    <t>LAPORAN KEGIATAN KESIAPSIAGAAN PETUGAS PIKET DAN PEMADAM KEBAKARAN DALAM DAERAH KABUPATEN/KOTA</t>
  </si>
  <si>
    <t>BUDI ADI</t>
  </si>
  <si>
    <t>ADE SUSANTO</t>
  </si>
  <si>
    <t>MUHAMMAD NOOR</t>
  </si>
  <si>
    <t>MUHAMMAD YOPPIE WIRAWAN</t>
  </si>
  <si>
    <t>RANU WIBOWO</t>
  </si>
  <si>
    <t>IMAM KASTALANI</t>
  </si>
  <si>
    <t>AHMAD RIDUAN</t>
  </si>
  <si>
    <t>MUHAMMAD NOOR, SE</t>
  </si>
  <si>
    <t>AGUS BUDIANTO</t>
  </si>
  <si>
    <t>CIPTA BAYU MUKTI</t>
  </si>
  <si>
    <t>HERIYANTO</t>
  </si>
  <si>
    <t>R2</t>
  </si>
  <si>
    <t>R1</t>
  </si>
  <si>
    <t>R3</t>
  </si>
  <si>
    <t>Tanggal</t>
  </si>
  <si>
    <t>JADWAL PETUGAS PIKET UPT PEMADAM KEBAKARAN KOTA BANJARBARU</t>
  </si>
  <si>
    <t>BAMABANG ARRY ARSONO</t>
  </si>
  <si>
    <t>REGU 2</t>
  </si>
  <si>
    <t>REGU 1</t>
  </si>
  <si>
    <t>REGU 3</t>
  </si>
  <si>
    <t>MUHAMMAD FIKRI NISFUADI</t>
  </si>
  <si>
    <t>Kebakaran R2</t>
  </si>
  <si>
    <t>L</t>
  </si>
  <si>
    <t>Longitude (X)</t>
  </si>
  <si>
    <t>Latitude (-Y)</t>
  </si>
  <si>
    <t>BULAN APRIL 2026</t>
  </si>
  <si>
    <t>Nama : Rusli
Umur : 46 tahun 
Perkerjaan : Swasta
Pendidikan : Sma 
No Hp : 082157905517</t>
  </si>
  <si>
    <t xml:space="preserve">Jl. A Yani km 23, Gg Hidayah
Rt 06 Rw 02
Kel : Landasan Ulin Tengah 
Kec : Liang Anggang </t>
  </si>
  <si>
    <t>1. Ibu Bastiah( 60 th'an) 1 kk 3 jiwa
2. Bapak Syamsul (54 th'an) 1 kk 1 jiwa/seorang diri</t>
  </si>
  <si>
    <t>Kebarakan Bangunan</t>
  </si>
  <si>
    <t>04.18 s/d 07.10</t>
  </si>
  <si>
    <t>Terjadi  Kebakaran di Pal 23 landasan Ulin Tengah Kota Banjarbaru.
Petugas Piket menindak lanjuti  laporan tersebut &amp; Persiapan menuju ke Lokasi Kebakaran.</t>
  </si>
  <si>
    <t xml:space="preserve">DA 9087 PL 3500Liter Avatar </t>
  </si>
  <si>
    <t>.-3.4420502</t>
  </si>
  <si>
    <t>Via Grup WA Emergency Banjarbaru</t>
  </si>
  <si>
    <t>Jl. H. Mistar Cokrokusumo RT 10 RW 04
Kel :Cempaka
Kec : Cempaka</t>
  </si>
  <si>
    <t>Yang Terdampak
1 buah roda 2 dan 6 buah rumah atas nama: 
- 1. H. Ahmad Kerusakan 100% 1 KK 5 Jiwa
- 2. Lutmi Fitri 1 KK 2 Jiwa
- 3. Suriyani Kerusakan 100% 1 KK 4 Jiwa
- 4. H Anang Jailani 1KK 4 Jiwa
- 5. Rusman 1 KK 3 Jiwa
- 6. H Nahdi</t>
  </si>
  <si>
    <t>11.49 s/d 13.39</t>
  </si>
  <si>
    <t>Mendapat informasi Via Grub WA  Bahwa Telah Terjadi Kebakaran Bangun, Tim SIGAP Yang Piket Regu 1</t>
  </si>
  <si>
    <t>1. unit kajama tangki 3500L DA 9087 PL
2. unit kajama tangki 3500L DA 9153 PL
3. unit kajama tangki 4000L DA 9152 PL</t>
  </si>
  <si>
    <t>.-3.4656525</t>
  </si>
  <si>
    <t>,114.820359,9031</t>
  </si>
  <si>
    <t>Jl. Panglima Batur No 01 ( Balai Kota Banjarbaru)
Kel : Komet
Kec : Banjarbaru Utara</t>
  </si>
  <si>
    <t>Nama : Daud  Umur : 49
Perkerjaan : PNS
Pendidikan : SMA
No Hp : 081351039352</t>
  </si>
  <si>
    <t>Korsleting Listrik</t>
  </si>
  <si>
    <t xml:space="preserve"> 12: 30 s/d 12 : 50</t>
  </si>
  <si>
    <t>Mendapat informasi Via WA Dari Rekanan Satpol PP  Bahwa Telah Terjadi Korsleting Listrik Dikantor Balai Kota, Tim SIGAP Yang Piket Regu 1</t>
  </si>
  <si>
    <t>.-3.438654</t>
  </si>
  <si>
    <t>,114.830923</t>
  </si>
  <si>
    <t>450 m</t>
  </si>
  <si>
    <t>HULK 4000L DA 9152 PL</t>
  </si>
  <si>
    <t>Jl.batu besi sungai salak rt.34
Kel : guntung manggis
Kec : Landasan ulin</t>
  </si>
  <si>
    <t>1 unit kajama tangki 4000L</t>
  </si>
  <si>
    <t>Regu 2</t>
  </si>
  <si>
    <t>Mendapat informasi Via Grub WA  emergency banjarbaru</t>
  </si>
  <si>
    <t>14: 03 s/d 15: 05</t>
  </si>
  <si>
    <t>Mendapat informasi Via Grub WA  emergency banjarbaru Bahwa Telah Terjadi Kebakaran kontainer yang tidak terpakai lagi. LANGKAH YANG DI AMBIL :
Persiapan Anggota dan Menuju ke tkp
Melakukan Pengecekan Api Sampai Benar" Padam</t>
  </si>
  <si>
    <t>.-3.46591</t>
  </si>
  <si>
    <t>,114.757255</t>
  </si>
  <si>
    <t>10,6 km</t>
  </si>
  <si>
    <t>Alamat :Jl.sempati perumnas asabri rt.45 rw.09
Kel:syamsudinnoor
Kec : Landasan ulin</t>
  </si>
  <si>
    <t>Kajama Tangki (Thor) 3500L (DA.9153.PL)</t>
  </si>
  <si>
    <t>SPPG Syamsudinnoor</t>
  </si>
  <si>
    <t>13/4/2026</t>
  </si>
  <si>
    <t>Menindak Lanjuti Surat Masuk Dari SPPG Syamsudinnoor Perihal permohonan semulasi tanggap darurat kebakaran.</t>
  </si>
  <si>
    <t>.-3.430038</t>
  </si>
  <si>
    <t>,114.758696</t>
  </si>
  <si>
    <t>10,0 km</t>
  </si>
  <si>
    <t>semulasi tanggap darurat kebakaran</t>
  </si>
  <si>
    <t>09:00 sd selesai</t>
  </si>
  <si>
    <t>Paud Terpadu Kartika V -3</t>
  </si>
  <si>
    <t>Alamat : Gedung Damkar Kota Banjarbaru, Jl Agus Salim 
Kel: Komet
Kec : Banjarbaru Utara</t>
  </si>
  <si>
    <t>14/4/2026</t>
  </si>
  <si>
    <t xml:space="preserve"> 09:00 wita sd selesai</t>
  </si>
  <si>
    <t xml:space="preserve">Menindak Lanjuti Surat Masuk Dari Paud Terpadu Kartika V -3 landasan Ulin Kota Banjarbaru, Perihal Berkunjung ke Damkar dalam kegiatan sekolah dengan tema pembelajaran mengenal profesi Pemadam Kebakaran dan Penyelamatan
</t>
  </si>
  <si>
    <t xml:space="preserve"> 3.500 L/Thor  ( Da 9153 PL )         3.500 L/Avatar (Da 90 87 PL)          4000 L/Hulk ( DA 9152 PL)</t>
  </si>
  <si>
    <t>Paud pelita angkasa</t>
  </si>
  <si>
    <t>Alamat :Jl.peramuan Rt.11 Rw.03
Kel:Landasan ulin tengah
Kec : Landasan ulin</t>
  </si>
  <si>
    <t>22/4/2026</t>
  </si>
  <si>
    <t xml:space="preserve"> 3.500L/Thor  ( Da 9153 PL )    </t>
  </si>
  <si>
    <t>09:00 wita sd selesai.</t>
  </si>
  <si>
    <t>Menindak Lanjuti Surat Masuk Dari Paud pelita angkasa Perihal permohonan edukasi mengenal transportasi dan profesi pemadam kebakatan</t>
  </si>
  <si>
    <t>,114.7359531</t>
  </si>
  <si>
    <t xml:space="preserve"> Paud IT Anak Sholeh Kota Banjarbaru</t>
  </si>
  <si>
    <t xml:space="preserve">Alamat :Paud IT Anak Sholeh Kota Banjarbaru, Jl R.P Soeprapto 
Kel: Mentaos 
Kec : Banjarbaru Utara </t>
  </si>
  <si>
    <t>23/4/2026</t>
  </si>
  <si>
    <t>Edukasi</t>
  </si>
  <si>
    <t>09:00 wita sd selesai</t>
  </si>
  <si>
    <t>Menindak Lanjuti Surat Masuk Dari Paud IT Anak Sholeh Kota Banjarbaru Perihal Memohon dikunjungi untuk memberikan edukasi profesi petugas pemadam kebakaran dan penyelamatan,serta pengenalan peralatan dan cara kerjanya</t>
  </si>
  <si>
    <t>3.500L/Avatar (Da 90 87 PL)</t>
  </si>
  <si>
    <t>,114.8301855</t>
  </si>
  <si>
    <t>600 m</t>
  </si>
  <si>
    <t xml:space="preserve">Nama : Lasmi </t>
  </si>
  <si>
    <t xml:space="preserve">Jl.Sumber ilmu Rt 24 Rwa 05
Kel :Kemuning 
Kec : Banjarbaru Selatan </t>
  </si>
  <si>
    <t>Di Huni
1 Kk 2 jiwa
A.N : Hamdiyah (60th)</t>
  </si>
  <si>
    <t>24/4/2026</t>
  </si>
  <si>
    <t xml:space="preserve"> Kebakaran Bangunan</t>
  </si>
  <si>
    <t xml:space="preserve"> 3.500L /Avatar            (DA 9087 PL)    3.500/thor           ( Da 9153 PL)    4000L/Hulk (Da 9152 PL)</t>
  </si>
  <si>
    <t>Menindaklanjuti bahwa telah terjadi  Kebakaran di wilayah Kel.kemuning Kota Banjarbaru.
Petugas Piket menindak lanjuti  laporan tersebut &amp; Persiapan menuju ke Lokasi Kebakaran.    1 Bangunan terbakar (Semi permanen Uk 4x6)</t>
  </si>
  <si>
    <t>, 114.821343</t>
  </si>
  <si>
    <t>5.9 km</t>
  </si>
  <si>
    <t xml:space="preserve">08 : 23 s/d 09 : 28 </t>
  </si>
  <si>
    <t xml:space="preserve">  08 : 17</t>
  </si>
  <si>
    <t>Nama:ferdi</t>
  </si>
  <si>
    <t xml:space="preserve">  14 : 48 </t>
  </si>
  <si>
    <t>14 : 51 s/d 15 : 29</t>
  </si>
  <si>
    <t>Menindaklanjuti informasi  Via orari , bahwa telah terjadi  Kebakaran rombong gorengan di samping indomart bundaran plam di wilayah Kel.Loktabat selatan Kota Banjarbaru.Terdampak
1 buah rombong ukuran 3×4</t>
  </si>
  <si>
    <t xml:space="preserve">Terdampak
1 buah rombong ukuran 3×4
Pemilik rombong
A.N : ibu isah (45th)
Korban luka/jiwa Nihil
Kerugian kurang lebih 
5 juta </t>
  </si>
  <si>
    <t>Jl.trikora ,indomart bundaran plam
Kel :Loktabat selatan
Kec : Banjarbaru selatan</t>
  </si>
  <si>
    <t>26/4/2026</t>
  </si>
  <si>
    <t>3.500/thor( Da 9153 PL)</t>
  </si>
  <si>
    <t>, 114.811196</t>
  </si>
  <si>
    <t>5.8 km</t>
  </si>
  <si>
    <t>Alamat :Jl Ir P M Noor 
Kel: Sungai Besar
Kec : Banjarbaru Selatan</t>
  </si>
  <si>
    <t>Kementrian Kehutanan Direktorat Jendral Pengelolaan Hutan Lestari 
Balai Pengelolaan Hutan Lestari</t>
  </si>
  <si>
    <t>Menindak Lanjuti Surat Masuk Dari Kementrian Kehutanan Direktorat Jendral Pengelolaan Hutan Lestari 
Balai Pengelolaan Hutan Lestari. Perihal: Permohonan Menjadi Narasumber Dan Moderator Bimbingan Teknis Pencegahan Dan Pengendalian Kebakaran Gedung Dan Perkantoran Serta Praktik Teknik Pemadaman Den Penggunaan APAR.</t>
  </si>
  <si>
    <t>27/4/2026</t>
  </si>
  <si>
    <t>Narasumber dan Simulasi</t>
  </si>
  <si>
    <t>paud ar-riyadh</t>
  </si>
  <si>
    <t xml:space="preserve"> Gedung Damkar kota Banjarbaru Jl.agus salim
Kel : Komet
Kec: Banjarbaru utara
Kota Banjarbaru.</t>
  </si>
  <si>
    <t>28/4/2026</t>
  </si>
  <si>
    <t xml:space="preserve"> 1 unit kajama 8000 L </t>
  </si>
  <si>
    <t>Menindak lanjuti surat masuk dari  paud ar-riyadh
Perihal:edukasi pengenalan alat transfortasi damkar dan keselamatan masyarakat dalam kebakaran</t>
  </si>
  <si>
    <t xml:space="preserve"> 09:00 WITA SD selesai.</t>
  </si>
  <si>
    <t>Nama:Diarni lingga</t>
  </si>
  <si>
    <t>Jl.pondok jeruk,komplk.mustika residen rt.18 rw.09
Kel :Loktabat utara
Kec : Banjarbaru selatan</t>
  </si>
  <si>
    <t>Kebakaran lahan</t>
  </si>
  <si>
    <t>29/4/2026</t>
  </si>
  <si>
    <t>16: 46 s/d 17 : 46</t>
  </si>
  <si>
    <t>Mendapat informasi  Via orari , bahwa telah terjadi  Kebakaran lahan mendekati perumahan warga di wilayah Kel.Loktabat utara Kota Banjarbaru.</t>
  </si>
  <si>
    <t>3.500/thor( Da 9153 PL)       4000 L ( DA.9152.PL)</t>
  </si>
  <si>
    <t>, 114.788295</t>
  </si>
  <si>
    <t>6.4 km</t>
  </si>
  <si>
    <t xml:space="preserve">Mendapat informasi  Via Emergency </t>
  </si>
  <si>
    <t>komplek.sinar baru
Kel :Sungai ulin
Kec : Banjarbaru utara</t>
  </si>
  <si>
    <t>Mendapat informasi  Via Emergency  bahwa telah terjadi  Kebakaran kendang kambing di wilayah Kel.sungai ulin Kota Banjarbaru.
Petugas Piket menindak lanjuti  laporan tersebut &amp; Persiapan menuju ke Lokasi Kebakaran.Persiapan Anggota dan Menuju ke tkk
°Melakukan Pemadaman dan pengecekan Api Sampai Benar2 aman/ Padam
°Pendataan .</t>
  </si>
  <si>
    <t xml:space="preserve">Terdampak
1 buah Kandang ukuran 6×8
Pemilik Kandang
A.N : imam 50thn
Korban luka/jiwa Nihil
 -
Kerugian kurang lebih 
60 juta </t>
  </si>
  <si>
    <t>20 : 13 s/d 20: 56</t>
  </si>
  <si>
    <t>3.500/thor( Da.9087.PL)        4000 L ( Da.9152.PL)</t>
  </si>
  <si>
    <t>,114.8667116</t>
  </si>
  <si>
    <t>6.0 km</t>
  </si>
  <si>
    <t xml:space="preserve"> Regu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</si>
</sst>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p-421]* #,##0_-;\-[$Rp-421]* #,##0_-;_-[$Rp-421]* &quot;-&quot;_-;_-@_-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/>
    <xf numFmtId="0" fontId="1" fillId="0" borderId="0" xfId="0" applyFont="1" applyAlignment="1">
      <alignment horizontal="left" vertical="center" wrapText="1"/>
    </xf>
    <xf numFmtId="0" fontId="1" fillId="0" borderId="0" xfId="0" applyFont="1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/>
    </xf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0" fillId="2" borderId="0" xfId="0" applyNumberFormat="1" applyFill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/>
    <xf numFmtId="0" fontId="0" fillId="2" borderId="1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20" fontId="0" fillId="2" borderId="1" xfId="0" applyNumberFormat="1" applyFill="1" applyBorder="1" applyAlignment="1">
      <alignment horizontal="center" vertical="center" wrapText="1"/>
    </xf>
    <xf numFmtId="20" fontId="0" fillId="2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14" fontId="0" fillId="7" borderId="1" xfId="0" applyNumberFormat="1" applyFill="1" applyBorder="1" applyAlignment="1">
      <alignment horizontal="center" vertical="center" wrapText="1"/>
    </xf>
    <xf numFmtId="2" fontId="0" fillId="7" borderId="1" xfId="0" applyNumberFormat="1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/>
    </xf>
    <xf numFmtId="20" fontId="0" fillId="3" borderId="1" xfId="0" applyNumberForma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8" borderId="0" xfId="0" applyFill="1" applyAlignment="1">
      <alignment vertical="center"/>
    </xf>
    <xf numFmtId="0" fontId="0" fillId="8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/>
    </xf>
    <xf numFmtId="14" fontId="0" fillId="8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8" borderId="2" xfId="0" applyFill="1" applyBorder="1" applyAlignment="1">
      <alignment horizontal="center" vertical="center" wrapText="1"/>
    </xf>
    <xf numFmtId="0" fontId="0" fillId="8" borderId="3" xfId="0" applyFill="1" applyBorder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0" fillId="7" borderId="0" xfId="0" applyFill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4" fontId="0" fillId="7" borderId="1" xfId="0" applyNumberForma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G30"/>
  <sheetViews>
    <sheetView zoomScale="90" zoomScaleNormal="90" workbookViewId="0">
      <selection activeCell="AK16" sqref="AK16"/>
    </sheetView>
  </sheetViews>
  <sheetFormatPr defaultRowHeight="15" x14ac:dyDescent="0.25"/>
  <cols>
    <col min="2" max="32" width="3.28515625" style="2" customWidth="1"/>
  </cols>
  <sheetData>
    <row r="2" spans="2:33" ht="18.75" x14ac:dyDescent="0.25">
      <c r="B2" s="72" t="s">
        <v>62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</row>
    <row r="3" spans="2:33" ht="18.75" x14ac:dyDescent="0.25">
      <c r="B3" s="71" t="s">
        <v>45</v>
      </c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</row>
    <row r="4" spans="2:33" x14ac:dyDescent="0.25">
      <c r="B4" s="68" t="s">
        <v>61</v>
      </c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69"/>
      <c r="AD4" s="69"/>
      <c r="AE4" s="69"/>
      <c r="AF4" s="70"/>
    </row>
    <row r="5" spans="2:33" s="18" customFormat="1" x14ac:dyDescent="0.25">
      <c r="B5" s="19">
        <v>1</v>
      </c>
      <c r="C5" s="19">
        <v>2</v>
      </c>
      <c r="D5" s="19">
        <v>3</v>
      </c>
      <c r="E5" s="19">
        <v>4</v>
      </c>
      <c r="F5" s="19">
        <v>5</v>
      </c>
      <c r="G5" s="19">
        <v>6</v>
      </c>
      <c r="H5" s="19">
        <v>7</v>
      </c>
      <c r="I5" s="19">
        <v>8</v>
      </c>
      <c r="J5" s="19">
        <v>9</v>
      </c>
      <c r="K5" s="19">
        <v>10</v>
      </c>
      <c r="L5" s="19">
        <v>11</v>
      </c>
      <c r="M5" s="19">
        <v>12</v>
      </c>
      <c r="N5" s="19">
        <v>13</v>
      </c>
      <c r="O5" s="19">
        <v>14</v>
      </c>
      <c r="P5" s="19">
        <v>15</v>
      </c>
      <c r="Q5" s="19">
        <v>16</v>
      </c>
      <c r="R5" s="19">
        <v>17</v>
      </c>
      <c r="S5" s="19">
        <v>18</v>
      </c>
      <c r="T5" s="19">
        <v>19</v>
      </c>
      <c r="U5" s="19">
        <v>20</v>
      </c>
      <c r="V5" s="19">
        <v>21</v>
      </c>
      <c r="W5" s="19">
        <v>22</v>
      </c>
      <c r="X5" s="19">
        <v>23</v>
      </c>
      <c r="Y5" s="19">
        <v>24</v>
      </c>
      <c r="Z5" s="19">
        <v>25</v>
      </c>
      <c r="AA5" s="19">
        <v>26</v>
      </c>
      <c r="AB5" s="19">
        <v>27</v>
      </c>
      <c r="AC5" s="19">
        <v>28</v>
      </c>
      <c r="AD5" s="19">
        <v>29</v>
      </c>
      <c r="AE5" s="19">
        <v>30</v>
      </c>
      <c r="AF5" s="19">
        <v>31</v>
      </c>
      <c r="AG5" s="21"/>
    </row>
    <row r="6" spans="2:33" x14ac:dyDescent="0.25"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</row>
    <row r="7" spans="2:33" x14ac:dyDescent="0.25">
      <c r="B7" s="20"/>
      <c r="C7" s="20"/>
      <c r="D7" s="20"/>
      <c r="E7" s="24" t="s">
        <v>59</v>
      </c>
      <c r="F7" s="20"/>
      <c r="G7" s="20"/>
      <c r="H7" s="24" t="s">
        <v>59</v>
      </c>
      <c r="I7" s="20"/>
      <c r="J7" s="20"/>
      <c r="K7" s="24" t="s">
        <v>59</v>
      </c>
      <c r="L7" s="20"/>
      <c r="M7" s="20"/>
      <c r="N7" s="24" t="s">
        <v>59</v>
      </c>
      <c r="O7" s="20"/>
      <c r="P7" s="20"/>
      <c r="Q7" s="24" t="s">
        <v>59</v>
      </c>
      <c r="R7" s="20"/>
      <c r="S7" s="20"/>
      <c r="T7" s="24" t="s">
        <v>59</v>
      </c>
      <c r="U7" s="20"/>
      <c r="V7" s="20"/>
      <c r="W7" s="24" t="s">
        <v>59</v>
      </c>
      <c r="X7" s="20"/>
      <c r="Y7" s="20"/>
      <c r="Z7" s="24" t="s">
        <v>59</v>
      </c>
      <c r="AA7" s="20"/>
      <c r="AB7" s="20"/>
      <c r="AC7" s="24" t="s">
        <v>59</v>
      </c>
      <c r="AD7" s="20"/>
      <c r="AE7" s="20"/>
      <c r="AF7" s="24" t="s">
        <v>59</v>
      </c>
    </row>
    <row r="8" spans="2:33" x14ac:dyDescent="0.25">
      <c r="B8" s="20"/>
      <c r="C8" s="20"/>
      <c r="D8" s="20"/>
      <c r="E8" s="24" t="s">
        <v>59</v>
      </c>
      <c r="F8" s="20"/>
      <c r="G8" s="20"/>
      <c r="H8" s="24" t="s">
        <v>59</v>
      </c>
      <c r="I8" s="20"/>
      <c r="J8" s="20"/>
      <c r="K8" s="24" t="s">
        <v>59</v>
      </c>
      <c r="L8" s="20"/>
      <c r="M8" s="20"/>
      <c r="N8" s="24" t="s">
        <v>59</v>
      </c>
      <c r="O8" s="20"/>
      <c r="P8" s="20"/>
      <c r="Q8" s="24" t="s">
        <v>59</v>
      </c>
      <c r="R8" s="20"/>
      <c r="S8" s="20"/>
      <c r="T8" s="24" t="s">
        <v>59</v>
      </c>
      <c r="U8" s="20"/>
      <c r="V8" s="20"/>
      <c r="W8" s="24" t="s">
        <v>59</v>
      </c>
      <c r="X8" s="20"/>
      <c r="Y8" s="20"/>
      <c r="Z8" s="24" t="s">
        <v>59</v>
      </c>
      <c r="AA8" s="20"/>
      <c r="AB8" s="20"/>
      <c r="AC8" s="24" t="s">
        <v>59</v>
      </c>
      <c r="AD8" s="20"/>
      <c r="AE8" s="20"/>
      <c r="AF8" s="24" t="s">
        <v>59</v>
      </c>
    </row>
    <row r="9" spans="2:33" x14ac:dyDescent="0.25">
      <c r="B9" s="20"/>
      <c r="C9" s="20"/>
      <c r="D9" s="20"/>
      <c r="E9" s="24" t="s">
        <v>59</v>
      </c>
      <c r="F9" s="20"/>
      <c r="G9" s="20"/>
      <c r="H9" s="24" t="s">
        <v>59</v>
      </c>
      <c r="I9" s="20"/>
      <c r="J9" s="20"/>
      <c r="K9" s="24" t="s">
        <v>59</v>
      </c>
      <c r="L9" s="20"/>
      <c r="M9" s="20"/>
      <c r="N9" s="24" t="s">
        <v>59</v>
      </c>
      <c r="O9" s="20"/>
      <c r="P9" s="20"/>
      <c r="Q9" s="24" t="s">
        <v>59</v>
      </c>
      <c r="R9" s="20"/>
      <c r="S9" s="20"/>
      <c r="T9" s="24" t="s">
        <v>59</v>
      </c>
      <c r="U9" s="20"/>
      <c r="V9" s="20"/>
      <c r="W9" s="24" t="s">
        <v>59</v>
      </c>
      <c r="X9" s="20"/>
      <c r="Y9" s="20"/>
      <c r="Z9" s="24" t="s">
        <v>59</v>
      </c>
      <c r="AA9" s="20"/>
      <c r="AB9" s="20"/>
      <c r="AC9" s="24" t="s">
        <v>59</v>
      </c>
      <c r="AD9" s="20"/>
      <c r="AE9" s="20"/>
      <c r="AF9" s="24" t="s">
        <v>59</v>
      </c>
    </row>
    <row r="10" spans="2:33" x14ac:dyDescent="0.25">
      <c r="B10" s="20"/>
      <c r="C10" s="20"/>
      <c r="D10" s="20"/>
      <c r="E10" s="24" t="s">
        <v>59</v>
      </c>
      <c r="F10" s="20"/>
      <c r="G10" s="20"/>
      <c r="H10" s="24" t="s">
        <v>59</v>
      </c>
      <c r="I10" s="20"/>
      <c r="J10" s="20"/>
      <c r="K10" s="24" t="s">
        <v>59</v>
      </c>
      <c r="L10" s="20"/>
      <c r="M10" s="20"/>
      <c r="N10" s="24" t="s">
        <v>59</v>
      </c>
      <c r="O10" s="20"/>
      <c r="P10" s="20"/>
      <c r="Q10" s="24" t="s">
        <v>59</v>
      </c>
      <c r="R10" s="20"/>
      <c r="S10" s="20"/>
      <c r="T10" s="24" t="s">
        <v>59</v>
      </c>
      <c r="U10" s="20"/>
      <c r="V10" s="20"/>
      <c r="W10" s="24" t="s">
        <v>59</v>
      </c>
      <c r="X10" s="20"/>
      <c r="Y10" s="20"/>
      <c r="Z10" s="24" t="s">
        <v>59</v>
      </c>
      <c r="AA10" s="20"/>
      <c r="AB10" s="20"/>
      <c r="AC10" s="24" t="s">
        <v>59</v>
      </c>
      <c r="AD10" s="20"/>
      <c r="AE10" s="20"/>
      <c r="AF10" s="24" t="s">
        <v>59</v>
      </c>
    </row>
    <row r="11" spans="2:33" x14ac:dyDescent="0.25">
      <c r="B11" s="20"/>
      <c r="C11" s="20"/>
      <c r="D11" s="20"/>
      <c r="E11" s="24" t="s">
        <v>59</v>
      </c>
      <c r="F11" s="20"/>
      <c r="G11" s="20"/>
      <c r="H11" s="24" t="s">
        <v>59</v>
      </c>
      <c r="I11" s="20"/>
      <c r="J11" s="20"/>
      <c r="K11" s="24" t="s">
        <v>59</v>
      </c>
      <c r="L11" s="20"/>
      <c r="M11" s="20"/>
      <c r="N11" s="24" t="s">
        <v>59</v>
      </c>
      <c r="O11" s="20"/>
      <c r="P11" s="20"/>
      <c r="Q11" s="24" t="s">
        <v>59</v>
      </c>
      <c r="R11" s="20"/>
      <c r="S11" s="20"/>
      <c r="T11" s="24" t="s">
        <v>59</v>
      </c>
      <c r="U11" s="20"/>
      <c r="V11" s="20"/>
      <c r="W11" s="24" t="s">
        <v>59</v>
      </c>
      <c r="X11" s="20"/>
      <c r="Y11" s="20"/>
      <c r="Z11" s="24" t="s">
        <v>59</v>
      </c>
      <c r="AA11" s="20"/>
      <c r="AB11" s="20"/>
      <c r="AC11" s="24" t="s">
        <v>59</v>
      </c>
      <c r="AD11" s="20"/>
      <c r="AE11" s="20"/>
      <c r="AF11" s="24" t="s">
        <v>59</v>
      </c>
    </row>
    <row r="12" spans="2:33" x14ac:dyDescent="0.25"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</row>
    <row r="13" spans="2:33" x14ac:dyDescent="0.25">
      <c r="B13" s="20"/>
      <c r="C13" s="22" t="s">
        <v>58</v>
      </c>
      <c r="D13" s="20"/>
      <c r="E13" s="20"/>
      <c r="F13" s="22" t="s">
        <v>58</v>
      </c>
      <c r="G13" s="20"/>
      <c r="H13" s="20"/>
      <c r="I13" s="22" t="s">
        <v>58</v>
      </c>
      <c r="J13" s="20"/>
      <c r="K13" s="20"/>
      <c r="L13" s="22" t="s">
        <v>58</v>
      </c>
      <c r="M13" s="20"/>
      <c r="N13" s="20"/>
      <c r="O13" s="22" t="s">
        <v>58</v>
      </c>
      <c r="P13" s="20"/>
      <c r="Q13" s="20"/>
      <c r="R13" s="22" t="s">
        <v>58</v>
      </c>
      <c r="S13" s="20"/>
      <c r="T13" s="20"/>
      <c r="U13" s="22" t="s">
        <v>58</v>
      </c>
      <c r="V13" s="20"/>
      <c r="W13" s="20"/>
      <c r="X13" s="22" t="s">
        <v>58</v>
      </c>
      <c r="Y13" s="20"/>
      <c r="Z13" s="20"/>
      <c r="AA13" s="22" t="s">
        <v>58</v>
      </c>
      <c r="AB13" s="20"/>
      <c r="AC13" s="20"/>
      <c r="AD13" s="22" t="s">
        <v>58</v>
      </c>
      <c r="AE13" s="20"/>
      <c r="AF13" s="20"/>
    </row>
    <row r="14" spans="2:33" x14ac:dyDescent="0.25">
      <c r="B14" s="20"/>
      <c r="C14" s="22" t="s">
        <v>58</v>
      </c>
      <c r="D14" s="20"/>
      <c r="E14" s="20"/>
      <c r="F14" s="22" t="s">
        <v>58</v>
      </c>
      <c r="G14" s="20"/>
      <c r="H14" s="20"/>
      <c r="I14" s="22" t="s">
        <v>58</v>
      </c>
      <c r="J14" s="20"/>
      <c r="K14" s="20"/>
      <c r="L14" s="22" t="s">
        <v>58</v>
      </c>
      <c r="M14" s="20"/>
      <c r="N14" s="20"/>
      <c r="O14" s="22" t="s">
        <v>58</v>
      </c>
      <c r="P14" s="20"/>
      <c r="Q14" s="20"/>
      <c r="R14" s="22" t="s">
        <v>58</v>
      </c>
      <c r="S14" s="20"/>
      <c r="T14" s="20"/>
      <c r="U14" s="22" t="s">
        <v>58</v>
      </c>
      <c r="V14" s="20"/>
      <c r="W14" s="20"/>
      <c r="X14" s="22" t="s">
        <v>58</v>
      </c>
      <c r="Y14" s="20"/>
      <c r="Z14" s="20"/>
      <c r="AA14" s="22" t="s">
        <v>58</v>
      </c>
      <c r="AB14" s="20"/>
      <c r="AC14" s="20"/>
      <c r="AD14" s="22" t="s">
        <v>58</v>
      </c>
      <c r="AE14" s="20"/>
      <c r="AF14" s="20"/>
    </row>
    <row r="15" spans="2:33" x14ac:dyDescent="0.25">
      <c r="B15" s="20"/>
      <c r="C15" s="22" t="s">
        <v>58</v>
      </c>
      <c r="D15" s="20"/>
      <c r="E15" s="20"/>
      <c r="F15" s="22" t="s">
        <v>58</v>
      </c>
      <c r="G15" s="20"/>
      <c r="H15" s="20"/>
      <c r="I15" s="22" t="s">
        <v>58</v>
      </c>
      <c r="J15" s="20"/>
      <c r="K15" s="20"/>
      <c r="L15" s="22" t="s">
        <v>58</v>
      </c>
      <c r="M15" s="20"/>
      <c r="N15" s="20"/>
      <c r="O15" s="22" t="s">
        <v>58</v>
      </c>
      <c r="P15" s="20"/>
      <c r="Q15" s="20"/>
      <c r="R15" s="22" t="s">
        <v>58</v>
      </c>
      <c r="S15" s="20"/>
      <c r="T15" s="20"/>
      <c r="U15" s="22" t="s">
        <v>58</v>
      </c>
      <c r="V15" s="20"/>
      <c r="W15" s="20"/>
      <c r="X15" s="22" t="s">
        <v>58</v>
      </c>
      <c r="Y15" s="20"/>
      <c r="Z15" s="20"/>
      <c r="AA15" s="22" t="s">
        <v>58</v>
      </c>
      <c r="AB15" s="20"/>
      <c r="AC15" s="20"/>
      <c r="AD15" s="22" t="s">
        <v>58</v>
      </c>
      <c r="AE15" s="20"/>
      <c r="AF15" s="20"/>
    </row>
    <row r="16" spans="2:33" x14ac:dyDescent="0.25">
      <c r="B16" s="20"/>
      <c r="C16" s="22" t="s">
        <v>58</v>
      </c>
      <c r="D16" s="20"/>
      <c r="E16" s="20"/>
      <c r="F16" s="22" t="s">
        <v>58</v>
      </c>
      <c r="G16" s="20"/>
      <c r="H16" s="20"/>
      <c r="I16" s="22" t="s">
        <v>58</v>
      </c>
      <c r="J16" s="20"/>
      <c r="K16" s="20"/>
      <c r="L16" s="22" t="s">
        <v>58</v>
      </c>
      <c r="M16" s="20"/>
      <c r="N16" s="20"/>
      <c r="O16" s="22" t="s">
        <v>58</v>
      </c>
      <c r="P16" s="20"/>
      <c r="Q16" s="20"/>
      <c r="R16" s="22" t="s">
        <v>58</v>
      </c>
      <c r="S16" s="20"/>
      <c r="T16" s="20"/>
      <c r="U16" s="22" t="s">
        <v>58</v>
      </c>
      <c r="V16" s="20"/>
      <c r="W16" s="20"/>
      <c r="X16" s="22" t="s">
        <v>58</v>
      </c>
      <c r="Y16" s="20"/>
      <c r="Z16" s="20"/>
      <c r="AA16" s="22" t="s">
        <v>58</v>
      </c>
      <c r="AB16" s="20"/>
      <c r="AC16" s="20"/>
      <c r="AD16" s="22" t="s">
        <v>58</v>
      </c>
      <c r="AE16" s="20"/>
      <c r="AF16" s="20"/>
    </row>
    <row r="17" spans="2:32" x14ac:dyDescent="0.25"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</row>
    <row r="18" spans="2:32" x14ac:dyDescent="0.25">
      <c r="B18" s="20"/>
      <c r="C18" s="20"/>
      <c r="D18" s="23" t="s">
        <v>60</v>
      </c>
      <c r="E18" s="20"/>
      <c r="F18" s="20"/>
      <c r="G18" s="23" t="s">
        <v>60</v>
      </c>
      <c r="H18" s="20"/>
      <c r="I18" s="20"/>
      <c r="J18" s="23" t="s">
        <v>60</v>
      </c>
      <c r="K18" s="20"/>
      <c r="L18" s="20"/>
      <c r="M18" s="23" t="s">
        <v>60</v>
      </c>
      <c r="N18" s="20"/>
      <c r="O18" s="20"/>
      <c r="P18" s="23" t="s">
        <v>60</v>
      </c>
      <c r="Q18" s="20"/>
      <c r="R18" s="20"/>
      <c r="S18" s="23" t="s">
        <v>60</v>
      </c>
      <c r="T18" s="20"/>
      <c r="U18" s="20"/>
      <c r="V18" s="23" t="s">
        <v>60</v>
      </c>
      <c r="W18" s="20"/>
      <c r="X18" s="20"/>
      <c r="Y18" s="23" t="s">
        <v>60</v>
      </c>
      <c r="Z18" s="20"/>
      <c r="AA18" s="20"/>
      <c r="AB18" s="23" t="s">
        <v>60</v>
      </c>
      <c r="AC18" s="20"/>
      <c r="AD18" s="20"/>
      <c r="AE18" s="23" t="s">
        <v>60</v>
      </c>
      <c r="AF18" s="20"/>
    </row>
    <row r="19" spans="2:32" x14ac:dyDescent="0.25">
      <c r="B19" s="20"/>
      <c r="C19" s="20"/>
      <c r="D19" s="23" t="s">
        <v>60</v>
      </c>
      <c r="E19" s="20"/>
      <c r="F19" s="20"/>
      <c r="G19" s="23" t="s">
        <v>60</v>
      </c>
      <c r="H19" s="20"/>
      <c r="I19" s="20"/>
      <c r="J19" s="23" t="s">
        <v>60</v>
      </c>
      <c r="K19" s="20"/>
      <c r="L19" s="20"/>
      <c r="M19" s="23" t="s">
        <v>60</v>
      </c>
      <c r="N19" s="20"/>
      <c r="O19" s="20"/>
      <c r="P19" s="23" t="s">
        <v>60</v>
      </c>
      <c r="Q19" s="20"/>
      <c r="R19" s="20"/>
      <c r="S19" s="23" t="s">
        <v>60</v>
      </c>
      <c r="T19" s="20"/>
      <c r="U19" s="20"/>
      <c r="V19" s="23" t="s">
        <v>60</v>
      </c>
      <c r="W19" s="20"/>
      <c r="X19" s="20"/>
      <c r="Y19" s="23" t="s">
        <v>60</v>
      </c>
      <c r="Z19" s="20"/>
      <c r="AA19" s="20"/>
      <c r="AB19" s="23" t="s">
        <v>60</v>
      </c>
      <c r="AC19" s="20"/>
      <c r="AD19" s="20"/>
      <c r="AE19" s="23" t="s">
        <v>60</v>
      </c>
      <c r="AF19" s="20"/>
    </row>
    <row r="20" spans="2:32" x14ac:dyDescent="0.25">
      <c r="B20" s="20"/>
      <c r="C20" s="20"/>
      <c r="D20" s="23" t="s">
        <v>60</v>
      </c>
      <c r="E20" s="20"/>
      <c r="F20" s="20"/>
      <c r="G20" s="23" t="s">
        <v>60</v>
      </c>
      <c r="H20" s="20"/>
      <c r="I20" s="20"/>
      <c r="J20" s="23" t="s">
        <v>60</v>
      </c>
      <c r="K20" s="20"/>
      <c r="L20" s="20"/>
      <c r="M20" s="23" t="s">
        <v>60</v>
      </c>
      <c r="N20" s="20"/>
      <c r="O20" s="20"/>
      <c r="P20" s="23" t="s">
        <v>60</v>
      </c>
      <c r="Q20" s="20"/>
      <c r="R20" s="20"/>
      <c r="S20" s="23" t="s">
        <v>60</v>
      </c>
      <c r="T20" s="20"/>
      <c r="U20" s="20"/>
      <c r="V20" s="23" t="s">
        <v>60</v>
      </c>
      <c r="W20" s="20"/>
      <c r="X20" s="20"/>
      <c r="Y20" s="23" t="s">
        <v>60</v>
      </c>
      <c r="Z20" s="20"/>
      <c r="AA20" s="20"/>
      <c r="AB20" s="23" t="s">
        <v>60</v>
      </c>
      <c r="AC20" s="20"/>
      <c r="AD20" s="20"/>
      <c r="AE20" s="23" t="s">
        <v>60</v>
      </c>
      <c r="AF20" s="20"/>
    </row>
    <row r="21" spans="2:32" x14ac:dyDescent="0.25">
      <c r="B21" s="20"/>
      <c r="C21" s="20"/>
      <c r="D21" s="23" t="s">
        <v>60</v>
      </c>
      <c r="E21" s="20"/>
      <c r="F21" s="20"/>
      <c r="G21" s="23" t="s">
        <v>60</v>
      </c>
      <c r="H21" s="20"/>
      <c r="I21" s="20"/>
      <c r="J21" s="23" t="s">
        <v>60</v>
      </c>
      <c r="K21" s="20"/>
      <c r="L21" s="20"/>
      <c r="M21" s="23" t="s">
        <v>60</v>
      </c>
      <c r="N21" s="20"/>
      <c r="O21" s="20"/>
      <c r="P21" s="23" t="s">
        <v>60</v>
      </c>
      <c r="Q21" s="20"/>
      <c r="R21" s="20"/>
      <c r="S21" s="23" t="s">
        <v>60</v>
      </c>
      <c r="T21" s="20"/>
      <c r="U21" s="20"/>
      <c r="V21" s="23" t="s">
        <v>60</v>
      </c>
      <c r="W21" s="20"/>
      <c r="X21" s="20"/>
      <c r="Y21" s="23" t="s">
        <v>60</v>
      </c>
      <c r="Z21" s="20"/>
      <c r="AA21" s="20"/>
      <c r="AB21" s="23" t="s">
        <v>60</v>
      </c>
      <c r="AC21" s="20"/>
      <c r="AD21" s="20"/>
      <c r="AE21" s="23" t="s">
        <v>60</v>
      </c>
      <c r="AF21" s="20"/>
    </row>
    <row r="22" spans="2:32" x14ac:dyDescent="0.25">
      <c r="B22" s="20"/>
      <c r="C22" s="20"/>
      <c r="D22" s="23" t="s">
        <v>60</v>
      </c>
      <c r="E22" s="20"/>
      <c r="F22" s="20"/>
      <c r="G22" s="23" t="s">
        <v>60</v>
      </c>
      <c r="H22" s="20"/>
      <c r="I22" s="20"/>
      <c r="J22" s="23" t="s">
        <v>60</v>
      </c>
      <c r="K22" s="20"/>
      <c r="L22" s="20"/>
      <c r="M22" s="23" t="s">
        <v>60</v>
      </c>
      <c r="N22" s="20"/>
      <c r="O22" s="20"/>
      <c r="P22" s="23" t="s">
        <v>60</v>
      </c>
      <c r="Q22" s="20"/>
      <c r="R22" s="20"/>
      <c r="S22" s="23" t="s">
        <v>60</v>
      </c>
      <c r="T22" s="20"/>
      <c r="U22" s="20"/>
      <c r="V22" s="23" t="s">
        <v>60</v>
      </c>
      <c r="W22" s="20"/>
      <c r="X22" s="20"/>
      <c r="Y22" s="23" t="s">
        <v>60</v>
      </c>
      <c r="Z22" s="20"/>
      <c r="AA22" s="20"/>
      <c r="AB22" s="23" t="s">
        <v>60</v>
      </c>
      <c r="AC22" s="20"/>
      <c r="AD22" s="20"/>
      <c r="AE22" s="23" t="s">
        <v>60</v>
      </c>
      <c r="AF22" s="20"/>
    </row>
    <row r="25" spans="2:32" x14ac:dyDescent="0.25">
      <c r="B25" s="73" t="s">
        <v>65</v>
      </c>
      <c r="C25" s="73"/>
      <c r="D25" s="73"/>
      <c r="E25" s="73"/>
      <c r="F25" s="73"/>
      <c r="L25" s="74" t="s">
        <v>64</v>
      </c>
      <c r="M25" s="74"/>
      <c r="N25" s="74"/>
      <c r="O25" s="74"/>
      <c r="P25" s="74"/>
      <c r="T25" s="75" t="s">
        <v>66</v>
      </c>
      <c r="U25" s="75"/>
      <c r="V25" s="75"/>
      <c r="W25" s="75"/>
      <c r="X25" s="75"/>
    </row>
    <row r="26" spans="2:32" x14ac:dyDescent="0.25">
      <c r="B26" s="2">
        <v>1</v>
      </c>
      <c r="C26" s="3" t="s">
        <v>47</v>
      </c>
      <c r="L26" s="2">
        <v>1</v>
      </c>
      <c r="M26" s="25" t="s">
        <v>51</v>
      </c>
      <c r="T26" s="2">
        <v>1</v>
      </c>
      <c r="U26" s="25" t="s">
        <v>55</v>
      </c>
    </row>
    <row r="27" spans="2:32" x14ac:dyDescent="0.25">
      <c r="B27" s="2">
        <v>2</v>
      </c>
      <c r="C27" s="3" t="s">
        <v>48</v>
      </c>
      <c r="L27" s="2">
        <v>2</v>
      </c>
      <c r="M27" s="25" t="s">
        <v>52</v>
      </c>
      <c r="T27" s="2">
        <v>2</v>
      </c>
      <c r="U27" s="25" t="s">
        <v>67</v>
      </c>
    </row>
    <row r="28" spans="2:32" x14ac:dyDescent="0.25">
      <c r="B28" s="2">
        <v>3</v>
      </c>
      <c r="C28" s="3" t="s">
        <v>49</v>
      </c>
      <c r="L28" s="2">
        <v>3</v>
      </c>
      <c r="M28" s="25" t="s">
        <v>53</v>
      </c>
      <c r="T28" s="2">
        <v>3</v>
      </c>
      <c r="U28" s="25" t="s">
        <v>56</v>
      </c>
    </row>
    <row r="29" spans="2:32" x14ac:dyDescent="0.25">
      <c r="B29" s="2">
        <v>4</v>
      </c>
      <c r="C29" s="3" t="s">
        <v>63</v>
      </c>
      <c r="L29" s="2">
        <v>4</v>
      </c>
      <c r="M29" s="25" t="s">
        <v>54</v>
      </c>
      <c r="T29" s="2">
        <v>4</v>
      </c>
      <c r="U29" s="25" t="s">
        <v>57</v>
      </c>
    </row>
    <row r="30" spans="2:32" x14ac:dyDescent="0.25">
      <c r="B30" s="2">
        <v>5</v>
      </c>
      <c r="C30" s="3" t="s">
        <v>50</v>
      </c>
    </row>
  </sheetData>
  <mergeCells count="6">
    <mergeCell ref="B4:AF4"/>
    <mergeCell ref="B3:AF3"/>
    <mergeCell ref="B2:AF2"/>
    <mergeCell ref="B25:F25"/>
    <mergeCell ref="L25:P25"/>
    <mergeCell ref="T25:X25"/>
  </mergeCells>
  <phoneticPr fontId="4" type="noConversion"/>
  <pageMargins left="0.63" right="0.7" top="0.75" bottom="0.75" header="0.3" footer="0.3"/>
  <pageSetup paperSize="5" scale="90" orientation="landscape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1"/>
  <sheetViews>
    <sheetView tabSelected="1" zoomScale="77" zoomScaleNormal="77" workbookViewId="0">
      <selection activeCell="L7" sqref="L7"/>
    </sheetView>
  </sheetViews>
  <sheetFormatPr defaultRowHeight="15" x14ac:dyDescent="0.25"/>
  <cols>
    <col min="1" max="1" width="4.85546875" style="18" customWidth="1"/>
    <col min="2" max="2" width="5.42578125" style="36" customWidth="1"/>
    <col min="3" max="3" width="15.7109375" customWidth="1"/>
    <col min="4" max="4" width="17.42578125" customWidth="1"/>
    <col min="5" max="5" width="23.85546875" customWidth="1"/>
    <col min="6" max="6" width="10.42578125" customWidth="1"/>
    <col min="7" max="7" width="10.28515625" customWidth="1"/>
    <col min="8" max="8" width="13" customWidth="1"/>
    <col min="9" max="9" width="15.7109375" customWidth="1"/>
    <col min="10" max="10" width="11.7109375" customWidth="1"/>
    <col min="11" max="11" width="12.42578125" customWidth="1"/>
    <col min="12" max="12" width="18.28515625" customWidth="1"/>
    <col min="13" max="13" width="5" customWidth="1"/>
    <col min="14" max="14" width="8.7109375" customWidth="1"/>
    <col min="15" max="15" width="29.5703125" customWidth="1"/>
    <col min="16" max="16" width="13.5703125" customWidth="1"/>
    <col min="17" max="17" width="23.28515625" customWidth="1"/>
    <col min="18" max="18" width="23.42578125" customWidth="1"/>
  </cols>
  <sheetData>
    <row r="1" spans="1:18" ht="23.25" x14ac:dyDescent="0.35">
      <c r="B1" s="78" t="s">
        <v>46</v>
      </c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</row>
    <row r="2" spans="1:18" ht="23.25" x14ac:dyDescent="0.35">
      <c r="B2" s="78" t="s">
        <v>44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</row>
    <row r="3" spans="1:18" ht="23.25" x14ac:dyDescent="0.35">
      <c r="B3" s="78" t="s">
        <v>72</v>
      </c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</row>
    <row r="5" spans="1:18" s="1" customFormat="1" ht="45" customHeight="1" x14ac:dyDescent="0.25">
      <c r="A5" s="33"/>
      <c r="B5" s="34" t="s">
        <v>0</v>
      </c>
      <c r="C5" s="6" t="s">
        <v>16</v>
      </c>
      <c r="D5" s="6" t="s">
        <v>11</v>
      </c>
      <c r="E5" s="6" t="s">
        <v>8</v>
      </c>
      <c r="F5" s="6" t="s">
        <v>9</v>
      </c>
      <c r="G5" s="6" t="s">
        <v>10</v>
      </c>
      <c r="H5" s="6" t="s">
        <v>1</v>
      </c>
      <c r="I5" s="6" t="s">
        <v>2</v>
      </c>
      <c r="J5" s="6" t="s">
        <v>3</v>
      </c>
      <c r="K5" s="6" t="s">
        <v>4</v>
      </c>
      <c r="L5" s="6" t="s">
        <v>5</v>
      </c>
      <c r="M5" s="79" t="s">
        <v>6</v>
      </c>
      <c r="N5" s="79"/>
      <c r="O5" s="6" t="s">
        <v>7</v>
      </c>
      <c r="P5" s="6" t="s">
        <v>17</v>
      </c>
      <c r="Q5" s="4" t="s">
        <v>70</v>
      </c>
      <c r="R5" s="4" t="s">
        <v>71</v>
      </c>
    </row>
    <row r="6" spans="1:18" s="45" customFormat="1" ht="200.1" customHeight="1" x14ac:dyDescent="0.25">
      <c r="B6" s="46">
        <v>1</v>
      </c>
      <c r="C6" s="46" t="s">
        <v>73</v>
      </c>
      <c r="D6" s="46" t="s">
        <v>74</v>
      </c>
      <c r="E6" s="46" t="s">
        <v>75</v>
      </c>
      <c r="F6" s="47" t="s">
        <v>69</v>
      </c>
      <c r="G6" s="46" t="s">
        <v>12</v>
      </c>
      <c r="H6" s="47">
        <v>46026</v>
      </c>
      <c r="I6" s="46" t="s">
        <v>76</v>
      </c>
      <c r="J6" s="46">
        <v>11.7</v>
      </c>
      <c r="K6" s="48">
        <v>4.12</v>
      </c>
      <c r="L6" s="46" t="s">
        <v>77</v>
      </c>
      <c r="M6" s="49">
        <v>15</v>
      </c>
      <c r="N6" s="50" t="s">
        <v>18</v>
      </c>
      <c r="O6" s="46" t="s">
        <v>78</v>
      </c>
      <c r="P6" s="46" t="s">
        <v>79</v>
      </c>
      <c r="Q6" s="46" t="s">
        <v>80</v>
      </c>
      <c r="R6" s="46">
        <v>114.7333869</v>
      </c>
    </row>
    <row r="7" spans="1:18" s="29" customFormat="1" ht="294" customHeight="1" x14ac:dyDescent="0.25">
      <c r="B7" s="40">
        <v>2</v>
      </c>
      <c r="C7" s="41" t="s">
        <v>81</v>
      </c>
      <c r="D7" s="41" t="s">
        <v>82</v>
      </c>
      <c r="E7" s="41" t="s">
        <v>83</v>
      </c>
      <c r="F7" s="40"/>
      <c r="G7" s="40" t="s">
        <v>15</v>
      </c>
      <c r="H7" s="42">
        <v>46026</v>
      </c>
      <c r="I7" s="41" t="s">
        <v>14</v>
      </c>
      <c r="J7" s="40">
        <v>8</v>
      </c>
      <c r="K7" s="40">
        <v>11.4</v>
      </c>
      <c r="L7" s="40" t="s">
        <v>84</v>
      </c>
      <c r="M7" s="43">
        <v>15</v>
      </c>
      <c r="N7" s="44" t="s">
        <v>18</v>
      </c>
      <c r="O7" s="41" t="s">
        <v>85</v>
      </c>
      <c r="P7" s="41" t="s">
        <v>86</v>
      </c>
      <c r="Q7" s="40" t="s">
        <v>87</v>
      </c>
      <c r="R7" s="40" t="s">
        <v>88</v>
      </c>
    </row>
    <row r="8" spans="1:18" s="51" customFormat="1" ht="200.1" customHeight="1" x14ac:dyDescent="0.25">
      <c r="B8" s="41">
        <v>3</v>
      </c>
      <c r="C8" s="41" t="s">
        <v>90</v>
      </c>
      <c r="D8" s="41" t="s">
        <v>89</v>
      </c>
      <c r="E8" s="41"/>
      <c r="F8" s="41" t="s">
        <v>69</v>
      </c>
      <c r="G8" s="41" t="s">
        <v>15</v>
      </c>
      <c r="H8" s="52">
        <v>46207</v>
      </c>
      <c r="I8" s="41" t="s">
        <v>91</v>
      </c>
      <c r="J8" s="41" t="s">
        <v>96</v>
      </c>
      <c r="K8" s="53">
        <v>0.52013888888888882</v>
      </c>
      <c r="L8" s="53" t="s">
        <v>92</v>
      </c>
      <c r="M8" s="54">
        <v>2</v>
      </c>
      <c r="N8" s="44" t="s">
        <v>18</v>
      </c>
      <c r="O8" s="41" t="s">
        <v>93</v>
      </c>
      <c r="P8" s="41" t="s">
        <v>97</v>
      </c>
      <c r="Q8" s="40" t="s">
        <v>94</v>
      </c>
      <c r="R8" s="40" t="s">
        <v>95</v>
      </c>
    </row>
    <row r="9" spans="1:18" s="29" customFormat="1" ht="239.25" customHeight="1" x14ac:dyDescent="0.25">
      <c r="A9" s="32"/>
      <c r="B9" s="19">
        <v>4</v>
      </c>
      <c r="C9" s="28" t="s">
        <v>101</v>
      </c>
      <c r="D9" s="28" t="s">
        <v>98</v>
      </c>
      <c r="E9" s="28"/>
      <c r="F9" s="28"/>
      <c r="G9" s="28" t="s">
        <v>100</v>
      </c>
      <c r="H9" s="37">
        <v>46238</v>
      </c>
      <c r="I9" s="28" t="s">
        <v>14</v>
      </c>
      <c r="J9" s="28" t="s">
        <v>106</v>
      </c>
      <c r="K9" s="38">
        <v>0.58194444444444449</v>
      </c>
      <c r="L9" s="38" t="s">
        <v>102</v>
      </c>
      <c r="M9" s="30">
        <v>23</v>
      </c>
      <c r="N9" s="7" t="s">
        <v>18</v>
      </c>
      <c r="O9" s="28" t="s">
        <v>103</v>
      </c>
      <c r="P9" s="28" t="s">
        <v>99</v>
      </c>
      <c r="Q9" s="5" t="s">
        <v>104</v>
      </c>
      <c r="R9" s="5" t="s">
        <v>105</v>
      </c>
    </row>
    <row r="10" spans="1:18" s="55" customFormat="1" ht="200.1" customHeight="1" x14ac:dyDescent="0.25">
      <c r="B10" s="56">
        <v>5</v>
      </c>
      <c r="C10" s="56" t="s">
        <v>109</v>
      </c>
      <c r="D10" s="56" t="s">
        <v>107</v>
      </c>
      <c r="E10" s="56"/>
      <c r="F10" s="57"/>
      <c r="G10" s="56" t="str">
        <f>G9</f>
        <v>Regu 2</v>
      </c>
      <c r="H10" s="58" t="s">
        <v>110</v>
      </c>
      <c r="I10" s="56" t="s">
        <v>115</v>
      </c>
      <c r="J10" s="59" t="s">
        <v>114</v>
      </c>
      <c r="K10" s="59"/>
      <c r="L10" s="60" t="s">
        <v>116</v>
      </c>
      <c r="M10" s="61">
        <v>16</v>
      </c>
      <c r="N10" s="62" t="s">
        <v>18</v>
      </c>
      <c r="O10" s="63" t="s">
        <v>111</v>
      </c>
      <c r="P10" s="56" t="s">
        <v>108</v>
      </c>
      <c r="Q10" s="59" t="s">
        <v>112</v>
      </c>
      <c r="R10" s="59" t="s">
        <v>113</v>
      </c>
    </row>
    <row r="11" spans="1:18" s="29" customFormat="1" ht="281.25" customHeight="1" x14ac:dyDescent="0.25">
      <c r="A11" s="32"/>
      <c r="B11" s="19">
        <v>6</v>
      </c>
      <c r="C11" s="28" t="s">
        <v>117</v>
      </c>
      <c r="D11" s="28" t="s">
        <v>118</v>
      </c>
      <c r="E11" s="28"/>
      <c r="F11" s="28"/>
      <c r="G11" s="28" t="s">
        <v>12</v>
      </c>
      <c r="H11" s="31" t="s">
        <v>119</v>
      </c>
      <c r="I11" s="28" t="str">
        <f>I12</f>
        <v>Edukasi</v>
      </c>
      <c r="J11" s="19"/>
      <c r="K11" s="19"/>
      <c r="L11" s="28" t="s">
        <v>120</v>
      </c>
      <c r="M11" s="30"/>
      <c r="N11" s="7" t="s">
        <v>18</v>
      </c>
      <c r="O11" s="28" t="s">
        <v>121</v>
      </c>
      <c r="P11" s="28" t="s">
        <v>122</v>
      </c>
      <c r="Q11" s="19"/>
      <c r="R11" s="19"/>
    </row>
    <row r="12" spans="1:18" s="60" customFormat="1" ht="200.1" customHeight="1" x14ac:dyDescent="0.25">
      <c r="B12" s="56">
        <v>7</v>
      </c>
      <c r="C12" s="56" t="s">
        <v>123</v>
      </c>
      <c r="D12" s="56" t="s">
        <v>124</v>
      </c>
      <c r="E12" s="56"/>
      <c r="F12" s="59"/>
      <c r="G12" s="56" t="s">
        <v>100</v>
      </c>
      <c r="H12" s="58" t="s">
        <v>125</v>
      </c>
      <c r="I12" s="56" t="s">
        <v>133</v>
      </c>
      <c r="J12" s="59"/>
      <c r="K12" s="59"/>
      <c r="L12" s="56" t="s">
        <v>127</v>
      </c>
      <c r="M12" s="61"/>
      <c r="N12" s="62" t="s">
        <v>18</v>
      </c>
      <c r="O12" s="56" t="s">
        <v>128</v>
      </c>
      <c r="P12" s="56" t="s">
        <v>126</v>
      </c>
      <c r="Q12" s="59">
        <v>-3.4496375000000001</v>
      </c>
      <c r="R12" s="59" t="s">
        <v>129</v>
      </c>
    </row>
    <row r="13" spans="1:18" s="64" customFormat="1" ht="213.75" customHeight="1" x14ac:dyDescent="0.25">
      <c r="B13" s="65">
        <v>8</v>
      </c>
      <c r="C13" s="46" t="s">
        <v>130</v>
      </c>
      <c r="D13" s="46" t="s">
        <v>131</v>
      </c>
      <c r="E13" s="46"/>
      <c r="F13" s="65"/>
      <c r="G13" s="46" t="s">
        <v>12</v>
      </c>
      <c r="H13" s="66" t="s">
        <v>132</v>
      </c>
      <c r="I13" s="46" t="str">
        <f>I12</f>
        <v>Edukasi</v>
      </c>
      <c r="J13" s="46" t="s">
        <v>138</v>
      </c>
      <c r="K13" s="65"/>
      <c r="L13" s="46" t="s">
        <v>134</v>
      </c>
      <c r="M13" s="49">
        <v>2</v>
      </c>
      <c r="N13" s="50" t="s">
        <v>18</v>
      </c>
      <c r="O13" s="46" t="s">
        <v>135</v>
      </c>
      <c r="P13" s="46" t="s">
        <v>136</v>
      </c>
      <c r="Q13" s="65">
        <v>-3.4359703000000001</v>
      </c>
      <c r="R13" s="65" t="s">
        <v>137</v>
      </c>
    </row>
    <row r="14" spans="1:18" s="64" customFormat="1" ht="200.1" customHeight="1" x14ac:dyDescent="0.25">
      <c r="B14" s="46">
        <v>9</v>
      </c>
      <c r="C14" s="46" t="s">
        <v>139</v>
      </c>
      <c r="D14" s="46" t="s">
        <v>140</v>
      </c>
      <c r="E14" s="46" t="s">
        <v>141</v>
      </c>
      <c r="F14" s="65"/>
      <c r="G14" s="46" t="s">
        <v>12</v>
      </c>
      <c r="H14" s="47" t="s">
        <v>142</v>
      </c>
      <c r="I14" s="46" t="s">
        <v>143</v>
      </c>
      <c r="J14" s="65" t="s">
        <v>147</v>
      </c>
      <c r="K14" s="65" t="s">
        <v>149</v>
      </c>
      <c r="L14" s="46" t="s">
        <v>148</v>
      </c>
      <c r="M14" s="49">
        <v>11</v>
      </c>
      <c r="N14" s="50" t="s">
        <v>18</v>
      </c>
      <c r="O14" s="46" t="s">
        <v>145</v>
      </c>
      <c r="P14" s="46" t="s">
        <v>144</v>
      </c>
      <c r="Q14" s="65">
        <v>-3.472302</v>
      </c>
      <c r="R14" s="65" t="s">
        <v>146</v>
      </c>
    </row>
    <row r="15" spans="1:18" s="60" customFormat="1" ht="200.1" customHeight="1" x14ac:dyDescent="0.25">
      <c r="B15" s="59">
        <v>10</v>
      </c>
      <c r="C15" s="56" t="s">
        <v>150</v>
      </c>
      <c r="D15" s="56" t="s">
        <v>155</v>
      </c>
      <c r="E15" s="56" t="s">
        <v>154</v>
      </c>
      <c r="F15" s="56"/>
      <c r="G15" s="56" t="s">
        <v>100</v>
      </c>
      <c r="H15" s="58" t="s">
        <v>156</v>
      </c>
      <c r="I15" s="56" t="str">
        <f>I14</f>
        <v xml:space="preserve"> Kebakaran Bangunan</v>
      </c>
      <c r="J15" s="59" t="s">
        <v>159</v>
      </c>
      <c r="K15" s="59" t="s">
        <v>151</v>
      </c>
      <c r="L15" s="56" t="s">
        <v>152</v>
      </c>
      <c r="M15" s="61">
        <v>10</v>
      </c>
      <c r="N15" s="62" t="s">
        <v>18</v>
      </c>
      <c r="O15" s="56" t="s">
        <v>153</v>
      </c>
      <c r="P15" s="56" t="s">
        <v>157</v>
      </c>
      <c r="Q15" s="59">
        <v>-3.4617209999999998</v>
      </c>
      <c r="R15" s="59" t="s">
        <v>158</v>
      </c>
    </row>
    <row r="16" spans="1:18" s="29" customFormat="1" ht="200.1" customHeight="1" x14ac:dyDescent="0.25">
      <c r="B16" s="40">
        <v>11</v>
      </c>
      <c r="C16" s="41" t="s">
        <v>161</v>
      </c>
      <c r="D16" s="41" t="s">
        <v>160</v>
      </c>
      <c r="E16" s="41"/>
      <c r="F16" s="41"/>
      <c r="G16" s="41" t="s">
        <v>15</v>
      </c>
      <c r="H16" s="52" t="s">
        <v>163</v>
      </c>
      <c r="I16" s="41" t="s">
        <v>164</v>
      </c>
      <c r="J16" s="40"/>
      <c r="K16" s="40"/>
      <c r="L16" s="41" t="s">
        <v>134</v>
      </c>
      <c r="M16" s="54"/>
      <c r="N16" s="44"/>
      <c r="O16" s="41" t="s">
        <v>162</v>
      </c>
      <c r="P16" s="41" t="s">
        <v>157</v>
      </c>
      <c r="Q16" s="40"/>
      <c r="R16" s="40"/>
    </row>
    <row r="17" spans="1:18" s="32" customFormat="1" ht="200.1" customHeight="1" x14ac:dyDescent="0.25">
      <c r="B17" s="19">
        <v>12</v>
      </c>
      <c r="C17" s="28" t="s">
        <v>165</v>
      </c>
      <c r="D17" s="28" t="s">
        <v>166</v>
      </c>
      <c r="E17" s="28"/>
      <c r="F17" s="28"/>
      <c r="G17" s="28" t="s">
        <v>100</v>
      </c>
      <c r="H17" s="31" t="s">
        <v>167</v>
      </c>
      <c r="I17" s="28" t="s">
        <v>133</v>
      </c>
      <c r="J17" s="19"/>
      <c r="K17" s="19"/>
      <c r="L17" s="28" t="s">
        <v>170</v>
      </c>
      <c r="M17" s="30"/>
      <c r="N17" s="67"/>
      <c r="O17" s="28" t="s">
        <v>169</v>
      </c>
      <c r="P17" s="28" t="s">
        <v>168</v>
      </c>
      <c r="Q17" s="19"/>
      <c r="R17" s="19"/>
    </row>
    <row r="18" spans="1:18" s="32" customFormat="1" ht="200.1" customHeight="1" x14ac:dyDescent="0.25">
      <c r="B18" s="19">
        <v>13</v>
      </c>
      <c r="C18" s="28" t="s">
        <v>171</v>
      </c>
      <c r="D18" s="28" t="s">
        <v>172</v>
      </c>
      <c r="E18" s="28"/>
      <c r="F18" s="28"/>
      <c r="G18" s="28" t="s">
        <v>188</v>
      </c>
      <c r="H18" s="31" t="s">
        <v>174</v>
      </c>
      <c r="I18" s="28" t="s">
        <v>173</v>
      </c>
      <c r="J18" s="19" t="s">
        <v>179</v>
      </c>
      <c r="K18" s="39">
        <v>0.69305555555555554</v>
      </c>
      <c r="L18" s="28" t="s">
        <v>175</v>
      </c>
      <c r="M18" s="30">
        <v>14</v>
      </c>
      <c r="N18" s="67"/>
      <c r="O18" s="28" t="s">
        <v>176</v>
      </c>
      <c r="P18" s="28" t="s">
        <v>177</v>
      </c>
      <c r="Q18" s="19">
        <v>-3.4229449999999999</v>
      </c>
      <c r="R18" s="19" t="s">
        <v>178</v>
      </c>
    </row>
    <row r="19" spans="1:18" s="32" customFormat="1" ht="207" customHeight="1" x14ac:dyDescent="0.25">
      <c r="B19" s="19">
        <v>14</v>
      </c>
      <c r="C19" s="28" t="s">
        <v>180</v>
      </c>
      <c r="D19" s="28" t="s">
        <v>181</v>
      </c>
      <c r="E19" s="28" t="s">
        <v>183</v>
      </c>
      <c r="F19" s="28"/>
      <c r="G19" s="28" t="s">
        <v>188</v>
      </c>
      <c r="H19" s="31" t="s">
        <v>174</v>
      </c>
      <c r="I19" s="28" t="s">
        <v>14</v>
      </c>
      <c r="J19" s="19" t="s">
        <v>187</v>
      </c>
      <c r="K19" s="39">
        <v>0.84027777777777779</v>
      </c>
      <c r="L19" s="28" t="s">
        <v>184</v>
      </c>
      <c r="M19" s="30">
        <v>11</v>
      </c>
      <c r="N19" s="67"/>
      <c r="O19" s="28" t="s">
        <v>182</v>
      </c>
      <c r="P19" s="28" t="s">
        <v>185</v>
      </c>
      <c r="Q19" s="19">
        <v>-3.4546054000000002</v>
      </c>
      <c r="R19" s="19" t="s">
        <v>186</v>
      </c>
    </row>
    <row r="20" spans="1:18" s="32" customFormat="1" ht="200.1" customHeight="1" x14ac:dyDescent="0.25">
      <c r="A20" s="35"/>
      <c r="B20" s="28"/>
      <c r="C20" s="28"/>
      <c r="D20" s="28"/>
      <c r="E20" s="28"/>
      <c r="F20" s="19"/>
      <c r="G20" s="28"/>
      <c r="H20" s="31"/>
      <c r="I20" s="28"/>
      <c r="J20" s="19"/>
      <c r="K20" s="19"/>
      <c r="L20" s="28"/>
      <c r="M20" s="30"/>
      <c r="N20" s="67"/>
      <c r="O20" s="28"/>
      <c r="P20" s="28"/>
      <c r="Q20" s="19"/>
      <c r="R20" s="19"/>
    </row>
    <row r="21" spans="1:18" x14ac:dyDescent="0.25">
      <c r="M21" s="26">
        <f>SUM(M6:M20)</f>
        <v>119</v>
      </c>
      <c r="N21" s="27" t="s">
        <v>18</v>
      </c>
    </row>
    <row r="22" spans="1:18" x14ac:dyDescent="0.25">
      <c r="L22" s="9" t="s">
        <v>6</v>
      </c>
      <c r="M22" s="10">
        <f>M21/4</f>
        <v>29.75</v>
      </c>
      <c r="N22" s="11" t="s">
        <v>18</v>
      </c>
      <c r="O22" t="s">
        <v>13</v>
      </c>
      <c r="P22" s="2">
        <v>1</v>
      </c>
    </row>
    <row r="23" spans="1:18" x14ac:dyDescent="0.25">
      <c r="O23" s="8" t="s">
        <v>14</v>
      </c>
      <c r="P23" s="2">
        <v>3</v>
      </c>
    </row>
    <row r="24" spans="1:18" x14ac:dyDescent="0.25">
      <c r="O24" t="s">
        <v>19</v>
      </c>
      <c r="P24" s="2">
        <v>7</v>
      </c>
    </row>
    <row r="25" spans="1:18" x14ac:dyDescent="0.25">
      <c r="O25" t="s">
        <v>68</v>
      </c>
      <c r="P25" s="2">
        <v>1</v>
      </c>
    </row>
    <row r="26" spans="1:18" ht="20.100000000000001" customHeight="1" x14ac:dyDescent="0.25">
      <c r="H26" s="12" t="s">
        <v>20</v>
      </c>
      <c r="K26" s="13" t="s">
        <v>21</v>
      </c>
      <c r="O26" s="13" t="s">
        <v>22</v>
      </c>
    </row>
    <row r="27" spans="1:18" ht="20.100000000000001" customHeight="1" x14ac:dyDescent="0.25">
      <c r="C27" s="76" t="s">
        <v>23</v>
      </c>
      <c r="D27" s="76"/>
      <c r="E27" s="14" t="s">
        <v>24</v>
      </c>
      <c r="F27" s="15"/>
      <c r="G27" s="16" t="s">
        <v>25</v>
      </c>
      <c r="H27" s="8" t="s">
        <v>26</v>
      </c>
      <c r="J27" s="16" t="s">
        <v>25</v>
      </c>
      <c r="K27" t="s">
        <v>27</v>
      </c>
      <c r="N27" s="16" t="s">
        <v>25</v>
      </c>
      <c r="O27" s="8" t="s">
        <v>28</v>
      </c>
    </row>
    <row r="28" spans="1:18" ht="20.100000000000001" customHeight="1" x14ac:dyDescent="0.25">
      <c r="C28" s="76" t="s">
        <v>29</v>
      </c>
      <c r="D28" s="76"/>
      <c r="E28" s="14" t="s">
        <v>30</v>
      </c>
      <c r="G28" s="16" t="s">
        <v>31</v>
      </c>
      <c r="H28" s="17" t="s">
        <v>32</v>
      </c>
      <c r="J28" s="16" t="s">
        <v>31</v>
      </c>
      <c r="K28" t="s">
        <v>33</v>
      </c>
      <c r="N28" s="16" t="s">
        <v>31</v>
      </c>
      <c r="O28" t="s">
        <v>34</v>
      </c>
    </row>
    <row r="29" spans="1:18" ht="20.100000000000001" customHeight="1" x14ac:dyDescent="0.25">
      <c r="C29" s="76" t="s">
        <v>35</v>
      </c>
      <c r="D29" s="76"/>
      <c r="E29" s="77" t="s">
        <v>36</v>
      </c>
      <c r="F29" s="77"/>
      <c r="G29" s="16" t="s">
        <v>31</v>
      </c>
      <c r="H29" s="17" t="s">
        <v>37</v>
      </c>
      <c r="J29" s="16" t="s">
        <v>31</v>
      </c>
      <c r="K29" t="s">
        <v>38</v>
      </c>
      <c r="N29" s="16" t="s">
        <v>31</v>
      </c>
      <c r="O29" t="s">
        <v>39</v>
      </c>
    </row>
    <row r="30" spans="1:18" ht="20.100000000000001" customHeight="1" x14ac:dyDescent="0.25">
      <c r="G30" s="16" t="s">
        <v>31</v>
      </c>
      <c r="H30" s="17" t="s">
        <v>40</v>
      </c>
      <c r="J30" s="16" t="s">
        <v>31</v>
      </c>
      <c r="K30" t="s">
        <v>41</v>
      </c>
      <c r="N30" s="16" t="s">
        <v>31</v>
      </c>
      <c r="O30" t="s">
        <v>42</v>
      </c>
    </row>
    <row r="31" spans="1:18" ht="20.100000000000001" customHeight="1" x14ac:dyDescent="0.25">
      <c r="G31" s="16" t="s">
        <v>31</v>
      </c>
      <c r="H31" s="17" t="s">
        <v>43</v>
      </c>
    </row>
  </sheetData>
  <mergeCells count="8">
    <mergeCell ref="C29:D29"/>
    <mergeCell ref="E29:F29"/>
    <mergeCell ref="B3:P3"/>
    <mergeCell ref="B2:P2"/>
    <mergeCell ref="B1:P1"/>
    <mergeCell ref="M5:N5"/>
    <mergeCell ref="C27:D27"/>
    <mergeCell ref="C28:D28"/>
  </mergeCells>
  <phoneticPr fontId="4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Jadwal Petugas Piket</vt:lpstr>
      <vt:lpstr>Laporan Kegiatan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user</cp:lastModifiedBy>
  <dcterms:created xsi:type="dcterms:W3CDTF">2026-02-11T01:48:39Z</dcterms:created>
  <dcterms:modified xsi:type="dcterms:W3CDTF">2026-05-22T02:11:10Z</dcterms:modified>
</cp:coreProperties>
</file>