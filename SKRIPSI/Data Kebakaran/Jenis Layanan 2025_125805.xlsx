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DAMKAR 2025\IKK\"/>
    </mc:Choice>
  </mc:AlternateContent>
  <xr:revisionPtr revIDLastSave="0" documentId="13_ncr:1_{07ED9EE7-965C-4A4C-B200-96C3B238E0B5}" xr6:coauthVersionLast="47" xr6:coauthVersionMax="47" xr10:uidLastSave="{00000000-0000-0000-0000-000000000000}"/>
  <bookViews>
    <workbookView xWindow="-120" yWindow="-120" windowWidth="20730" windowHeight="11040" firstSheet="4" activeTab="6" xr2:uid="{00000000-000D-0000-FFFF-FFFF00000000}"/>
  </bookViews>
  <sheets>
    <sheet name="RELAWAN" sheetId="2" r:id="rId1"/>
    <sheet name="APARATUR" sheetId="3" r:id="rId2"/>
    <sheet name="JUMLAH KAPASITAS" sheetId="12" r:id="rId3"/>
    <sheet name="SAPRAS" sheetId="4" r:id="rId4"/>
    <sheet name="DATA POS " sheetId="6" r:id="rId5"/>
    <sheet name="EVAKUASI" sheetId="7" r:id="rId6"/>
    <sheet name="Rekap Evakuasi" sheetId="13" r:id="rId7"/>
    <sheet name="RESPONSE TIME" sheetId="9" r:id="rId8"/>
    <sheet name="Sheet2" sheetId="11" r:id="rId9"/>
    <sheet name="Rekap Kebakaran 2025" sheetId="14" r:id="rId10"/>
  </sheets>
  <definedNames>
    <definedName name="_xlnm.Print_Area" localSheetId="6">'Rekap Evakuasi'!$A$1:$O$41</definedName>
    <definedName name="_xlnm.Print_Area" localSheetId="3">SAPRAS!$A$1:$Q$36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1" i="13" l="1"/>
  <c r="D39" i="13"/>
  <c r="E39" i="13"/>
  <c r="F39" i="13"/>
  <c r="G39" i="13"/>
  <c r="H39" i="13"/>
  <c r="I39" i="13"/>
  <c r="J39" i="13"/>
  <c r="K39" i="13"/>
  <c r="L39" i="13"/>
  <c r="M39" i="13"/>
  <c r="N39" i="13"/>
  <c r="C39" i="13"/>
  <c r="O48" i="13"/>
  <c r="D45" i="13"/>
  <c r="E45" i="13"/>
  <c r="F45" i="13"/>
  <c r="G45" i="13"/>
  <c r="H45" i="13"/>
  <c r="I45" i="13"/>
  <c r="J45" i="13"/>
  <c r="K45" i="13"/>
  <c r="L45" i="13"/>
  <c r="M45" i="13"/>
  <c r="N45" i="13"/>
  <c r="C45" i="13"/>
  <c r="A32" i="13"/>
  <c r="A33" i="13" s="1"/>
  <c r="A34" i="13" s="1"/>
  <c r="A35" i="13" s="1"/>
  <c r="A36" i="13" s="1"/>
  <c r="A37" i="13" s="1"/>
  <c r="A38" i="13" s="1"/>
  <c r="O38" i="13"/>
  <c r="O37" i="13"/>
  <c r="O50" i="13"/>
  <c r="O49" i="13"/>
  <c r="O46" i="13"/>
  <c r="C44" i="13"/>
  <c r="D44" i="13"/>
  <c r="E44" i="13"/>
  <c r="F44" i="13"/>
  <c r="G44" i="13"/>
  <c r="H44" i="13"/>
  <c r="I44" i="13"/>
  <c r="J44" i="13"/>
  <c r="K44" i="13"/>
  <c r="O20" i="13"/>
  <c r="N44" i="13"/>
  <c r="M44" i="13"/>
  <c r="L44" i="13"/>
  <c r="W61" i="9"/>
  <c r="N33" i="14"/>
  <c r="M33" i="14"/>
  <c r="L33" i="14"/>
  <c r="K33" i="14"/>
  <c r="J33" i="14"/>
  <c r="I33" i="14"/>
  <c r="H33" i="14"/>
  <c r="G33" i="14"/>
  <c r="F33" i="14"/>
  <c r="E33" i="14"/>
  <c r="D33" i="14"/>
  <c r="C33" i="14"/>
  <c r="O33" i="14" s="1"/>
  <c r="O32" i="14"/>
  <c r="O31" i="14"/>
  <c r="O30" i="14"/>
  <c r="O29" i="14"/>
  <c r="O28" i="14" s="1"/>
  <c r="O26" i="14"/>
  <c r="O25" i="14"/>
  <c r="O24" i="14"/>
  <c r="O23" i="14"/>
  <c r="O22" i="14" s="1"/>
  <c r="O20" i="14"/>
  <c r="O19" i="14"/>
  <c r="O16" i="14" s="1"/>
  <c r="O18" i="14"/>
  <c r="O17" i="14"/>
  <c r="O14" i="14"/>
  <c r="O13" i="14"/>
  <c r="O12" i="14"/>
  <c r="O11" i="14"/>
  <c r="O10" i="14"/>
  <c r="O8" i="14"/>
  <c r="O7" i="14"/>
  <c r="O6" i="14"/>
  <c r="O5" i="14"/>
  <c r="O4" i="14" s="1"/>
  <c r="O45" i="13" l="1"/>
  <c r="O44" i="13"/>
  <c r="L60" i="9"/>
  <c r="M60" i="9"/>
  <c r="N60" i="9"/>
  <c r="O60" i="9"/>
  <c r="P60" i="9"/>
  <c r="Q60" i="9"/>
  <c r="K60" i="9"/>
  <c r="O36" i="13" l="1"/>
  <c r="O35" i="13"/>
  <c r="O34" i="13"/>
  <c r="O33" i="13"/>
  <c r="O32" i="13"/>
  <c r="O31" i="13"/>
  <c r="O30" i="13"/>
  <c r="O29" i="13"/>
  <c r="O28" i="13"/>
  <c r="O27" i="13"/>
  <c r="O26" i="13"/>
  <c r="O25" i="13"/>
  <c r="O24" i="13"/>
  <c r="O23" i="13"/>
  <c r="O22" i="13"/>
  <c r="O21" i="13"/>
  <c r="O19" i="13"/>
  <c r="O18" i="13"/>
  <c r="O17" i="13"/>
  <c r="O16" i="13"/>
  <c r="O15" i="13"/>
  <c r="O14" i="13"/>
  <c r="O13" i="13"/>
  <c r="O12" i="13"/>
  <c r="O11" i="13"/>
  <c r="O10" i="13"/>
  <c r="O9" i="13"/>
  <c r="O8" i="13"/>
  <c r="O7" i="13"/>
  <c r="O6" i="13"/>
  <c r="A6" i="13"/>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O5" i="13"/>
  <c r="O39" i="13" l="1"/>
  <c r="L41" i="13"/>
  <c r="S18" i="13"/>
  <c r="C41" i="13"/>
  <c r="F41" i="13"/>
  <c r="I41" i="13"/>
  <c r="J5" i="11"/>
  <c r="W60" i="9" l="1"/>
  <c r="I5" i="11" s="1"/>
  <c r="L5" i="11" s="1"/>
  <c r="N5" i="11" s="1"/>
  <c r="B5" i="11"/>
  <c r="C5" i="11"/>
  <c r="D5" i="11"/>
  <c r="E5" i="11"/>
  <c r="F5" i="11"/>
  <c r="G5" i="11"/>
  <c r="H5" i="11"/>
  <c r="J60" i="9"/>
  <c r="A5" i="11" s="1"/>
</calcChain>
</file>

<file path=xl/sharedStrings.xml><?xml version="1.0" encoding="utf-8"?>
<sst xmlns="http://schemas.openxmlformats.org/spreadsheetml/2006/main" count="4867" uniqueCount="2958">
  <si>
    <t xml:space="preserve">NIK </t>
  </si>
  <si>
    <t>NAMA</t>
  </si>
  <si>
    <t>NO</t>
  </si>
  <si>
    <t>PEMERINTAH KOTA BANJARBARU</t>
  </si>
  <si>
    <t>SATUAN POLISI PAMONG PRAJA</t>
  </si>
  <si>
    <t>Website : Satpolpp.banjarbarukota.go.id – Email  : admin@satpolpp.banjarbarukota.go.id</t>
  </si>
  <si>
    <t>Alamat : Jl. Pangeran Antasari No. 7 Banjarbaru Kalimantan Selatan</t>
  </si>
  <si>
    <t xml:space="preserve">BINAAN UPT PEMADAM KEBAKARAN DAN PENYELAMATAN </t>
  </si>
  <si>
    <t xml:space="preserve"> KOTA BANJARBARU</t>
  </si>
  <si>
    <t>RELAWAN KEBAKARAN</t>
  </si>
  <si>
    <t>APARATUR PEMADAM KEBAKARAN YANG MEMENUHI STANDAR KUALIFIKASI PEMADAM</t>
  </si>
  <si>
    <t>PERATURAN MENTERI DALAM NEGERI NO. 16 TAHUN 2009 TENTANG STANDAR KUALIFIKASI APARATUR PEMADAM KEBAKARAN</t>
  </si>
  <si>
    <t xml:space="preserve"> TANDA TANGAN SERTIFIKAT</t>
  </si>
  <si>
    <t>SERTIFIKAT KOMPETENSI</t>
  </si>
  <si>
    <t>ADE SUSANTO</t>
  </si>
  <si>
    <t>RANU WIBOWO</t>
  </si>
  <si>
    <t>PEMADAM 1</t>
  </si>
  <si>
    <t>NO REGISTRASI</t>
  </si>
  <si>
    <t>DITJEN BINA ADWIL KEMENDAGRI</t>
  </si>
  <si>
    <t>JENIS SARANA PRASARANA PEMADAMAN, PENYELAMATAN DAN EVAKUASI</t>
  </si>
  <si>
    <t>JUMLAH</t>
  </si>
  <si>
    <t>UPT PEMADAM KEBAKARAN DAN PENYELAMATAN KOTA BANJARBARU</t>
  </si>
  <si>
    <t>KONDISI</t>
  </si>
  <si>
    <t>POS SEKTOR DAMKAR YANG DILENGKAPI SARANA PRASARANA DAMKAR, PRASARANA PENYELAMATAN DI KECAMATAN</t>
  </si>
  <si>
    <t xml:space="preserve">KECAMATAN </t>
  </si>
  <si>
    <t>JUMLAH POS</t>
  </si>
  <si>
    <t>KETERANGAN</t>
  </si>
  <si>
    <t>Banjarbaru Selatan</t>
  </si>
  <si>
    <t>Posko UPT Pemadam Kebakaran</t>
  </si>
  <si>
    <t>Kepala Satuan Polisi Pamong Praja</t>
  </si>
  <si>
    <t>Pembina Utama Muda</t>
  </si>
  <si>
    <t>HARI/TGL</t>
  </si>
  <si>
    <t>JAM</t>
  </si>
  <si>
    <t>INFO VIA</t>
  </si>
  <si>
    <t>KEGIATAN</t>
  </si>
  <si>
    <t>Hewan</t>
  </si>
  <si>
    <t>DLL</t>
  </si>
  <si>
    <t xml:space="preserve">KORBAN </t>
  </si>
  <si>
    <t>PETUGAS/UNIT OPS</t>
  </si>
  <si>
    <t>KET</t>
  </si>
  <si>
    <t>TELP/RADIO</t>
  </si>
  <si>
    <t>MD (org)</t>
  </si>
  <si>
    <t>CEDERA</t>
  </si>
  <si>
    <t>KK</t>
  </si>
  <si>
    <t>JW</t>
  </si>
  <si>
    <t>tawon</t>
  </si>
  <si>
    <t>ular</t>
  </si>
  <si>
    <t>kucing</t>
  </si>
  <si>
    <t>lebah</t>
  </si>
  <si>
    <t>cincin</t>
  </si>
  <si>
    <t>biawak</t>
  </si>
  <si>
    <t>monyet</t>
  </si>
  <si>
    <t>anjing</t>
  </si>
  <si>
    <t>musang</t>
  </si>
  <si>
    <t>mobil</t>
  </si>
  <si>
    <t>pohon</t>
  </si>
  <si>
    <t xml:space="preserve">JENIS LAYANAN PENYELAMATAN DAN EVAKUASI PADA KONDISI MEMBAHAYAKAN MANUSIA </t>
  </si>
  <si>
    <t>( OPERASI DARURAT NON KEBAKARAN )</t>
  </si>
  <si>
    <t>RATA-RATA WAKTU TANGGAP (RESPONSE TIME) PENANGANAN KEBAKARAN</t>
  </si>
  <si>
    <t>YG TERBAKAR</t>
  </si>
  <si>
    <t>PENYEBABNYA</t>
  </si>
  <si>
    <t>RESPONSE TIME</t>
  </si>
  <si>
    <t>SATUAN</t>
  </si>
  <si>
    <t>LAPORAN DITERIMA</t>
  </si>
  <si>
    <t>LAHAN</t>
  </si>
  <si>
    <t>BANGUNAN</t>
  </si>
  <si>
    <t>belum diketahui</t>
  </si>
  <si>
    <t>Menit</t>
  </si>
  <si>
    <t xml:space="preserve">via grup emergency </t>
  </si>
  <si>
    <t>menit</t>
  </si>
  <si>
    <t>MENIT</t>
  </si>
  <si>
    <t xml:space="preserve">JUMLAH WAKTU </t>
  </si>
  <si>
    <t>JUMLAH KEGIATAN</t>
  </si>
  <si>
    <t>RATA-RATA</t>
  </si>
  <si>
    <t>JENIS SAPRAS</t>
  </si>
  <si>
    <t>Baik</t>
  </si>
  <si>
    <t>Mobil Tangki Hino Duetro / Ton 7</t>
  </si>
  <si>
    <t>Mobil Mesin Pompa Isuzu / 50 / Ton 3</t>
  </si>
  <si>
    <t>Mobil Mesin Pompa Isuzu / Naruto / Ton 4</t>
  </si>
  <si>
    <t>Tabung Apar</t>
  </si>
  <si>
    <t>7 buah</t>
  </si>
  <si>
    <t>1 buah</t>
  </si>
  <si>
    <t>SURYA DARMA</t>
  </si>
  <si>
    <t>ABASUDIN</t>
  </si>
  <si>
    <t>SITI HAJAR</t>
  </si>
  <si>
    <t>MUHAMMAD NORTAJLI</t>
  </si>
  <si>
    <t>BADRIANOR</t>
  </si>
  <si>
    <t>HAFIF ANSARI</t>
  </si>
  <si>
    <t>NUR IFANSYAH</t>
  </si>
  <si>
    <t>MUHAMMAD SOLEHIN</t>
  </si>
  <si>
    <t>M.SURYA</t>
  </si>
  <si>
    <t>ANNISA FITRIANY</t>
  </si>
  <si>
    <t>HENDRI WIJAYA PUTRA</t>
  </si>
  <si>
    <t>ZAINUDIN</t>
  </si>
  <si>
    <t>RUSDIANNOOR</t>
  </si>
  <si>
    <t>SUWANTO</t>
  </si>
  <si>
    <t>H.M.MAKKI</t>
  </si>
  <si>
    <t>AHMAD MUZAKIR</t>
  </si>
  <si>
    <t>SAPTO AGUS TRISNIAWAN</t>
  </si>
  <si>
    <t>M.ZIDANE ANSHARI</t>
  </si>
  <si>
    <t>ABDULLAH MAHMUD</t>
  </si>
  <si>
    <t>ABDUL RAHIM</t>
  </si>
  <si>
    <t>ACHMAD MAULANI</t>
  </si>
  <si>
    <t>SITI FATIMAH</t>
  </si>
  <si>
    <t>M. RIFKI</t>
  </si>
  <si>
    <t>FITRIAN NOOR</t>
  </si>
  <si>
    <t>BAYU LAZUARDI</t>
  </si>
  <si>
    <t>MUHAMMAD ARSYAD</t>
  </si>
  <si>
    <t>AKHMAD RAMADHANI</t>
  </si>
  <si>
    <t>SATRIYA INDRA PERMANA</t>
  </si>
  <si>
    <t>M.HENDRIANI IHSAN</t>
  </si>
  <si>
    <t>MUHAMMAD ALFIANNOOR</t>
  </si>
  <si>
    <t>WIRIAWAN</t>
  </si>
  <si>
    <t>MUHAMMAD ARIF RAHMAN</t>
  </si>
  <si>
    <t>MUHAMMAD RIVKI AVRIAN</t>
  </si>
  <si>
    <t>HERMAN</t>
  </si>
  <si>
    <t>FAJRIANNUR</t>
  </si>
  <si>
    <t>MUHAMMAD SODIKIN</t>
  </si>
  <si>
    <t>ERLANGGA</t>
  </si>
  <si>
    <t>RIZAL</t>
  </si>
  <si>
    <t>MUHAMMAD RIFALDI</t>
  </si>
  <si>
    <t>AHMAD ANSORI</t>
  </si>
  <si>
    <t>PUTRA SATRIA RAMADHAN</t>
  </si>
  <si>
    <t>AHMAD GAZALI RAHMAN</t>
  </si>
  <si>
    <t>FITRIANSYAH</t>
  </si>
  <si>
    <t>ADITIA</t>
  </si>
  <si>
    <t>AKHMAD RIZQY RAMADHAN</t>
  </si>
  <si>
    <t>TAUFIQ HIDAYAT</t>
  </si>
  <si>
    <t>JUNAIDI</t>
  </si>
  <si>
    <t>ARIYADI</t>
  </si>
  <si>
    <t>AGUS SALIM</t>
  </si>
  <si>
    <t>RAHMAT HIDAYAT</t>
  </si>
  <si>
    <t>RAHMAT JUHAIDI</t>
  </si>
  <si>
    <t>ADI GUNAWAN</t>
  </si>
  <si>
    <t>AKHMAD NAZUA</t>
  </si>
  <si>
    <t>MUHAMMAD RIZQI</t>
  </si>
  <si>
    <t>MUHAMMAD AMIN BADALI</t>
  </si>
  <si>
    <t>GUNAWAN</t>
  </si>
  <si>
    <t>AHMAD SYAIFUL BAHRI</t>
  </si>
  <si>
    <t>IMAM</t>
  </si>
  <si>
    <t>ARIFIN</t>
  </si>
  <si>
    <t>AHMAD IRPANSYAH</t>
  </si>
  <si>
    <t>ROLIA EVA SAFITRI</t>
  </si>
  <si>
    <t>AHMAD RAFLY ALFAYD</t>
  </si>
  <si>
    <t>MUHAMMAD FAUZY</t>
  </si>
  <si>
    <t>SYAKRAN SARI</t>
  </si>
  <si>
    <t>SETIA BUDI</t>
  </si>
  <si>
    <t>ROY SATRIADI</t>
  </si>
  <si>
    <t>ROYYAN ABDURRAHMAN</t>
  </si>
  <si>
    <t>MUHAMMAD NOOR</t>
  </si>
  <si>
    <t>M NAZARI</t>
  </si>
  <si>
    <t>ACHMAD ZAENURI</t>
  </si>
  <si>
    <t>MUHAMMAD ERWAN</t>
  </si>
  <si>
    <t>YUDHA SATRIA</t>
  </si>
  <si>
    <t>KHAIRULLAH</t>
  </si>
  <si>
    <t>M. ZARKASI</t>
  </si>
  <si>
    <t>ANDI KURNIAWAN</t>
  </si>
  <si>
    <t>MUHAMMAD ARSADI</t>
  </si>
  <si>
    <t>SOLIHIN</t>
  </si>
  <si>
    <t>ARIEF FOR RAHMAN</t>
  </si>
  <si>
    <t>MUKHRIM ANDI</t>
  </si>
  <si>
    <t>AHMAD RONI</t>
  </si>
  <si>
    <t>MUHAMMAD RICHO PRIBADI</t>
  </si>
  <si>
    <t>AHMAD BADALI</t>
  </si>
  <si>
    <t>HENDRA</t>
  </si>
  <si>
    <t>MUHAMMAD FAZERI</t>
  </si>
  <si>
    <t>MUHAMMAD RAHMAN PRATAMA</t>
  </si>
  <si>
    <t>KHAIRUL AMIN</t>
  </si>
  <si>
    <t>AHMAD HUSIN</t>
  </si>
  <si>
    <t>JUHDIANSYAH</t>
  </si>
  <si>
    <t>ADI SUCIPTO</t>
  </si>
  <si>
    <t>MUHAMMAD ZAINI RAHMAN</t>
  </si>
  <si>
    <t>MUHAMMAD NOR</t>
  </si>
  <si>
    <t>MUHAMMAD RIZKY FADHILLAH</t>
  </si>
  <si>
    <t>HUSAINI</t>
  </si>
  <si>
    <t>M. HERU RIPANI</t>
  </si>
  <si>
    <t>MUHAMMAD RIZA WAHYUDIN</t>
  </si>
  <si>
    <t>WAHYU SAFARI</t>
  </si>
  <si>
    <t>MUHAMMAD RIZKY MAULANA</t>
  </si>
  <si>
    <t>MUHAMMAD TAUFIQURRAHMAN</t>
  </si>
  <si>
    <t>M. RIPANI</t>
  </si>
  <si>
    <t>RANDIKA PUTRA HIDAYATULLAH</t>
  </si>
  <si>
    <t>MUHAMMAD SAID EDDY ISKANDAR</t>
  </si>
  <si>
    <t>M. WAHYUDI RAHMAN</t>
  </si>
  <si>
    <t>MUHAMMAD YUSUF BIDOL</t>
  </si>
  <si>
    <t>MUHAMMAD RIDHWAN SURIANATA</t>
  </si>
  <si>
    <t>NOOR IKSAN</t>
  </si>
  <si>
    <t>EKO SASMITO</t>
  </si>
  <si>
    <t>MUHAMMAD RIZALI</t>
  </si>
  <si>
    <t>HARDIANSYAH</t>
  </si>
  <si>
    <t>RAHMAD SEPTIAN SAPUTRA</t>
  </si>
  <si>
    <t>SUTARNO</t>
  </si>
  <si>
    <t>M.HAFIZURRAHMAN</t>
  </si>
  <si>
    <t>AFRIAN SYAHBANA</t>
  </si>
  <si>
    <t>MUHAMMAD IKHSAN</t>
  </si>
  <si>
    <t>MIFTAHUL IKHSAN</t>
  </si>
  <si>
    <t>RUDY SANTOSO</t>
  </si>
  <si>
    <t>FAJAR ARIF RAHMAN</t>
  </si>
  <si>
    <t>MUHAMMAD DJUNAIDI,SE</t>
  </si>
  <si>
    <t>RIDUANSYAH</t>
  </si>
  <si>
    <t>MUHAMMAD RIDHO AR RIFQI</t>
  </si>
  <si>
    <t>MUHAMMAD YUNUS</t>
  </si>
  <si>
    <t>MUHAMMAD FAJERIN HIDAYAT</t>
  </si>
  <si>
    <t>SYAIPUL RAHMAN</t>
  </si>
  <si>
    <t>MUHAMMAD FIRMAN NOOR HAKIM</t>
  </si>
  <si>
    <t>MUHAMMAD RIZKI</t>
  </si>
  <si>
    <t>SOFYAN NOOR</t>
  </si>
  <si>
    <t>MUHAMMAD FARHANI</t>
  </si>
  <si>
    <t>MUHAMMAD HASANUDIN</t>
  </si>
  <si>
    <t>MUHAMAD AKBAR PRIYANDITO</t>
  </si>
  <si>
    <t>BUSTANIL ARIFIN</t>
  </si>
  <si>
    <t>MUHAMMD NOOR</t>
  </si>
  <si>
    <t>MUHAMMAD YUSUF RAMADHANI</t>
  </si>
  <si>
    <t>RUSMANTO</t>
  </si>
  <si>
    <t>MUHAMMAD NOR FAUZI</t>
  </si>
  <si>
    <t>MUHAMMAD ABOE DZAR AL-GHIFARY</t>
  </si>
  <si>
    <t>ALIANSYAH</t>
  </si>
  <si>
    <t>BENNY TRI PRITAMA</t>
  </si>
  <si>
    <t>SYABRUDDIN</t>
  </si>
  <si>
    <t>KODRAT UNGGUL PRASETIO</t>
  </si>
  <si>
    <t>MUHAMMAD MAHFUZ</t>
  </si>
  <si>
    <t>RIZA FIRHANADI</t>
  </si>
  <si>
    <t>ISRIWAN</t>
  </si>
  <si>
    <t>MUHAMMAD IHSAN CIPTA PRATAMA</t>
  </si>
  <si>
    <t>REDA EKWANTO</t>
  </si>
  <si>
    <t>PADHIL</t>
  </si>
  <si>
    <t>HALIM HIDAYAT</t>
  </si>
  <si>
    <t>MIFTAH</t>
  </si>
  <si>
    <t>HAFIS ANSYARI</t>
  </si>
  <si>
    <t>ANDI IHTIAR</t>
  </si>
  <si>
    <t>INDRA TRI SULISTIONO</t>
  </si>
  <si>
    <t>FAUZAN NOOR YASYA</t>
  </si>
  <si>
    <t>MOCHAMMAD RIZKI</t>
  </si>
  <si>
    <t>MUHAMMAD BELLY SAPUTRA</t>
  </si>
  <si>
    <t>M. ILHAM RESNAWAN</t>
  </si>
  <si>
    <t>IRFANSYAH</t>
  </si>
  <si>
    <t>SURYA RAMADHAN</t>
  </si>
  <si>
    <t>FUADI</t>
  </si>
  <si>
    <t>SUBHAN NOR</t>
  </si>
  <si>
    <t>MUHAMMAD RAFI</t>
  </si>
  <si>
    <t>GUSTI DERRY SETIA BUDI</t>
  </si>
  <si>
    <t>RAHMAD ASHARI</t>
  </si>
  <si>
    <t>MUHAMMAD FATURRAHMAN</t>
  </si>
  <si>
    <t>ASPIRIYANI</t>
  </si>
  <si>
    <t>ARIEF RAHMAN</t>
  </si>
  <si>
    <t>WISNU PRADES ISTIADI</t>
  </si>
  <si>
    <t>HENDRY</t>
  </si>
  <si>
    <t>RUSBANI</t>
  </si>
  <si>
    <t>MIRZA KRINOVITA</t>
  </si>
  <si>
    <t>FERDI ANSYARI</t>
  </si>
  <si>
    <t>MUHAMMAD ADE KURNIAWAN</t>
  </si>
  <si>
    <t>RISKI</t>
  </si>
  <si>
    <t>MANSYAH</t>
  </si>
  <si>
    <t>MUHAMMAD KHAIRUL AMIRUDIN</t>
  </si>
  <si>
    <t>REZKAN NUR HUMAYIDI</t>
  </si>
  <si>
    <t>SOBIRIN</t>
  </si>
  <si>
    <t>SURIANSYAH</t>
  </si>
  <si>
    <t>HERIYANTO</t>
  </si>
  <si>
    <t>AHMAD YONO</t>
  </si>
  <si>
    <t>SARIP HUSNI</t>
  </si>
  <si>
    <t>TEGUH SARWONO</t>
  </si>
  <si>
    <t>RIZKI AHMAD HABIBI</t>
  </si>
  <si>
    <t>ROBBY ALMADANI</t>
  </si>
  <si>
    <t>SURYA NOOR WITANTRA FEBRIANTO</t>
  </si>
  <si>
    <t>RAHMADI RIFANSYAH</t>
  </si>
  <si>
    <t>MUHAMAD RIJANI NAFARIN</t>
  </si>
  <si>
    <t>ACHMAD MULYANTO</t>
  </si>
  <si>
    <t>MUHAMMAD FAHRUL RAZI</t>
  </si>
  <si>
    <t>WAHYU HIDAYAT</t>
  </si>
  <si>
    <t>AHMAD RAHMANI</t>
  </si>
  <si>
    <t>MUHAMMAD RIZQI RAFLI SYAPUTERA</t>
  </si>
  <si>
    <t>SLAMET RIYANTO</t>
  </si>
  <si>
    <t>MUHAMMAD HAFIZ</t>
  </si>
  <si>
    <t>RIAN ADI SAPUTRA</t>
  </si>
  <si>
    <t>MERDEKA AGUNG SIGIT SAPUTRA</t>
  </si>
  <si>
    <t>MUHAMMAD WAHYUDI FAZRIN</t>
  </si>
  <si>
    <t>MARSUDI</t>
  </si>
  <si>
    <t>ANDRY RAHMANIANSYAH</t>
  </si>
  <si>
    <t>ACHMAD ZIKRULLAH</t>
  </si>
  <si>
    <t>M. RIZKY SETIAWAN</t>
  </si>
  <si>
    <t>SUGENG WIYONO</t>
  </si>
  <si>
    <t>MUHAMAD HAFI ZAKARIA</t>
  </si>
  <si>
    <t>MUHAMMAD MAULANA ALFARIDZI</t>
  </si>
  <si>
    <t>ACHMAD RIFANI</t>
  </si>
  <si>
    <t>M.RISKY</t>
  </si>
  <si>
    <t>RAHMAT AGUNG WIDODO</t>
  </si>
  <si>
    <t>HENDRAWAN MARTIN</t>
  </si>
  <si>
    <t>ALIF FIRDAUS</t>
  </si>
  <si>
    <t>PRAYUDA ALPAYAR</t>
  </si>
  <si>
    <t>M. FADILAH</t>
  </si>
  <si>
    <t>M.NASIH</t>
  </si>
  <si>
    <t>FATHURRAHMANN</t>
  </si>
  <si>
    <t>AHMAD YUSUF</t>
  </si>
  <si>
    <t>KHAIRIL</t>
  </si>
  <si>
    <t>MUHAMMAD IKBAL</t>
  </si>
  <si>
    <t>ANDI ROSYADI</t>
  </si>
  <si>
    <t>AHMAD BAIHAKI</t>
  </si>
  <si>
    <t>MUHAMMAD</t>
  </si>
  <si>
    <t>M. IRPANSYAH</t>
  </si>
  <si>
    <t>MUHAMAD FADDLI</t>
  </si>
  <si>
    <t>NOORDIN</t>
  </si>
  <si>
    <t>BASRI</t>
  </si>
  <si>
    <t>IMAM SYARONI</t>
  </si>
  <si>
    <t>ITMAMUL WAFA</t>
  </si>
  <si>
    <t>AH. MUSPAINI</t>
  </si>
  <si>
    <t>HERMANSYAH</t>
  </si>
  <si>
    <t>HIDAYATULLAH</t>
  </si>
  <si>
    <t>MUHAMMAD KHAIRONI</t>
  </si>
  <si>
    <t>M. ITQON</t>
  </si>
  <si>
    <t>MUHAMMAD JAUDHY RAHMAN</t>
  </si>
  <si>
    <t>SYAHRI RAMADHAN</t>
  </si>
  <si>
    <t>ARIF RAHMAN</t>
  </si>
  <si>
    <t>M. BASID</t>
  </si>
  <si>
    <t>M. HIFZI</t>
  </si>
  <si>
    <t>DIMAS APRIANTO</t>
  </si>
  <si>
    <t>M. MA'SUM</t>
  </si>
  <si>
    <t>SEGAF ASSEGAF</t>
  </si>
  <si>
    <t>MUHAMMAD ZAKI</t>
  </si>
  <si>
    <t>MUHAMMAD RISWANDA</t>
  </si>
  <si>
    <t>RIFQIYANNOR</t>
  </si>
  <si>
    <t>AHMAD HABIBI</t>
  </si>
  <si>
    <t>MUHAMMAD ANDRE</t>
  </si>
  <si>
    <t>HADRIANI</t>
  </si>
  <si>
    <t>MUHAMMAD AZIDAN NOR</t>
  </si>
  <si>
    <t>MUHAMMAD MUZAKKIR</t>
  </si>
  <si>
    <t>BUSAIRI</t>
  </si>
  <si>
    <t>MUHAMMAD RISQI</t>
  </si>
  <si>
    <t>APRIZA MAULANA</t>
  </si>
  <si>
    <t>MUHAMMAD ROKHISH ALWI</t>
  </si>
  <si>
    <t>MUHAMMAD KHOYIB</t>
  </si>
  <si>
    <t>NOPI ARIANSYAH</t>
  </si>
  <si>
    <t>NAHDIYANI</t>
  </si>
  <si>
    <t>RITNO ADITYA</t>
  </si>
  <si>
    <t>SYAFRULLAH, S.Sos, M.Si.</t>
  </si>
  <si>
    <t>IMAM KASTALANI</t>
  </si>
  <si>
    <t>BUDI ADI</t>
  </si>
  <si>
    <t>AGUS BUDIANTO</t>
  </si>
  <si>
    <t>P.77/238/TU/DAMKAR/MPBK/2024</t>
  </si>
  <si>
    <t>P.82/238/TU/DAMKAR/MPBK/2024</t>
  </si>
  <si>
    <t>P.22/238/TU/DAMKAR/MPBK/2024</t>
  </si>
  <si>
    <t>P.3/578/TU/SDV/MPBK/2022</t>
  </si>
  <si>
    <t>P.25/240/TU/SDV/MPBK/2022</t>
  </si>
  <si>
    <t>Mobil Tangki Hino / Kajama 3500 Liter</t>
  </si>
  <si>
    <t>Mobil Tangki Hino / Kajama 4000 Liter</t>
  </si>
  <si>
    <t>Mobil Tangki Hino / Kajama 8000 Liter</t>
  </si>
  <si>
    <t>Mobil Tangki Toyota / Gajah / Ton 2</t>
  </si>
  <si>
    <t>Mobil Rescue Toyota Hilux / Kajama</t>
  </si>
  <si>
    <t>00.10 s/d 01.00 Wita</t>
  </si>
  <si>
    <t xml:space="preserve"> Ibu Siti Aisyah No Hp. 081251190680</t>
  </si>
  <si>
    <t>Sepeda Motor Honda Vario 160</t>
  </si>
  <si>
    <t>Kalamullah No Hp. 0859196433680</t>
  </si>
  <si>
    <t>00.15 s/d 00.50 Wita</t>
  </si>
  <si>
    <t>19.40 s/d 20.30 Wita</t>
  </si>
  <si>
    <t>07.20 s/d 08.15 Wita</t>
  </si>
  <si>
    <t>06.40 s/d 07.30 Wita</t>
  </si>
  <si>
    <t>09.30 s/d 10.15 Wita</t>
  </si>
  <si>
    <t>07.00 s/d 07.45 Wita</t>
  </si>
  <si>
    <t>00.20 s/d 01.05 Wita</t>
  </si>
  <si>
    <t>06.45 s/d 07.45 Wita</t>
  </si>
  <si>
    <t>00.30 s/d 01.15 Wita</t>
  </si>
  <si>
    <t>00.15 s/d 01.05 Wita</t>
  </si>
  <si>
    <t>00.10 s/d 01.10 Wita</t>
  </si>
  <si>
    <t>06.10 s/d 07.10 Wita</t>
  </si>
  <si>
    <t>07.10 s/d 08.00 Wita</t>
  </si>
  <si>
    <t>07.00 s/d 08.00 Wita</t>
  </si>
  <si>
    <t>pintu rumah</t>
  </si>
  <si>
    <t>Call Center 112</t>
  </si>
  <si>
    <t>05.30 s/d 06.35 Wita</t>
  </si>
  <si>
    <t>21.52 s/d 23.05 Wita</t>
  </si>
  <si>
    <t xml:space="preserve"> Ibu Ida No Hp. 083836466700</t>
  </si>
  <si>
    <t>18.50 s/d 19.40 Wita</t>
  </si>
  <si>
    <t xml:space="preserve">Grup WA emergency Kota Banjarbaru </t>
  </si>
  <si>
    <t>kandang ayam</t>
  </si>
  <si>
    <t>Via Grup WA Emergency Banjarbaru</t>
  </si>
  <si>
    <t>Ular</t>
  </si>
  <si>
    <t>Kucing</t>
  </si>
  <si>
    <t>Anjing</t>
  </si>
  <si>
    <t>Lebah</t>
  </si>
  <si>
    <t>Musang</t>
  </si>
  <si>
    <t>Monyet</t>
  </si>
  <si>
    <t>Biawak</t>
  </si>
  <si>
    <t>Tikus</t>
  </si>
  <si>
    <t>Cincin</t>
  </si>
  <si>
    <t>Kunci Sepeda Motor</t>
  </si>
  <si>
    <t>Mobil</t>
  </si>
  <si>
    <t>Pintu Rumah</t>
  </si>
  <si>
    <t>Jumlah Response Time Penanganan Kebakaran</t>
  </si>
  <si>
    <t>P.157/116/TU/DAMKAR/MPBK/2024</t>
  </si>
  <si>
    <t>TAHUN DIKLAT</t>
  </si>
  <si>
    <t>Tidak Baik</t>
  </si>
  <si>
    <t>JUMLAH PENINGKATAN KAPASITAS APARATUR PEMADAM KEBAKARAN</t>
  </si>
  <si>
    <t>kebocoran selang regulator</t>
  </si>
  <si>
    <t>DATA TAHUN 2025</t>
  </si>
  <si>
    <t>Rabu, 1 Januari 2025</t>
  </si>
  <si>
    <t>11.39 s/d 12.30 Wita</t>
  </si>
  <si>
    <t>Menindaklanjuti laporan warga perihal meminta bantuan evakuasi anjing yang masuk ke dalam kantor DJKN beralamat Jl. A. Yani Km. 29,5 (Kantor DJKN Kalsel-Teng) Kel. Guntung Manggis Kec. Landasan Ulin. Petugas menuju lokasi pelapor dan anjing dapat di evakuasi oleh pemiliknya. Petugas mengerahkan 1 Unit Ops Damkar Mobil Hilux Kajama Rescue.</t>
  </si>
  <si>
    <t xml:space="preserve">Kaeni No Telp. 085822521944 </t>
  </si>
  <si>
    <t>Kamis, 2 Januari 2025</t>
  </si>
  <si>
    <t>20.15 s/d 21.26 Wita</t>
  </si>
  <si>
    <t>Menindaklanjuti laporan warga perihal meminta bantuan evakuasi sarang lebah yang berada didapur rumah beliau beralamat Jl. Pandok Mangga Komp. Darussalam II No. 2 RT. 19 RW. 08 Kel. Lokatabat Utara Kec. Banjarbaru Utara. Petugas berhasil memusnahkan sarang lebah dengan cara dibakar. Petugas mengerahkan 1 Unit Ops Damkar Mobil Hilux Kajama Rescue.</t>
  </si>
  <si>
    <t>Mara Radliya No telp. 087715559808</t>
  </si>
  <si>
    <t>Jum`at, 3 Januari 2025</t>
  </si>
  <si>
    <t>07.00 s/d 07.50 Wita</t>
  </si>
  <si>
    <t>Menindaklanjuti laporan warga perihal meminta bantuan evakuasi anjing yang tercebur kedalam sumur rumah beliau beralamat Jl. Trikora III RT. 42 RW. 08 Kel. Sungai Besar Kec. Banjarbaru Selatan. Petugas menuju lokasi pelapor dan anjing berhasil di evakuasi. Petugas mengerahkan 1 Unit Ops Damkar Mobil Hilux Kajama Rescue.</t>
  </si>
  <si>
    <t>Lilik No Telp. 081236301552</t>
  </si>
  <si>
    <t>16.09 s/d 17.45 Wita</t>
  </si>
  <si>
    <t>menindaklajuti laporan warga perihal meminta bantuan evakuasi kucing di atas pohon yang menurut pelapor sudah 3 hari tidak bisa turun beralamat Depan Komp. Griya Ulin Permai Jl. Trikora Simpang 4 Berlina Jaya Kel. Landasan Ulin Timur Kec. Landasan Ulin. Kucing berhasil di evakuasi dengan cara disemprot dari bawah. Petugas mengerahkan 1 Unit Ops Damkar Truk Tangki Kajama 4000 Liter.</t>
  </si>
  <si>
    <t>Muhidi Hafi No Telp. 087753517745</t>
  </si>
  <si>
    <t>Sabtu, 4 Januari 2025</t>
  </si>
  <si>
    <t>19.03 s/d 19.35 Wita</t>
  </si>
  <si>
    <t>Menindaklanjuti laporan warga perihal meminta bantuan evakuasi ular yang berada di mobil beralamat Jl. A. Yani Km. 36 parkiran wong Solo Simpang 4 Banjarbaru Kel. Komet Kec. Banjarbaru Utara. Petugas menuju lokasi pelapor. Ular berhasil di evakuasi dan dilepasliarkan. Petugas mengerahkan 1 Unit Ops Damkar Mobil Hilux Kajama Rescue.</t>
  </si>
  <si>
    <t xml:space="preserve"> Waluyo No Telp. 082231978371</t>
  </si>
  <si>
    <t>Minggu, 5 Januari 2025</t>
  </si>
  <si>
    <t>10.15 s/d 11.21 Wita</t>
  </si>
  <si>
    <t>Menindaklanjuti laporan warga perihal meminta bantuan evakuasi kucing yang berada di dalam sumur rumah beliau beralamat Jl. Kasturi I Blok. A 289 RT. 14 RW. 03 Kel. Sungai Besar Kec. Banjarbaru Selatan. Petugas menuju lokasi pelapor dan kucing berhasil di evakuasi. Petugas mengerahkan 1 Unit Ops Damkar Mobil Hilux Kajama Rescue.</t>
  </si>
  <si>
    <t>Nikmah Nufus No Telp. 083876435821</t>
  </si>
  <si>
    <t>Senin, 6 Januari 2025</t>
  </si>
  <si>
    <t>05.30 s/d 06.40 Wita</t>
  </si>
  <si>
    <t>Menindaklanjuti laporan warga perihal meminta bantuan evakuasi ular yang berada di dalam rumah beralamat Komp. Dukuh Jaya RT. 10 RW. 07 Kel. Sungai Besar Kec. Banjarbaru Selatan. Petugas langsung menuju lokasi pelapor dan melakukan pencarian. Ular berhasil di evakuasi dan dilepasliarkan. Petugas mengerahkan 1 Unit Ops Damkar Truk Ton III.</t>
  </si>
  <si>
    <t>Yuda W No Telp. 085349243372</t>
  </si>
  <si>
    <t>11.20 s/d 12.45 Wita</t>
  </si>
  <si>
    <t>Menindaklanjuti laporan warga perihal meminta bantuan evakuasi tawon yang berada di atas plafon teras rumah beliau beralamat Komp. Citra Bangun PSD Blok D No. 03 RT. 14 RW. 03 Kel. Landasan Ulin Tengah Kec. Liang Anggang. Petugas berhasil memusnahkan tawon dengan cara dibakar. Petugas mengerahkan 1 Unit Ops Damkar Truk Ton VII.</t>
  </si>
  <si>
    <t>Hery No Telp. 085215519559</t>
  </si>
  <si>
    <t>Selasa, 7 Januari 2025</t>
  </si>
  <si>
    <t>02.17 s/d 02.45 Wita</t>
  </si>
  <si>
    <t xml:space="preserve">Minindaklanjuti laporan warga perihal meminta bantuan evakuasi ular di dalam kamar tidur orang tua pelapor beralamat Jl. R.O Ulin RT. 004 RW. 009 No. 09 Kel. Loktabat Selatan Kec. Banjarbaru Selatan. Petugas langsung menuju lokasi pelapor. Ular berhasil di evakuasi dan dilepasliarkan. Petugas mengerahkan 1 Unit Ops Damkar Mobil Hilux Kajama Rescue. </t>
  </si>
  <si>
    <t>Nita No Telp. 083141431999</t>
  </si>
  <si>
    <t>19.45 s/d 20.15 Wita</t>
  </si>
  <si>
    <t>Rabu, 8 Januari 2025</t>
  </si>
  <si>
    <t>07.52 s/d 08.10 Wita</t>
  </si>
  <si>
    <t>Menindaklanjuti laporan warga perihal meminta bantuan ular di kamar tidur rumah beliau beralamat Jl. Trikora samping Komp. Pesona Bhayangkara Kel. Guntung Manggis Kec. Landasan Ulin. Petugas langsung menuju lokasi pelapor. Ular berhasil di evakuasi dan dilepasliarkan. Petugas mengerahkan 1 Unit Ops Damkar Mobil Hilux Kajama Rescue.</t>
  </si>
  <si>
    <t>Septy No Telp. 083186435824</t>
  </si>
  <si>
    <t>Menindaklanjuti laporan warga perihal meminta bantuan evakuasi mobil yang terperosok di drainase beralamat Jl. Pandawa Kel. Guntung Paikat Kec. Banjarbaru Selatan. Petugas menuju lokasi pelapor dan mobil berhasil di evakuasi. Petugas emngerahkan 1 Unit Ops Damkar Truk Tangki Kajama 3500 Liter.</t>
  </si>
  <si>
    <t>Halim No Telp. 081645498629</t>
  </si>
  <si>
    <t>12.50 s/d 13.39 Wita</t>
  </si>
  <si>
    <t>Menindaklanjuti laporan warga perihal meminta bantuan evakuasi ular yang berada dirumah beliau beralamat Komp. Graha Mahkota Damar No. 11 Kel. Syamsudin Noor. Ular berhasil di evakuasi dan dilepasliarkan. Petugas mengerahkan 1 Unit Ops Damkar Mobil Hilux Kajama Rescue.</t>
  </si>
  <si>
    <t>Surya No Telp. 08115046994</t>
  </si>
  <si>
    <t>Kamis, 9 Januari 2025</t>
  </si>
  <si>
    <t>05.53 s/d 07.19 Wita</t>
  </si>
  <si>
    <t>Menindaklanjuti laporan waraga perihal meminta bantuan evakuasi ular yang berada dirumah pelapor beralamat Jl. Gotong Royong RT. 16 RW. 04 Kel. Syamsudin Noor Kec. Landasan Ulin. Petugas menuju lokasi pelapor. Petugas berhasil mengevakuasi ular dan dilepasliarkan. Petugas mengerahkan 1 Unit Ops Damkar Mobil Hilux Kajama Rescue.</t>
  </si>
  <si>
    <t>Julian Dre No Telp. 089527949418</t>
  </si>
  <si>
    <t>16.47 s/d 17.15 Wita</t>
  </si>
  <si>
    <t>Menindaklanjuti laporan warga perihal meminta bantuan evakuasi ular berjenis cobra di tempat pembuangan air bekas pakai beralamat Jl. Bina Putra Blok B RT. 11 RW. 03 No. 13 Kel. Guntung Manggis Kec. Landasan Ulin. Petugas menuju lokasi pelapor dan melakukan pencarian. Petugas berhasil mengevakuasi ular tersebut dan melepasliarkan. Petugas mengerahkan 1 Unit Ops Damkar Mobil Hilux Kajama Rescue.</t>
  </si>
  <si>
    <t>Rifa No Telp. 085229095402</t>
  </si>
  <si>
    <t>Jum`at, 10 Januari 2025</t>
  </si>
  <si>
    <t>09.30 s/d 10.45 Wita</t>
  </si>
  <si>
    <t>Menindaklanjuti laporan warga perihal meminta bantuan evakuasi ular yang berada dalam kandang ayam milik beliau beralamat Komp. Pelita Kuranji RT. 32 RW. 05 Kel. Guntung Manggis Kec. Landasan Ulin. Petugas langsung menuju lokasi pelapor dan melakukan pencarian. Ular behasil di evakuasi dan dilepasliarkan. Petugas mengerahkan 1 Unit Ops Damkar Mobil Hilux Kajama Rescue.</t>
  </si>
  <si>
    <t xml:space="preserve">Syamsi No Telp. 085751328048 </t>
  </si>
  <si>
    <t>Sabtu, 11 Januari 2025</t>
  </si>
  <si>
    <t>04.59 s/d 05.55 Wita</t>
  </si>
  <si>
    <t>Menindaklanjuti laporan warga perihal meminta bantuan evakuasi kucing yang tercebur kedalam sumur rumah beliau beralamat Jl. Karang Anyar 2 Komp. Balitan 2 RT. 39 RW. 11 Kel. Loktabat Utara Kec. Banjarbaru Utara. Petugas langsung menuju lokasi pelapor dan melakukan pencarian. Kucing berhasil di evakuasi. Petugas mengerahkan 1 Unit Ops Damkar Mobil Hilux Kajama Rescue.</t>
  </si>
  <si>
    <t>Rania No Telp. 085251311413</t>
  </si>
  <si>
    <t>19.29 s/d 19.54 Wita</t>
  </si>
  <si>
    <t>Menindaklanjuti laporan warga perihal meminta bantuan evakuasi ular yang berada dalam rumah beliau beralamat Komp. Qiramah Alam No. 11 RT. 03 RW. 01 Kel. Kemuning Kec. Banjarbaru Selatan. Petugas langsung menuju lokasi pelapor dan melakukan pencarian. Ular berhasil di evakuasi dan dilepasliarkan. Petugas mengerahkan 1 Unit Ops Damkar Mobil Hilux Kajama Rescue.</t>
  </si>
  <si>
    <t>Insan Amin No Telp. 082251206465</t>
  </si>
  <si>
    <t>Minggu, 12 Januari 2025</t>
  </si>
  <si>
    <t>06.20 s/d 07.30 Wita</t>
  </si>
  <si>
    <t>Menindaklanjuti laporan warga perihal meminta bantuan evakuasi ular yang berada di dalam kandang ayam milik beliau beralamat Jl. Murai Komp. Sumber Indah No. 70 RT. 01 Rw. 02 Kel. Mentaos Kec. Banjarbaru Utara. Petugas langsung menuju lokasi pelapor dan melakukan pencarian. Ular baerhasil di evakuasi dan dilepasliarkan. Petugas mengerahkan 1 Unit Ops Damkar Mobil Hillux Kajama Rescue.</t>
  </si>
  <si>
    <t>Reza No Telp. 089692019947</t>
  </si>
  <si>
    <t>14.00 s/d 14.45 Wita</t>
  </si>
  <si>
    <t>Menindaklanjuti laporan warga perihal meminta bantuan evakuasi ular yang terliaht di pekarangan rumah beliau beralamat Jl. Trikora Komp. Permata Bunda Resort Blok C No. 7 Kel. Sungai Besar Kec. Banjarbaru Selatan. Petugas langsung menuju lokasi pelapor dan melakukan pencarian. Ular berhasil di evakuasi dan dilepasliarkan. Petugas mengerahakn 1 Unit Ops Damkar Mobil Hilux Kajama Rescue.</t>
  </si>
  <si>
    <t xml:space="preserve">Aida No Telp. 082254899279 </t>
  </si>
  <si>
    <t>Senin, 13 Januari 2025</t>
  </si>
  <si>
    <t>20.21 s/d 23.45 Wita</t>
  </si>
  <si>
    <t>Menindaklanjuti laporan warga  perihal meminta bantuan evakuasi sarang tawon ndas yang berada di atap rumah beliau beralamat Jl. Golf Pelita 2 Rt. 04 RW. 11 No. 50 Kel. Landasan Ulin Kec. Liang Anggang. Sarang Tawon berhasil dimusnahkan dengan cara dibakar. Petugas mengerahkan 1 Unit Ops Damkar Truk Ton IV.</t>
  </si>
  <si>
    <t>Ridho No Telp. 081351758080</t>
  </si>
  <si>
    <t>Rabu, 15 Januari 2025</t>
  </si>
  <si>
    <t>Menindaklanjuti laporan warga perhal meminta bantuan evakuasi ular yang berada di dalam rumah beralamat Komp. Permata Bunda Resort Blok C No. 07 Kel. Sungai Besar Kec. Banjarbaru Selatan. Petugas langsung menuju lokasi pelapor dan melakukan pencarian. Ular berhasil di evakuasi dan dilepasliarkan. Petugas mengerahkan 1 Unit Ops Damkar Mobil Hilux Kajama Rescue.</t>
  </si>
  <si>
    <t>Aida No Telp. 082254899279</t>
  </si>
  <si>
    <t>17.15 s/d 17.30 Wita</t>
  </si>
  <si>
    <t>Menindaklanjuti laporan warga perihal emminta bantuan evakuasi musang yang terjebak di dalam gorong-gorong pembuangan depan rumah beralamat Jl. Pandu RT. 12 RW. 03 Kel. Guntung Paikat Kec. Banjarbaru Selatan. Petugas menuju lokasi pelapor dan melakukan penyelamatan. petugas berhasil mengevakuasi musang tersebut. Petugas mengerahkan 1 Unit Ops Damkar Mobil Hilux Kajama Rescue.</t>
  </si>
  <si>
    <t>Mulayadi No Telp. 081255796376</t>
  </si>
  <si>
    <t>Kamis, 16 Januari 2025</t>
  </si>
  <si>
    <t>Menindaklanjuti laporan warga perihal meminta bantuan evakuasi kunci ruko yang tertinggal di dalam ruko beralamat Toko surya Negara Jl. Gotong Royong No. 21 RT. 04 RW. 06 Kel. Mentaos Kec. Banjarbaru Utara. Kunci berhasil di ambil dengan cara memanjat bagian lantai atas menggunakan tangga. Petugas mengerahkan 1 Unit Ops Damkar Truk Tangki Kajama 3500 Liter</t>
  </si>
  <si>
    <t>Siti Fulanah No Telp. 085248485416</t>
  </si>
  <si>
    <t>kunci</t>
  </si>
  <si>
    <t>08.56 s/d 09.30 Wita</t>
  </si>
  <si>
    <t>Menindalanjuti laporan warga perihal meminta bantuan evakuasi mobil yang masuk ke dalam drainase beralamat Jl. Intan Sari RT. 20 RW. 04 Kel. Guntung Paikat Kec. Banjarbaru Selatan. Petugas langsung menuju lokasi pelapor dan melakukan evakuasi. mobil berhasil di evakuasi. Petugas mengerahkan 1 Unit Ops Damkar Truk Tangki Kajama.</t>
  </si>
  <si>
    <t>Supriyatno No Telp. 081349671597</t>
  </si>
  <si>
    <t>Jum`at, 17 Januari 2025</t>
  </si>
  <si>
    <t>10.20 s/d 11.23 Wita</t>
  </si>
  <si>
    <t>Menindaklanjuti laporan warga perihal meminta bantuan evakuasi ular yang berada di rumah beliau beralamat Jl. Karang So RT. 20 RW. 11 Kel. Loktabat Utara Kec. Banjarbaru Utara.Petugas menuju lokasi pelapor dan melakukan pencarian. Ular berhasil di evakuasi dan dilepasliarkan. Petugas mengerahkan 1 Unit Ops Damkar Mobil Hilux Kajama Rescue.</t>
  </si>
  <si>
    <t>Ahmad Rusyadi Hakim</t>
  </si>
  <si>
    <t>Sabtu, 18 Januari 2025</t>
  </si>
  <si>
    <t>10.17 s/d 11.45 Wita</t>
  </si>
  <si>
    <t xml:space="preserve">Menindaklanjuti laporan warga perihal meminta bantuan evakuasi pohon yang tumbang menutup jalan beralamat Jl. Pandu RT. 003 RW. 05 Kel. Guntung Paikat Kec. Banjarbaru Selatan. Petugas menuju lokasi dan melakukan evakuasi. Pohon tumbang berhasil di evakuasi dan akses jalan menjadi normal kembali. Petugas mengerahkan 1 Unit Ops Damkar  </t>
  </si>
  <si>
    <t xml:space="preserve">Johan No Telp. 081360125455 </t>
  </si>
  <si>
    <t>Minggu, 19 Januari 2025</t>
  </si>
  <si>
    <t>22.45 s/d 23.35 Wita</t>
  </si>
  <si>
    <t>Menindaklanjuti laporan warga perihal meminta bantuan evakuasi kucing yang berada di atas plafon dapur rumah beralamat Gg. Purnama RT. 3 RW. 6 Kel. Komet Kec. Banjarbaru Utara. Petugas menuju lokasi pelapor dan melakukan pencarian. Kucing berhasil di evakuasi. Petugas mengerahkan 1 Unit Ops Damkar Truk Ton IV.</t>
  </si>
  <si>
    <t>Novia No Telp. 08998891999</t>
  </si>
  <si>
    <t>Senin, 20 Januari 2025</t>
  </si>
  <si>
    <t>00.35 s/d 01.15 Wita</t>
  </si>
  <si>
    <t>Menindaklanjuti laporan warga perihal meminta bantuan evakuasi ular barada di garasi mobil rumah pelapor beralamatKomp. Jeruk Raya RT. 49 RW. 01 Kel. Sungai Besar Kec. Banjarbaru Selatan. Petugas berhasil mengevakuasi ular dan dilepasliarkan. Petugas mengerahkan 1 Unit Ops Damkar Mobil Hilux Kajama Rescue.</t>
  </si>
  <si>
    <t>Andi No Telp. 083863009956</t>
  </si>
  <si>
    <t>10.59 s/d 11.21 Wita</t>
  </si>
  <si>
    <t>Menindaklanjuti laporan warga perihal meminta bantuan evakuasi ular yang berada dirumah beralamat Komp. Lambung Magkurat Regency No. 84 RT. 14 Kel. Palam Kec. Cempaka. Petugas menuju lokasi pelapor dan melakukan pencarian. Ular berhasil di evakuasi dan dilepasliarkan. Petugas mengerahkan 1 Unit Ops Damkar Mobil Hilux Kajama Rescue.</t>
  </si>
  <si>
    <t>Selasa, 21 Januari 2025</t>
  </si>
  <si>
    <t>11.59 s/d 12.15 Wita</t>
  </si>
  <si>
    <t>Menindaklanjuti laporan warga perihal meminta bantuan evakuasi mobil yang mogok beralamat Jl. Bina Praja Timur Komp. Perkantoran Provinsi Kalsel halama Pengadilan Tinggi Kel. Cempaka Kec. Cempaka. Petugas menuju lokasi pelapor dan melakukan evakuasi. Mobil berhasil di evakuasi dengan cara di jumper menggunakan aki. Mobil berhasil hidup kembali. Petugas mengerahkan 1 Unit Ops Damkar Truk Ton IV.</t>
  </si>
  <si>
    <t xml:space="preserve">Dimsum No Telp. 0851741040 </t>
  </si>
  <si>
    <t>Rabu, 22 Januari 2025</t>
  </si>
  <si>
    <t>00.15 s/d 01.20 Wita</t>
  </si>
  <si>
    <t>Menindaklanjuti laporan warga perihal meminta bantuan evakuasi sarang tawon yang berada di area asrama Denzipur 8/GM beralamat Markas Denzipur 8/GM Jl. A. Yani Km. 30.5 Kel. Guntung Manggis Kec. Landasan Ulin. Petugas menuju lokasi pelapor dan melakukan evakuasi. Evakuasi berhasil dengan cara dibakar. Petugas mengerahkan 1 Unit Ops Damkar Truk Tangki Kajama 3500 Liter.</t>
  </si>
  <si>
    <t>Parede No Telp. 081348663681</t>
  </si>
  <si>
    <t>11.41 s/d 12.35 Wita</t>
  </si>
  <si>
    <t>Menindaklanjuti laporan warga perihal meminta bantuan evakuasi ular yang berada dalam gorong-gorong sumur beralamat Jl. Kartini No. 06 RT. 16 RW. 03 Kel. Sungai Besar Kec. Banjarbaru Selatan. Petugas langsung menuju lokasi pelapor dan melakukan penacarian. Ular berhasil di evakuasi dan dilepasliarkan. Petugas mengerahkan 1 Unit Ops Damkar Truk Ton IV.</t>
  </si>
  <si>
    <t xml:space="preserve">Fathur No Telp. 081257439927 </t>
  </si>
  <si>
    <t>Kamis, 23 Januari 2025</t>
  </si>
  <si>
    <t>01.15 s/d 02.05 Wita</t>
  </si>
  <si>
    <t>Menindaklanjuti laporan warga meminta bantuan evakuasi ular yang berada di dalam kandang ayam beralamat Jl. Purnawirawan Komp. Palam permai RT. 01 RW. 01 Kel. Palam Kec. Cempaka. Petugas menuju lokasi pelapor dan melakukan pencarian. Ular berhasil di evakuasi dan dilepasliarkan. Petugas mengerahkan 1 Unit Ops Damkar Truk Ton IV.</t>
  </si>
  <si>
    <t>08.45 s/d 10.48 Wita</t>
  </si>
  <si>
    <t>Menindaklanjuti laporan warga perihal meminta bantuan evakuasi kucing yang terjebak diantara tembok rumah beralamat Komp. Citra Bangun Persada RT. 01 RW. 04 Kel. Landasan Ulin Timur Kec. Landasan Ulin. Petugas menuju lokasi pelapor dan melakukan penyelamatan. kucing berhasil di evakuasi. Petugas mengerahkan 1 Unit Ops Damkar Truk Ton IV.</t>
  </si>
  <si>
    <t>Santika Sussan No Telp. 08115004206</t>
  </si>
  <si>
    <t xml:space="preserve">Dimas No Telp 082250605205 </t>
  </si>
  <si>
    <t>Jum`at, 24 Januari 2025</t>
  </si>
  <si>
    <t>05.40 s/d 06.35 Wita</t>
  </si>
  <si>
    <t>Menindaklanjuti laporan warga perihal meminta bantun evakuasi ular yang berada di dalam kamar rumah beliau beralamat Jl. Suka Maju Komp. Danara Residance Kel. Landasan Ulin Utara Kec. Liang Anggang. Petugas melakukan pencarian dan ular tidak ditemukan. Petugas mengerahkan 1 Unit Ops Damkar Mobil Hilux Kajama Rescue.</t>
  </si>
  <si>
    <t>Aditya Firdaus No Telp. 089692159965</t>
  </si>
  <si>
    <t>Sabtu, 25 Januari 2025</t>
  </si>
  <si>
    <t>09.49 s/d 10.40 Wita</t>
  </si>
  <si>
    <t>Menindaklanjuti laporan warga perihal meminta bantuan evakuasi ular yang berada di kandang ayam beliau beralamat Jl. Komet Gg. 6 RT. 03 RW. 04 Kel. Mentaos Kec. Banjarbaru Utara. Petugas menuju lokasi pelapor dan melakukan pencarian. Ular berhasil di veakuasi dan dilepasliarkan. Petugas mengerahkan 1 Unit Ops Damkar Truk Ton IV.</t>
  </si>
  <si>
    <t>Yunda Kartika No Telp. 0895705236138</t>
  </si>
  <si>
    <t>Minggu, 26 Januari 2025</t>
  </si>
  <si>
    <t>22.40 s/d 23.50 Wita</t>
  </si>
  <si>
    <t>Menindaklanjuti laporan warga perihal meminta bantuan evakuasi pohon tumbang yang menimpa 1 buah mobil dan menutup akses jalan. Petugas melakukan penebangan pohon dan menarik mobil untuk tidak menghalangi jalan. Akibat yang ditimbulkan 2 orang korban luka-luka dan dibawa ke Rumah Sakit. Petugas mengerahkan 1 Unit Ops Damkar Mobil Hilux Kajama Rescue.</t>
  </si>
  <si>
    <t>Hilmi No telp. 083159290770</t>
  </si>
  <si>
    <t>Senin, 27 Januari 2025</t>
  </si>
  <si>
    <t>00.19 s/d 00.50 Wita</t>
  </si>
  <si>
    <t>Menindaklanjuti laporan warga perihal meminta bantuan evakuasi ular yang berada di rumah beliau beralamat Jl. Komet Raya No. 30 RT. 03 RW. 04 Kel. Mentaos Kec. Banjarbaru Utara. Petugas langsung menuju lokasi pelapor dan melakukan pencarian. Ular berhasil di evakuasi dan dilepasliarkan. Petugas mengerahkan 1 Unit Ops Damkar Mobil Hilux Kajama Rescue.</t>
  </si>
  <si>
    <t>Nita No Telp. 083159278413</t>
  </si>
  <si>
    <t>20.19 s/d 21.30 Wita</t>
  </si>
  <si>
    <t>Menindaklanjuti laporan warga perihal meminta bantuan evakuasi ular yang terlihat memasuki kamar berlamat Komp. Pondok Sejahtera RT. 30 RW. 04 Blok L No. 12 Kel. Guntung Manggis Kec. Landasan Ulin. Petugas menuju lokasi pelapor dan melakukan pencarian. Ular berhasil di evakuasi dan dilepasliarkan. Petugas mengerahkan 1 Unit Ops Damkar Truk Ton IV.</t>
  </si>
  <si>
    <t>Muhammad Ismail No Telp. 082255656533</t>
  </si>
  <si>
    <t>Selasa, 28 Januari 2025</t>
  </si>
  <si>
    <t>09.51 s/d 10.45 Wita</t>
  </si>
  <si>
    <t>Menindaklanjuti laporan warga perihal meminta bantuan evakuasi monyet yang sudah menresahkan beralamat Jl. Sungai Sumba No. 19 RT. 09 RW. 01 Kel. Guntung Manggis Kec. Landasan Ulin. Petugas menuju lokasi pelapor dan melakukan pencarian. Monyet tidak ditemukan. Petugas mengerahkan 1 Unit Ops Damkar Truk Ton III.</t>
  </si>
  <si>
    <t>Rizal Siregar No Telp. 08121714773</t>
  </si>
  <si>
    <t>Rabu, 29 Januari 2025</t>
  </si>
  <si>
    <t>00.25 s/d 01.50 Wita</t>
  </si>
  <si>
    <t>Menindaklanjuti laporan warga perihal meminta bantuan evakuasi mobil yang terperosok ke dalam Got beralamat Jl. Mutiara Komp. Villa Intan Kel. Cempaka Kec. Cempaka. Petugas langsung menuju lokasi pelapor dan melakukan evakuasi mobil. Mobil berhasil di evakuasi. petugas mengerahkan 1 Unit Ops Damkar Mobil Hilux Kajama Rescue.</t>
  </si>
  <si>
    <t>Wisnu No Telp. 082254214938</t>
  </si>
  <si>
    <t>20.24 s/d 21.39 Wita</t>
  </si>
  <si>
    <t>Menindaklanjuti laporan warga perihal meminta bantuan evakuasi sarang lebah yang berada dihalaman rumah beliau beralamat Jl. Kawamara RT. 02 RW. 06 Kel. Landasan Ulin Timur Kec. Landasan Ulin.Petugas menuju lokasi pelapor dan melakukan evakuasi. Sarang Lebah berhasil di evakuasi dan dimusnahkan dengan cara dibakar. Petugas mengerahakan 1 Unit Ops Damkar Truk Ton IV.</t>
  </si>
  <si>
    <t>Riski No Telp. 085353536593</t>
  </si>
  <si>
    <t>Kamis, 30 Januari 2025</t>
  </si>
  <si>
    <t>11.13 s/d 12.30 Wita</t>
  </si>
  <si>
    <t>Menindaklanjuti laporan warga perihal meminta bantuan evakuasi ular yang berada di atas plafon rumah beralamat Komp. Wengga THP 4 RT. 44 RW. 07 No. 235 kel. Guntung Manggis Kec. Landasan Ulin. Petugas langsung menuju lokasi pelapor dan melakukan pencarian di atas plafon. Ular tidak berhasil ditemukan. Petugas mengerahkan 1 Unit Ops Damkar Truk Ton III.</t>
  </si>
  <si>
    <t xml:space="preserve"> Caca No Telp. 085934827314</t>
  </si>
  <si>
    <t>Jum`at, 31 Januari 2025</t>
  </si>
  <si>
    <t>00.50 s/d 01.15 Wita</t>
  </si>
  <si>
    <t>Menindaklanjuti laporan warga perihal meminta bantuan evakuasi ular yang terlihat di dapur rumah pelapor beralamat Jl. Komet Raya Gg. VI RT. 03 RW. 04 Kel. Mentaos Kec. Banjarbaru Utara. Petugas menuju lokasi pelapor dan melakukan pencarian. Ular berhasil di evakuasi dan dilepasliarkan. Petugas mengerahkan 1 Unit Ops Damkar Mobil Hilux Kajama Rescue.</t>
  </si>
  <si>
    <t>Rizani No Telp. 082255161830</t>
  </si>
  <si>
    <t>13.20 s/d 14.10 Wita</t>
  </si>
  <si>
    <t>Menindaklanjuti laporan warga perihal meminta bantuan evakuasi ular yang berada ibawah mesin cuci rumah pelapor beralamat Jl. Kebun Karet RT. 016 RW. 007 Kel. Loktabat Utara Kec. Banjarbaru Utara. Petugas menuju lokasi pelapor dan melakukan pencarian. Ular tidak berhasil ditemukan. Petugas mengerahkan 1 Unit Ops Damkar Truk Ton III.</t>
  </si>
  <si>
    <t>Aditya No Telp. 0895700640767</t>
  </si>
  <si>
    <t>TAHUN 2025</t>
  </si>
  <si>
    <t>Selasa, 14 Januari 2025</t>
  </si>
  <si>
    <t>08.04 s/d 09.09 Wita</t>
  </si>
  <si>
    <t xml:space="preserve"> Satria No Telp. 085654789903</t>
  </si>
  <si>
    <t>15.04 s/d 16.30 Wita</t>
  </si>
  <si>
    <t>Menindaklanjuti laporan warga an. Dayah No Telp. 085246151554 perihal telah terjadi kebakaran bangunan beralamat Jl. Kasturi 2 Komp. Sumber Cahaya Indah RT. 38 RW. 06 Kel. Syamsudin Noor Kec. Landasan Ulin. Kerugian yang ditimbulkan menghanguskan peralatan dapur dan 50% bangunan terbakar. Pemilik atas nama Bapak Gery Suharto 1 KK 1 Jiwa. Asal api arus pendek listrik. Petugas mengerahkan 1 Unit Ops Damkar Truk Tangki Kajama 3500 Liter.</t>
  </si>
  <si>
    <t>Menindaklanjuti laporan warga perihal meminta bantuan evakuasi mobil yan AS Rodanya patah beralamat Jl. Karang Rejo Kel. Guntung Manggis Kec. Landasan Ulin. Mobil berhasil di evakuasi. Petugas menggunakan Ops Damkar Truk Ton III</t>
  </si>
  <si>
    <t>Bapak Agus No Telp. 08538875690</t>
  </si>
  <si>
    <t>23.17 s/d 00.04 Wita</t>
  </si>
  <si>
    <t>Sabtu, 1 Februari 2025</t>
  </si>
  <si>
    <t>Minggu, 2 Februari 2025</t>
  </si>
  <si>
    <t>07.15 s/d 08.10 Wita</t>
  </si>
  <si>
    <t>Menindaklanjuti laporan warga perihal meminta bantuan evakuasi ular yang berada di rumah pelapor beralamat JL. Amanah RT. 4 RW. 2 Kel. Loktabat Selatan Kec. Banjarbaru Selatan. Ular berhasil di evakuasi dan dilepasliarkan. Petugas mengerahkan 1 Unit Ops Damkar Truk Ton III.</t>
  </si>
  <si>
    <t>Siti Alimah No Hp. 083867277415</t>
  </si>
  <si>
    <t>09.37 s/d 10.00 Wita</t>
  </si>
  <si>
    <t>Menindaklajuti laporan warga perihal meminta bantuan evakuasi ular yang terlihat di dalam kamar rumah pelapor. Petugas menuju lokasi pelapor dan melakukan pencarian. Ular berhasil di evakuasi dan dilepasliarkan. Petugas mengerahkan 1 Unit Ops Damkar Mobil Hilux Kajama Rescue.</t>
  </si>
  <si>
    <t>Athfal Adiefa No Telp. 0812289745996</t>
  </si>
  <si>
    <t>Senin, 3 Februari 2025</t>
  </si>
  <si>
    <t>Menindaklanjuti laporan warga perihal meminta bantuan evakuasi ular yang berada dihalaman gudang tempat usaha pelapor beralamat BIB Production Jl. Sidomulyo Raya RT. 03 RW. 09 Kel. Landasan Ulin Timur Kec. Landasan Ulin. Ular tidak berhasil di evakuasi karena tidak ditemukan. Petugas mengerahkan 1 Unit Ops Damkar Truk Ton III.</t>
  </si>
  <si>
    <t>Aan G No Telp. 085716426747</t>
  </si>
  <si>
    <t>09.30 s/d 10.10 Wita</t>
  </si>
  <si>
    <t>Menindaklanjuti laporan warga perihal meminta bantuan evakuasi ular yang berada di dapur rumah beliau beralamat Komp. Abadi Persada 2 RT. 03 Kel. Cempaka Kec. Cempaka. Ular berhasil di evakuasi dan dilepasliarkan. Petugas mengerahkan 1 Unit Ops Damkar Mobil Hilux Kajama Rescue.</t>
  </si>
  <si>
    <t>Amera No Telp. 081251991099</t>
  </si>
  <si>
    <t>Selasa, 4 Februari 2025</t>
  </si>
  <si>
    <t>07.20 s/d 07.55 Wita</t>
  </si>
  <si>
    <t>Menindaklanjuti laporan warga perihal meminta bantuan evakuasi ular yang berada dihalaman samping rumah pelapor beralamat Jl. Al Jafri No. 39 RT. 13 RW. 03 Kel. Kemuning Kec. Banjarbaru selatan. Ular berhasil di evakuasi dan dilepasliarkan. Petugas mengerahkan 1 Unit Ops Damkar Truk Ton III.</t>
  </si>
  <si>
    <t xml:space="preserve"> Fika No Telp. 081253522522</t>
  </si>
  <si>
    <t>17.00 s/d 18.10 Wita</t>
  </si>
  <si>
    <t>Menindaklanjuti laporan warga perihal meminta bantuan evakuasi ular yang berada di bawah tangga berlamat Komp. Wengga No. 05 RT. 044 RW. 04 Kel. Guntung Manggis Kec. Landasan Ulin. Ular berhasil di evakuasi dan dilepasliarkan. Petugas mengerahkan 1 UNit Ops Damkar Mobil Hilux Kajama Rescue.</t>
  </si>
  <si>
    <t>Khadijah No Telp. 085754195002</t>
  </si>
  <si>
    <t>Rabu, 5 Februari 2025</t>
  </si>
  <si>
    <t>07.34 s/d 09.10 Wita</t>
  </si>
  <si>
    <t>Menindaklanjuti laporan warga perihal meminta bantuan evakuasi ular yang berada dalam mobil pelapor beralamat Komp. Benawa Raya Jl, Madinah Kel. Guntung Manggis Kec. Landasan Ulin. Petugas melakukan pencarian dan tidak menemukan ular tersebut. Petugas mengerahkan 1 Unit Ops Damkar Mobil Hilux Kajama Rescue.</t>
  </si>
  <si>
    <t>Hendriani No Telp. 081250682393</t>
  </si>
  <si>
    <t>12.25 s/d 13.00 Wita</t>
  </si>
  <si>
    <t>Menindaklanjuti laporan warga perihal meminta bantuan evakuasi ular yang terlihat didalam rumah pelapor beralamat Komp, Permata Damai Huni Bunda 2 Blok B No. 49 RT. 19 RW. 08 Kel. Loktabat Utara Kec. Banjarbaru Utara. Ular berhasil di evakuasi dan dilepasliarkan. Petugas mengerahkan 1 Unit Ops Damkar Mobil Hilux Kajama Rescue.</t>
  </si>
  <si>
    <t>Hendiansyah No Telp. 085246824235</t>
  </si>
  <si>
    <t>Kamis, 6 Februari 2025</t>
  </si>
  <si>
    <t>10.24 s/d 11.50 Wita</t>
  </si>
  <si>
    <t>Menindaklanjuti laporan warga perihal meminta bantuan evakuasi ular yang masuk kedalam gudang rumah pelapor beralamat Komp. Bumi Hunia Permai 3 Blok B No. 10 RT. 07 RW. 01 Kel. Cempaka Kec. Cempaka. Petugas melakukan pencarian disekitar rumah pelapor dan ular tidak berhasil ditemukan. Petugas mengerahkan 1 Unit Ops Damkar Truk Ton IV.</t>
  </si>
  <si>
    <t>Kurnia No Telp. 085389103696</t>
  </si>
  <si>
    <t>Jum`at, 7 Februari 2025</t>
  </si>
  <si>
    <t>07.24 s/d 08.20 Wita</t>
  </si>
  <si>
    <t>Menindaklanjuti laporan warga perihal meminta bantuan evakuasi ular yang berada di atas drum beralamat Jl. A. Yani Km. 21 RT. 01 RW. 05 Kel. Landasan Ulin Barat Kec. Liang Anggang. Ular berhasil di evakuasi dan dilepasliarkan. Petugas mengerahkan 1 Unit Ops Damkar Mobil Hilux Kajama Rescue.</t>
  </si>
  <si>
    <t>Cici No Telp. 087819133882</t>
  </si>
  <si>
    <t>20.16 s/d 21.10 Wita</t>
  </si>
  <si>
    <t>Menindaklanjuti laporan warga perihal meminta bantuan evakuasi ular yang berada di dalam gudang beralamat Jl. Sukarelawan Gg. Alman No. 40 A RT. 24 RW. 10 Kel. Loktabat Utara Kec. Banjarbaru Utara. Ular berhasil di evakuasi dan dilepasliarkan. Petugas mengerahkan 1 Unit Ops Damkar Truk Ton IV.</t>
  </si>
  <si>
    <t>Sukma Eriyadi No Telp. 082150333111</t>
  </si>
  <si>
    <t>Sabtu, 8 Februari 2025</t>
  </si>
  <si>
    <t>07.35 s/d 09.00 Wita</t>
  </si>
  <si>
    <t>Menindaklanjuti laporan warga perihal meminta bantuan evakuasi Ban yang berada dalam Drainase Beralamat Jl. Angkasa No. 7 Kel. Syamsudin Noor Kec. Landasan Ulin. Ban berhasil di evakuasi. Petugas mengerahkan 1 Unit Ops Damkar Mobil Hilux Kajama Rescue.</t>
  </si>
  <si>
    <t>Rony No Telp. 08565339065</t>
  </si>
  <si>
    <t>Ban</t>
  </si>
  <si>
    <t>16.48 s/d 17.45 Wita</t>
  </si>
  <si>
    <t>Menindaklanjuti laporan warga perihal meminta bantuan evakuasi mobil yang oleng dan masuk ke dalam drainase beralamat Jl. Karang Rejo RT. 05 RW. 01 Kel. Guntung Manggis Kec. Landasan Ulin. Mobil berhasil di evakuasi. Petugas mengerahkan 1 Unit Ops Damkar Mobil Hilux Kajama Rescue.</t>
  </si>
  <si>
    <t xml:space="preserve"> Rifky No Telp. 085389463271</t>
  </si>
  <si>
    <t>Minggu, 9 Februari 2025</t>
  </si>
  <si>
    <t>11.19 s/d 14.00 Wita</t>
  </si>
  <si>
    <t>Menindaklanjuti laporan warga perihal meminta bantuan evakuasi pohon tumbang di depan rumah pelapor dan menghalangi jalan beralamat Jl. Komet Raya Gang 3 Kel. Mentaos Kec. Banjarbaru Utara. Petugas berhasil mengevakuasi pohon tumbang tersebut. Petugas mengerahkan 1 Unit Ops Damkar Truk Ton III.</t>
  </si>
  <si>
    <t>Ade No Telp. 082353792910</t>
  </si>
  <si>
    <t>Senin, 10 Februari 2025</t>
  </si>
  <si>
    <t>Menindaklanjuti laporan warga perihal meminta bantuan evakuasi cincin yang tidak bisa dilepas beralamat Komp. Sumber Indah No. 103 A RT. 03 RW. 02 Kel. Mentaos kec. Banjarbaru Utara. Cincin berhasil di potong. Petugas mengerahkan 1 Unit Ops Damkar Truk Ton III.</t>
  </si>
  <si>
    <t>Faiz No Telp. 089508926226</t>
  </si>
  <si>
    <t>8 orang/1 unit
1. Nur Hidayah, SE
2. Ranu Wibowo
3. Imam Kastalani
4. M. Fikri Nisfuadi
5. Budi Adi
6. Muhammad Noor
7 Bambang Arry Arsono
8. M. Dadang Kurniwan</t>
  </si>
  <si>
    <t>12.35 s/d 13.50 Wita</t>
  </si>
  <si>
    <t>Menindaklanjuti laporan warga perihal meminta bantuan evakuasi anjing yang masuk kedalam sumur beralamat Jl. Transat Blok D No. 47 RT. 22 RW. 03 Kel. Guntung Manggis Kec. Landasan Ulin. Anjing berhasil di evakuasi. Petugas mengerahkan 1 UNit Ops Damkar Truk Ton III.</t>
  </si>
  <si>
    <t xml:space="preserve">Ibu Forest No Telp. 085845961303 </t>
  </si>
  <si>
    <t>8 orang/1 unit
1. Syafrullah
2. Nur Hidayah, SE
3. Agus Budianto
4. Ade Susanto
5. Misladin
6. M. Yoppie Wirawan
7. Budi Adi
8. Muhammad Noor</t>
  </si>
  <si>
    <t>Kamis, 13 Februari 2025</t>
  </si>
  <si>
    <t>Menindaklanjuti laporan warga perihal meminta bantuan evakuasi ular yang berada di kandang ayam milik pelapor beralamat Kom. Pondok Satria Jaya Blok F RT. 26 RW. 10 Kel. Loktabat Utara Kec. Banjarbaru Utara. Ular berhasil di evakuasi dan dilepasliarkan. Petugas mengerahkan 1 Unit Ops Damkar Truk Ton IV.</t>
  </si>
  <si>
    <t>Rifky No Telp. 087874114605</t>
  </si>
  <si>
    <t>3 orang/1 unit
1. Ranu Wibowo
2. Imam Kastalani
3. M. Fikri Nisfuadi</t>
  </si>
  <si>
    <t>Jum`at, 14 Februari 2025</t>
  </si>
  <si>
    <t>07.40 s/d 08.50 Wita</t>
  </si>
  <si>
    <t>Menindaklanjuti laporan warga perihal meminta bantuan evakuasi ular yang berada dirumah pelapor beralamat Jl, Komet Raya Gg. V No. 5 RT. 03 RW. 04 Kel. Mentaos Kec. Banjarbaru Utara. Petugas melakukan pencarian disekitar rumah pelapor dan ular tidak ditemukan. Petugas mengerahkan 1 Unit Ops Damkar Mobil Hilux Kajama Rescue.</t>
  </si>
  <si>
    <t>Bapak Iyus No Telp. 081350097202</t>
  </si>
  <si>
    <t>4 orang/1 unit
1. Agus Budianto
2. Ade Susanto
3. Misladin
4. M. Yoppie Wirawan</t>
  </si>
  <si>
    <t>14.11 s/d 15.50 Wita</t>
  </si>
  <si>
    <t>Menindaklanjuti laporan warga perihal meminta bantuan evakuasi sarang lebah di dalam ex. Bangunan sarang wallet beralamat Komp. Jeruk Raya Blok C No. 27 RT. 49 RW. 01 Kel. Sungai Besar Kec. Banjarbaru Selatan. Petugas berhasil memusnahkan sarang lebah dengan cara dibakar. Petugas mengerahkan 1 Unit Ops Damkar Truk Tangki Kajama 3500 Liter</t>
  </si>
  <si>
    <t>Triya Ismail No Telp. 083844716717</t>
  </si>
  <si>
    <t>8 orang/1 unit
1. Nur Hidayah, SE
2. M Sairus Sakati
3. Budi Adi
4. Muhammad Noor
5. Bamabang Arry Arsono
6. Ranu Wibowo
7. Imam Kastalani
8. M. Fikri Nisfuadi</t>
  </si>
  <si>
    <t>Sabtu, 15 Februari 2025</t>
  </si>
  <si>
    <t>12.22 s/d 13.20 Wita</t>
  </si>
  <si>
    <t>Risa No Telp. 083183481040</t>
  </si>
  <si>
    <t>Menindaklanjuti laporan warga  perihal meminta bantuan evakuasi ular yang terlihat ruang SPA beralamat Jl. A. Yani Km. 29,5 Glams Health And Beauty Kel. Guntung Payung Kec. Landasan Ulin. Petugas melakukan pencarian dilokasi pelapor dan ular tidak berhasil ditemukan. Petugas mengerahkan 1 Unit Ops Damkar Truk Ton IV.</t>
  </si>
  <si>
    <t>8 orang/1 unit
1. Ranu Wibowo
2. Imam Kastalani
3.M. Fikri Nisfuadi
4. Agus Budianto
5. Ade Susanto
6. Misladin
7. Budi Adi
8. Bambang Arry Arsono</t>
  </si>
  <si>
    <t>Senin, 17 Februari 2025</t>
  </si>
  <si>
    <t>09.40 s/d 12.15 Wita</t>
  </si>
  <si>
    <t>Menindaklanjuti laporan warga perihal meminta bantuan evakuasi tali tiang bendera yang nyangkut di rel bagian atas beralamat SMPN 6 Banjarbaru Jl. P.M. Noor RT. 23 RW. 04 Kel. Sungai Ulin Kec. Banjarbaru Selatan. Tali tiang bendera berhasil dibetulkan dengan menggunakan tangga untuk naik. Petugas menegerahkan 1 Unit Ops Damkar Truk Tangki Kajama 3500 Liter.</t>
  </si>
  <si>
    <t>Rahmat (Guru SMP 6 Banjarbaru) No Telp. 085161313830</t>
  </si>
  <si>
    <t>Tali Tiang Bendera</t>
  </si>
  <si>
    <t>8 orang/1 unit
1. Nur Hidayah, SE
2. M. Sairus Sakati
3. Budi Adi
4. Muhammad Noor
5. Bambang Arry Arsono
6. Agus Budianto
7. Misladin
8. M. Yoppie Wirawan</t>
  </si>
  <si>
    <t>Selasa, 18 Februari 2025</t>
  </si>
  <si>
    <t>00.15 s/d 00.45 Wita</t>
  </si>
  <si>
    <t xml:space="preserve">Menindaklanjuti laporan warga perihal meminta bantuan evakuasi ular jenis phyton terlihat berada di halaman depan Alfamart beralamat Alfamart Jl. Mistarcokrokusumo RT. 15 RW. 03 Kel. Sungai Besar Kec. Banjarbaru Selatan. Ular berhasil di evakuasi dan dilepasliarkan. Petugas mengerahkan 1 Unit Ops Damkar Truk Tangki Kajama 3500 Liter </t>
  </si>
  <si>
    <t>Ridho Dwi Saputra No Telp. 082357707007</t>
  </si>
  <si>
    <t>4 orang/1 unit
1. M. Sairus Sakati
2. Budi Adi
3. Muhammad Noor
4. Bambang Arry Arsono</t>
  </si>
  <si>
    <t>Rabu, 19 Februari 2025</t>
  </si>
  <si>
    <t>20.31 s/d 21.20 Wita</t>
  </si>
  <si>
    <t>Menindaklanjuti laporan warga perihal meminta bantuan evakuasi asarang tawon endas yang berada di kwasan RTH Mesjid Agung beralamat Jl. Trikora RTH Mesjid Agung Kel. Kemuning Kec. Banjarbaru Selatan. Sarang Tawon berhasil dmusnahkan dengan cara dibakar. Petugas mengerahkan 1 Unit Ops Damkar Mobil Hilux Kajama Rescue.</t>
  </si>
  <si>
    <t>Bapak Ufik No Telp. 085240492015</t>
  </si>
  <si>
    <t>8 orang/1 unit
1. Syafrullah, S.Sos, M. Si
2. Agus Budianto
3. Ade Susanto
4. Misladin
5. M. Yoppie Wirawan
6. Ranu Wibowo
7. Imam Kastalani
8. M. Fikri Nisfuadi</t>
  </si>
  <si>
    <t>Kamis, 20 Februari 2025</t>
  </si>
  <si>
    <t>05.30 s/d 06.20 Wita</t>
  </si>
  <si>
    <t>Menindaklanjuti laporan warga perihal meminta bantuan evakuasi ular yang berada di dapur rumah pelapor beralamat Komp. Pesona Harmoni No. 6 D RT. 13 RW. 09 Kel. Guntung Manggis, Kec. Landasan Ulin. Ular berhasil di evakuasi dan dilepasliarkan. Petugas mengerahkan 1 Unit Ops Damkar Mobil Hilux Kajama Rescue.</t>
  </si>
  <si>
    <t xml:space="preserve">Bapak Zai No Telp. 082249086149 </t>
  </si>
  <si>
    <t>5 orang/1 unit
1. Agus Budianto
2. Ade Susanto
3. Miladin
4. M. Yoppie Wirawan
5. M. Dadang Kurniwan</t>
  </si>
  <si>
    <t>Jum`at, 21 Februari 2025</t>
  </si>
  <si>
    <t>13.51 s/d 15.10 Wita</t>
  </si>
  <si>
    <t>Menindaklanjuti laporan warga perihal meminta bantuan evakuasi ular yang berada di atas glagar atap rumah beralamat Jl. Sriwijaya  Komp. Nur Anugerah sejahtera Kel.Landasan Ulin Utara Kec.  Liang Anggang. Ular berhasil di evakuasi dan dilepasliarkan. Petugas mengerahkan 1 Unit Ops Damkar Mobil Hilux Kajama Rescue.</t>
  </si>
  <si>
    <t>Minasari No Telp. 083141012072</t>
  </si>
  <si>
    <t>8 orang/1 unit
1. Syafrullah, S.Sos, M. Si
2. Ranu Wibowo
3. Imam Kastalani
4. M. Fikri Nisfuadi
5. Agus Budianto
6. Ade Susanto
7. Misladin
8. M. Yoppie Wirawan</t>
  </si>
  <si>
    <t>Sabtu, 22 Februari 2025</t>
  </si>
  <si>
    <t>06.30 s/d 07.00 Wita</t>
  </si>
  <si>
    <t>Menindaklanjuti laporan warga perihal meminta bantuan evakuasi ular yang berada di dalam kamar mandi rumah pelapor beralamat Jl. April No. 56 Komp. Idaman Estate RT. 05 RW. 05 Kel. Guntung Paikat Kec. Banjarbaru Selatan. Ular berhasil di evakuasi dan dilepasliarkan. Petugas mengerahkan 1 Unit Ops Damkar Truk Ton IV.</t>
  </si>
  <si>
    <t>Surbakti No Telp. 085228844498</t>
  </si>
  <si>
    <t>5 orang/1 unit
1. Ranu Wibowo
2. Imam Kastalani
3. M. Fikri Nisfuadi
4. Bambang Arry Arsono
5. M. Dadang Kurniwan</t>
  </si>
  <si>
    <t>10.32 s/d 11.10 Wita</t>
  </si>
  <si>
    <t>Menindaklanjuti laporan warga perihal meminta bantuan evakuasi ular yang berada di halaman pelapor beralamat Komp. Benawa Raya Jl. Arafah No. 87 RT. 46 RW. 01 Kel. Guntung Manggis Kec. Landasan Ulin. Ular berhasil di evakuasi dan dilepasliarkan. Petugas mengerahkan 1 Unit Ops Damkar Mobil Hilux Kajama Rescue.</t>
  </si>
  <si>
    <t>Ibu Siti No Telp. 081348182833</t>
  </si>
  <si>
    <t>8 orang/1 unit
1. Syafrullah, S.Sos, M. Si
2. Nur Hidayah, SE
3. Agus Budianto
4. Ade Susanto
5. Misladin
6. M. Yoppie Wirawan
7. Budi Adi
8. Muhammad Noor</t>
  </si>
  <si>
    <t>Minggu, 23 Februari 2025</t>
  </si>
  <si>
    <t>Menindaklanjuti laporan warga perihal meminta bantuan evakuasi kucing yang terjebak di atas plafon rumah pelapor beralamat Komp. Griya Indah 2 Blok. C No. 09 RT. 27 RW. 03 Kel. Kemuning Kec. Banjarbaru Selatan. Kucing berhasil di evakuasi dengan selamat. Petugas mengerahkan 1 Unit Ops Damkar Mobil Hilux Kajama Rescue.</t>
  </si>
  <si>
    <t>Ahmad Fauzan No Telp. 081257599091</t>
  </si>
  <si>
    <t>6 orang/1 unit
1. Agus Budianto
2. Ade Susanto
3. Misladin
4. M. Yoppie Wirawan
5. Imam Kastalani
6. M. Dadang Kurniwan</t>
  </si>
  <si>
    <t>19.16 s/d 20.00 Wita</t>
  </si>
  <si>
    <t>Menindaklanjuti laporan warga perihal meminta bantuan evakuasi ular yang berjenis Phyton terlihat di gorong-gorong depan rumah pelapor beralamat Jl. Ojolali Ujung RT. 18 RW. 07 Kel. Loktabat Utara Kec. Banjarbaru Utara. Ular berhasil di evakuasi dan dilepasliarkan. Petugas mengerahkan 1 Unit Ops Damkar Mobil Hilux Kajama Rescue.</t>
  </si>
  <si>
    <t>Yusiriza No telp. 087840512694</t>
  </si>
  <si>
    <t>8 orang/1 unit 
1. Syafrullah, S.Sos, M.Si
2. Nur Hidayah, SE
3. M. Sairus Sakati
4. Budi Adi
5. Muhammad Noor
6. Bambang Arry Arsono
7. Ranu Wibowo
8 M. Fikri Nisfuadi</t>
  </si>
  <si>
    <t>Senin, 24 Februari 2025</t>
  </si>
  <si>
    <t>16.23  s/d 17.30 Wita</t>
  </si>
  <si>
    <t>Menindaklanjuti laporan warga Perihal meminta bantuan evakuasi ular yang berada di dalam rumah pelapor beralamat Jl. Garuda No. 76 RT. 05 RW. 03 Kel. Komet Kec. Banjarbaru Utara. Petugas melakukan pencarian dirumah pelapor dan ular tidak dapat ditemukan. Petugas mengerahkan 1 Unit Ops Damkar Truk Ton IV.</t>
  </si>
  <si>
    <t>Fariz No telp. 0877745511839</t>
  </si>
  <si>
    <t>5 orang/1 unit
1. Nur Hidayah, SE
2. Ranu Wibowo
3. Imam Kastalani
4. M. Fikri Nisfuadi
5. M. Dadang Kurniwan</t>
  </si>
  <si>
    <t>Selasa, 25 Februari 2025</t>
  </si>
  <si>
    <t>06.57 s/d 07.20 Wita</t>
  </si>
  <si>
    <t>Menindaklanjuti laporan warga perihal meminta bantuan evakuasi ular yang berada diteras rumah pelapor beralamat Jl. Galang RT. 03 RW. 01 Kel. Kemuning Kec. Banjarbaru Selatan. Ular berhasil di evakuasi dan dilepasliarkan. Petugas mengerahkan 1 Unit Ops Damkar Truk Ton IV.</t>
  </si>
  <si>
    <t>Rama No Telp. 089691392824</t>
  </si>
  <si>
    <t>11.20 s/d 12.30 Wita</t>
  </si>
  <si>
    <t>Menindaklanjuti laporan warga yang langsung datang ke Upt Damkar yang meminta bantuan evakuasi cincin anak pelapor yang tidak bisa dilepas beralamat Jl. Permai Barat II No. 178 RT. 37 RW. 07 Kel. Sungai Besar. Cincin berhasil dilepas dengan cara dipotong. Petugas mengerahkan 1 Unit Ops Damkar Mobil Hilux Kajama Rescue.</t>
  </si>
  <si>
    <t>Langsung Datang ke UPT Damkar</t>
  </si>
  <si>
    <t>7 orang/1 unit
1. Syafrullah, S.Sos, M.Si
2. Nur Hidayah, SE</t>
  </si>
  <si>
    <t>Rabu, 26 Februari 2025</t>
  </si>
  <si>
    <t>00.20 s/d 01.01 Wita</t>
  </si>
  <si>
    <t>Menindaklanjuti laporan dari Kepala UPT Damkar Kota Banjarbaru perihal adanya ular di dalam rumah warga yang beralamat Jl. RP. Soeparto No. 29 RT. 04 RW. 05 Kel. Mentaos Kec. Banjarbaru Utara. Ular berhasil di evakuasi dan dilepasliarkan. Petugas mengerahkan 1 Unit Ops Damkar Mobil Hilux Kajma Rescue.</t>
  </si>
  <si>
    <t>Kepala UPT Damkar Kota Banjararu</t>
  </si>
  <si>
    <t>16.15 s/d 17.15 Wita</t>
  </si>
  <si>
    <t>Menindaklanjuti laporan warga perihal meminta bantuan evakuasi ular yang terlihat dihalaman belakang rumah pelapor beralamat Toko Afdol Variasi Jl. A. Yani Km. 34 No. 42 RT. 01 Rw. 01 Kel. Loktabat Selata Kec. Banjarbaru Selatan. Petugas melakukan pencarian ular pun tidak dapat ditemukan. Petugas mengerahkan 1 Unit Ops Damkar Truk Ton IV.</t>
  </si>
  <si>
    <t>Hari (Afdol Variasi) No Telp. 087843211913</t>
  </si>
  <si>
    <t>6 orang/2 unit
1. Syafrullah, S.Sos, M.Si
2. Nur Hidayah, SE
3. M. Sairus Sakati
4. Budi Adi
5. Muhammad Noor
6. Bambang Arry Arsono</t>
  </si>
  <si>
    <t>Jum`at. 28 Februari 2025</t>
  </si>
  <si>
    <t>00.25 s/d 01.05 Wita</t>
  </si>
  <si>
    <t>Menindaklanjuti laporan warga  perihal meminta bantuan evakuasi ular yang berada di pos Satpam beralamat Jl. Panglima Batur (Pos Satpam PLN Kalsel-Teng) Kel. Mentaos Kec. Banjarbaru Utara. Ular berhasil di evakuasi dan dilepasliarkan. Petugas mengerahkan 1 Unit Ops Damkar Truk Ton IV.</t>
  </si>
  <si>
    <t>4 orang/1 unit
1. Ranu Wibowo
2. Imam Kastalani
3. M. Fikri Nisfuadi
4. Bambang Arry Arsono</t>
  </si>
  <si>
    <t>15.05 s/d 15.58 Wita</t>
  </si>
  <si>
    <t>Menindaklanjuti lapporan warga perihal meminta bantuan evakuasi Biawak yang berada di dalam rumah beliau beralamat Jl. Sriwijaya Komp. Keruing Indah Minimalis III No A3 Kel. Landasan Ulin Utara Kec. Liang Anggang. Biawak berhasil di evakuasi dan dilepasliarkan. Petugas mengerahkan 1 Unit Ops Damkar Mobil Hilux Kajama Rescue.</t>
  </si>
  <si>
    <t>Ibu Tiwi No Telp. 082153589337</t>
  </si>
  <si>
    <t>7 orang/1 unit
1. Syafrullah, S.Sos, M.Si
2. Agus Budianto
3. Ade Susanto
4. Misladin
5. M. Yoppie Wirawan
6. Budi Adi
7. Muhammad Noor</t>
  </si>
  <si>
    <t>8 orang/1 unit
1. Syafrullah, S.Sos, M. Si
2. Agus Budianto
3. Ade Susanto
4. Misladin
5. M. Yoppie Wirawan
6. Muhammad Noor
7. Bambang Arry Arsono
8. M. Fikri Nisfuadi</t>
  </si>
  <si>
    <t>4 orang /1 unit
1. Agus Budianto
2. Ade Susanto
3. Misladin
4. M. Yoppie Wirawan</t>
  </si>
  <si>
    <t>7 orang/1 unit
1. Syafrullah, S.Sos, M.Si
2. Nur Hidayah, SE
3. M. Sairus Sakati
4. Budi Adi
5. Muhammad Noor
6. Bambang Arry Arsono
7. M. Dadang Kurniwan</t>
  </si>
  <si>
    <t>4 orang/1 unit
1. Sairus Sakati
2. Budi Adi
3. Muhammad Noor
4. Bambang Arry Arsono</t>
  </si>
  <si>
    <t>7 orang /1 unit
1. Syafrullah, S.Sos, M.Si
2. Ranu Wibowo
3. Agus Budianto
4. Ade Susanto
5. Misladin
6. M. Yoppie Wirawan
7. M. Dadang Kurniwan</t>
  </si>
  <si>
    <t>4 orang/1 unit
1. Ranu Wibowo
2. Imam Kastalani
3. M. Fikri Nisfuadi
4. Muhammad Noor</t>
  </si>
  <si>
    <t>8 orang/1 unit
1. Syafrullah, S.Sos, M.Si
2. Agus Budianto
3. Ade Susanto
4. Misladin
5. M. Yoppie Wirawan
6. Budi Adi
7. Bambang Arry Arsono
8. M. Dadang Kurniwan</t>
  </si>
  <si>
    <t>8 orang/1 unit
1. Syafrullah, S.Sos, M. Si
2. Nur Hidayah, SE
3. Ranu Wibowo
4. Imam Kastalani
5. M. Fikri Nisfuadi
6. Budi Adi
7. Muhammad Noor
8. M. Dadang Kurniwan</t>
  </si>
  <si>
    <t>4 orang /1 unit
1. Ranu Wibowo
2. Imam Kastalani
3. M. Fikri Nisfuadi
4. Budi Adi</t>
  </si>
  <si>
    <t>8 orang/1 unit
1. Syafrullah
2. Agus Budianto
3. Ade Susanto
4. Misladin
5. M. Yoppie Wirawan
6. Muhammad Noor
7. Bambang Arry Arsono
8. M. Dadang Kurniwan</t>
  </si>
  <si>
    <t>5 orang/1 unii
1. Ranu Wibowo
2. Imam Kastalani
3. M. Fikri Nisfuadi
4. Bambang Arry Arsono
5. M. Dadang Kurniwan</t>
  </si>
  <si>
    <t>7 orang /1 unit
1. Nur Hidayah, SE
2. M. Sairus Sakati
3. Budi Adi
4. Muhammad Noor
5. Bambang Arry Arsono
6. Imam Kastalani
7. M. Fikri Nisfuadi</t>
  </si>
  <si>
    <t>6 orang/1 unit 
1. Agus Budianto
2. Ade Susanto
3. Misladin
4. M. Yoppie Wirawan
5. Ranu Wibowo
6. M. Dadang Kurniwan</t>
  </si>
  <si>
    <t>8 orang/1 unit
1. Ranu Wibowo
2. Imam Kastalani
3.M. Fikri Nisfuadi
4. Wahyudi 
5. Agus Budianto
6. Ade Susanto
7. Misladin
8. M. Dadang Kurniwan</t>
  </si>
  <si>
    <t>6 orang/1 unit
1. Agus Budianto
2. Ade Susanto
3. Misladin
4. M. Yoppie Wirawan
5. Budi Adi
6. Bambang Arry Arsono</t>
  </si>
  <si>
    <t>6 orang / 1 unit
1. Nur Hidayah, SE
2. Agus Budianto
3. Ade Susanto
4. Misladin
5. M. Yoppie Wirawan
6. M. Dadang Kurniwan</t>
  </si>
  <si>
    <t xml:space="preserve"> 8 orang/1 unit
1. Syafrullah, S.Sos, M.Si
2. M. Sairus Sakati
3. Budi Adi
4. Muhammad Noor
5. Bambang Arry Arsono
6. Ranu Wibowo
7. Imam Kastalani
8. M. Fikri Nisfuadi</t>
  </si>
  <si>
    <t>8 orang/1 unit
1. Syafrullah, S.sos, M.Si
2. Ranu Wibowo
3. Imam Kastalani
4. M. Fikri Nisfuadi
5. Wahyudi
6. Agus Budianto
7. Misladin
8. M. Yoppie Wirawan</t>
  </si>
  <si>
    <t>8 orang/1 unit
1. Syafrullah, S.Sos, M.Si
2. Nur Hidayah, SE
3. M. Sairus Sakati
4. Budi Adi
5. Muhammad Noor
6. Bambang Arry arsono
7. Ranu Wibowo
8. M. Fikri Nisfuadi</t>
  </si>
  <si>
    <t>3 orang/1 unit
1. Budi Adi
2. Muhammad Noor
3. Bambang Arry Arsono</t>
  </si>
  <si>
    <t>8 orang/1 unit
1. Syafrullah, S.Sos, M.Si
2. Nur Hidayah, SE
3. Ranu Wibowo
4. Imam Kastalani
5. M. Fikri Nisfuadi
6. Wahyudi
7. Ade Susanto
8. Misladin</t>
  </si>
  <si>
    <t>5 orang/1 unit
1. Ranu Wibowo
2. Imam Kastalani
3. M. Fikri Nisfuadi
4. Wahyudi
5. Budi Adi</t>
  </si>
  <si>
    <t>8 orang/1 unit
1. Nur Hidayah, SE
2. Agus Budianto
3. Ade Susanto
4. Misladin
5. M. Yoppie Wirawan
6. Muhammad Noor
7. Bambang Arry Arsono
8. M. Dadang Kurniwan</t>
  </si>
  <si>
    <t>8 orang/1 unit
1. Syafrullah, S.Sos, M.Si
2. Ranu Wibowo
3. Imam Kastalani
4. M. Fikri Nisfuadi
5. Wahyudi
6. Agus Budianto
7. M. Yoppie Wirawan
8. M. Dadang Kurniwan</t>
  </si>
  <si>
    <t>5 orang/1 unit
1. Ranu Wibowo
2. Imam Kastalani
3. M. Fikri Nisfuadi
4. Wahyudi
5. Bambang Arry Arsono</t>
  </si>
  <si>
    <t>8 orang/1 unit
1, Syafrullah, S.Sos, M.Si
2. Agus Budianto
3. Ade Susanto
4. Misladin
5. M. Yoppie Wirawan
6. Budi Adi
7. Muhammad Noor
8. M. Dadang Kurniwan</t>
  </si>
  <si>
    <t>6 orang/1 unit
1. Agus Budianto
2. Ade Susanto
3. Misladin
4. M. Yoppie Wirawan
5. M. Fikri Nisfuadi
6. M. Dadang Kurniwan</t>
  </si>
  <si>
    <t>8 orang/1 unit
1. Syafrullah, S.Sos, M.Si
2. Nur Hidayah, SE
3. M. Sairus Sakati
4. Budi Adi
5. Muhammad Noor
6. Bambang Arry arsono
7. Imam Kastalani
8. Wahyudi</t>
  </si>
  <si>
    <t>8 orang / 1 unit
1. Syafrullah, S.Sos, M.Si
2. Ranu Wibowo
3. Imam Kastalani
4. M. Fikri Nisfuadi
5. Wahyudi
6. Ade Susanto
7. Misladin
8. Muhammad Noor</t>
  </si>
  <si>
    <t>6 orang/1 unit
1. Agus Budianto
2. Ade Susanto
3. Misladin
4. M. Yoppie Wirawan
5. Ranu Wibowo
6. M. Fikri Nisfuadi</t>
  </si>
  <si>
    <t>8 orang/1 unit
1. Syafrullah, S.Sos, M.Si
2. Nur Hidayah, SE
3. M. Sairus Sakati
4.Budi Adi
5. Muhammad Noor
6. Bambang Arry Arsono
7. Imam Kastalani
8. Wahyudi</t>
  </si>
  <si>
    <t>5 orang/1 unit
1. Budi Adi
2. Muhammad Noor
3. Bambang Arry Arsono
4. Agus Budianto
5. M. Yoppie Wirawan</t>
  </si>
  <si>
    <t>7 orang/1 unit
1. Nur Hidayah, SE
2. Ranu Wibowo
3. Imam Kastalani
4. M. Fikri Nisfuadi
5. Ade Susanto
6. Misladin
7. M. Dadang Kurniwan</t>
  </si>
  <si>
    <t>8 orang/1 unit
1. Syafrullah, S.Sos, M.Si
2. Nur Hidayah, SE
3. Agus Budianto
4. Ade Susanto
5. Misladin
6. M. Yoppie Wirawan
7. Muhammad Noor
8. Bambang Arry Arsono</t>
  </si>
  <si>
    <t>9 orang/1 unit
1. Syafrullah, S.Sos, M.Si
2. M. Sairus Sakati
3. Budi Adi
4. Muhammad Noor
5. Bambang Arry Arsono
6. Ranu Wibowo
7. M. Fikri Nisfuadi
8. Agus Budianto
9. Ade Susanto</t>
  </si>
  <si>
    <t>4 orang/1 unit
1. Syafrullah, S.Sos, M.Si
2. Ranu Wibowo
3. Imam Kastalani
4. M. Fikri Nisfuadi</t>
  </si>
  <si>
    <t>8 orang/1 unit
1. Syafrullah, .Sos, M.Si
2. Agus Budianto
3. Ade Susanto
4. Misladin
5. M. Yoppie Wirawan
6. Budi Adi
7. Bambang Arry Arsono
8. M. Dadang Kurniwan</t>
  </si>
  <si>
    <t>4 orang/1 unit
1. Budi Adi
2. Muhammad Noor
3. Bambang Arry Arsono
4. M. Yoppie Wirawan</t>
  </si>
  <si>
    <t>8 orang/1 unit
1. Nur Hidayah, SE
2. Agus Budianto
3. Ade Susanto
4. Misladin
5. M. Yoppie Wirawan
6. Budi Adi
7. Muhammad Noor
8. M. Dadang Kurniwan</t>
  </si>
  <si>
    <t>7 orang/1 unit
1. Syafrullah, S.Sos, M.Si
2. Ranu Wibowo
3. Imam Kastalani
4. M. Fikri Nisfuadi
5. Wahyudi
6. Budi Adi
7. Bambang Arry Arsono</t>
  </si>
  <si>
    <t>8 orang/1 unit
1. Agus Budianto
2. Ade Susanto
3. Misladin
4. M. Yoppie Wirawan
5. Ranu Wibowo
6. Muhammad Noor
7. Bambang Arry Arsono
8. M. Dadang Kurniwan</t>
  </si>
  <si>
    <t>6 orang/1 unit
1. M. Sairus Sakati
2. Budi Adi
3. Muhammad Noor
4. Bambang Arry Arsono
5. Ranu Wibowo
6. M. Fikri Nisfuadi</t>
  </si>
  <si>
    <t>8 orang/1 unit
1. Ranu Wibowo
2. Imam Kastalani
3. M. Fikri Nisfuadi
4. Agus Budianto
5. Ade Susanto
6. Misladin
7. Budi Adi
8. Bambang Arry Arsono</t>
  </si>
  <si>
    <t>3 orang/ 1 unit
1. Ranu Wibowo
2. Imam Kastalani
3. M. Fikri Nisfuadi</t>
  </si>
  <si>
    <t>6 orang/1 unit
1. Agus Budianto
2. Ade Susanto
3. Misladin
4. M. Yoppie Wirawan
5. Budi Adi
6. Muhammad Noor</t>
  </si>
  <si>
    <t>8 orang/1 unit
1. Nur Hidayah, SE
2. M. Sairus Sakati
3. Budi Adi
4. Muhammad Noor
5. Bambang Arry Arsono
6. Agus Budianto
7. Ade Susanto
8. M. Yoppie Wirawan</t>
  </si>
  <si>
    <t>11 orang/2 unit
1. Syafrullah, S.Sos, M.Si
2. Nur Hidayah, SE
3. Agus Budianto
4. Ade Susanto
5. Misladin
6. M. Yoppie Wirawan
7. Ranu Wibowo
8. M. Fikri Nisfuadi
9. Budi Adi
10. Muhammad Noor
11. M. Dadang Kurniwan</t>
  </si>
  <si>
    <t>9  orang/1 unit
1. Syafrullah, S.Sos, M.Si
2. Nur Hidayah, SE
3. M. Sairus Sakati
4. Budi Adi
5. Muhammad Noor
6. Bambang Arry Arsono
7. Imam Kastalani
8. M. Fikri Nisfuadi
9. M. Dadang Kurniwan</t>
  </si>
  <si>
    <t>Rabu, 12 Februari 2025</t>
  </si>
  <si>
    <t>22.01 s/d 23.50 Wita</t>
  </si>
  <si>
    <t>Menindaklanjuti laporan warga perihal telah terjadi kebakaran bangunan Toko sekaligus tempat tinggal beralamat Jl. A. Yani Km. 24 RW. 08 RW. 03 Kel. Landasan Ulin Tengah Kec. Liang Anggang. Pemilik an. Astinah yang disewakan dan ditempati oleh Mama Riza 1 KK 5 Jiwa. Asal api masih dalam tahap penyelidikan Kepolisian. Kerugian diperkirakan 100 Juta Rupiah. Petugas menegerahkan 2 Unit Ops Damkar Truk Tangki Kajama 3500 liter dan 4000 liter.</t>
  </si>
  <si>
    <t>an. Satria No Telp. 085654789903</t>
  </si>
  <si>
    <t>5 orang/1 unit
1. Ranu Wibowo
2. Imam Kastalani
3. M. Fikri Nisfuadi
4. Muhammad Noor
5. Bambang Arry Arsono</t>
  </si>
  <si>
    <t>Kamis, 27 Februari 2025</t>
  </si>
  <si>
    <t>15.10  s/d 16.20 Wita</t>
  </si>
  <si>
    <t xml:space="preserve">Grup WA Emergency Banjarbaru </t>
  </si>
  <si>
    <t>Menindaklanjuti laporan warga bahwa telah terjadi kebakaran bangunan rumah warga yang beralamat Jl. Ara Budi RT. 12 RW. 03 Kel. Landasan Ulin Tengah Kec. Liang Anggang. Pemilik an. Isran 1 KK 4 Jiwa asal api dalam tahap penyelidian kepolisian. Bangunan habis terbakar dan Kerugian diperkirakan 300 Juta Rupiah. Petugas mengerahkan 2 Unit Ops Damkar Truk Tangki Kajama 3500 Liter.</t>
  </si>
  <si>
    <t xml:space="preserve">12 orang/2 unit
1. Syafrullah, S.Sos, M.Si
2. Ranu Wibowo
3. Imam Kastalani
4. M. Fikri Nisfuadi
5. Agus Budianto
6. Ade Susanto
7. Misladin
8. M. Yoppie Wirawan
9.. Budi Adi
10. Muhammad Noor
11. Bambang Arry Arsono
12. M. Dadang Kurniwan
</t>
  </si>
  <si>
    <t>Sabtu, 1 Maret 2025</t>
  </si>
  <si>
    <t>Menindaklanjuti laporan warga perihal meminta bantuan evakuasi ular yang berada di dapur rumah pelapor beralamat Jl. Palam Raya Komp. Lambung Mangkurat Regency Blok B3 No. 11 RT. 13 RW. 01 Kel. Palam Kec. Cempaka. Ular berhasil di evakuasi dan dilepasliarkan. Petugas mengerahkan 1 Unit Ops Damkar Mobil Hilux Kajama Rescue.</t>
  </si>
  <si>
    <t xml:space="preserve">Bapak Narji No Telp. 087887508829 </t>
  </si>
  <si>
    <t>6 orang/1 unit
1. Agus Budianto
2. Ade Susanto
3. Misladin
4. M. Yoppie Wirawan
5. Imam Kastalani
6. M. Fikri Nisfuadi</t>
  </si>
  <si>
    <t>08.20 s/d 09.15 Wita</t>
  </si>
  <si>
    <t>Menindaklanjuti laporan warga perihal meminta bantuan evakuasi cincin yang tidak bisa dilepas di jari nenek pelapor yang telah meninggal dunia beralamat Komp. Galuh Marindu 2 RT. 33 RW. 07 No. E-17 Kel. Sungai Besar Kec. Banjarbaru Selata. Cincin berhasil di lepas dengan cara di potong. Petugas mengerahkan 1 Unit Ops Damkar Mobil Hilux Kajama Rescue.</t>
  </si>
  <si>
    <t xml:space="preserve">Azizah No Telp. 082254883568 </t>
  </si>
  <si>
    <t>7 orang/1 unit
1. Syafrullah, S.Sos, M.Si
2. Nur Hidayah, SE
3. Budi Adi
4. Muhammad Noor
5. Bambang Arry Arsono
6. Ranu Wibowo
7. M. Dadang Kurniwan, S.H</t>
  </si>
  <si>
    <t>Minggu, 2 Maret 2025</t>
  </si>
  <si>
    <t>05.27 s/d 06.15 Wita</t>
  </si>
  <si>
    <t xml:space="preserve">Menindaklanjuti laporan warga perihal meminta bantuan evakuasi  2 ekor ular yang terlihat di atas gelagar rumah pelapor beralamat Jl. Gotong Royong Ujung RT. 04 RW RW. 06 Kel. Mentaos Kec. Banjarbaru Utara. Petugas menuju lokasi pelpaor dan melakukan pencarian, petugas berhasil mengevakuasi tersebut. Petugas mengerahkan 1 Unit Ops Damkar Mobil Hilux Kajama Rescue. </t>
  </si>
  <si>
    <t xml:space="preserve">Syahli Sayid No Telp. 081257707887 </t>
  </si>
  <si>
    <t>09.54 s/d 11.20 Wita</t>
  </si>
  <si>
    <t>Menindaklanjuti laporan warga  perihal meminta bantuan evakuasi ular yang berada di halaman rumah dan pondasi rumah pelapor beralamat Jl. Bauntung Jaya Komp. Griya Pelangi I Kel. Landasan Ulin Utara Kec. Liang Anggang. Petugas melakukan pencarian di rumah pelapor dan ular tidak ditemukan. Petugas mengerahkan 1 Unit Ops Damkar Truk Ton IV.</t>
  </si>
  <si>
    <t>Hammad No Telp. 083295292860</t>
  </si>
  <si>
    <t>8 orang/1 unit
1. Syafrullah, S.Sos, M.Si
2. Nur Hidayah, SE
3. Ranu Wibowo
4. Imam Kastalani
5. M. Fikri Nisfuadi
6. Ade Susanto
7. Misladin
8. M. Dadang Kurniwan, S.H</t>
  </si>
  <si>
    <t>Senin, 3 Maret 2025</t>
  </si>
  <si>
    <t>06.45 s/d 07.25 Wita</t>
  </si>
  <si>
    <t>Menindaklanjuti laporan warga perihal meminta bantuan evakuasi ular di kandang ayam milik pelapor beralamat Jl. Gotong Royong Ujung RT. 04 RW. 06 Kel. Mentaos Kec. Banjarbaru Utara. Ular berhasil di evakuasi dan dilepasliarkan. Petugas mengerahkan 1 Unit Ops Damkar Truk Ton IV.</t>
  </si>
  <si>
    <t>Syahli Sayid No Telp. 081257707887</t>
  </si>
  <si>
    <t xml:space="preserve">4 orang/1 unit
1. Ranu Wibowo
2. Imam Kastalani
3. M. Fikri Nisfuadi, S.Kom
4. Muhammad noor
</t>
  </si>
  <si>
    <t>21.10 s/d 22.27 Wita</t>
  </si>
  <si>
    <t>Menindaklanjuti laporan warga perihal meminta bantuan evakuasi ular yang berada di sepeda motor beliau beralamat Jl. Trikora Depan Galuh Marindu II RT. 33 RW. 07 Kel. Sungai Besar Kec. Banjarbaru Selatan. Ular berhasil di evakuasi dan dilepasliarkan. Petugas mengerahkan 1 Unit Ops Damkar Mobil Hilux Kajama Rescue.</t>
  </si>
  <si>
    <t xml:space="preserve">Ibu Via No Telp. 0877436686110 </t>
  </si>
  <si>
    <t>Selasa, 4 Maret 2025</t>
  </si>
  <si>
    <t>04.32 s/d 05.35 Wita</t>
  </si>
  <si>
    <t>Menindaklanjuti laporan warga  perihal meminta bantuan evakuasi ular di rumah pelapor beralamat Jl. Garuda No. 3 RT. 26 RW. 07 Kel. Landasan Ulin Timur Kec. Landasan Ulin. Ular berhasil di evakuasi dan dilepasliarkan. Petugas mengerahkan 1 Unit Ops Damkar Mobil Hilux Kajama Rescue.</t>
  </si>
  <si>
    <t>Novi No Telp. 087817137577</t>
  </si>
  <si>
    <t>6 orang/1 unit
1. Agus Budianto
2. Ade Susanto
3. Misladin
4. M. Yoppie Wirawan
5. Imam Kastalani
6. M. Dadang Kurniwan, S.H</t>
  </si>
  <si>
    <t>16.00 s/d 17.15 Wita</t>
  </si>
  <si>
    <t>Menindaklanjuti laporan warga perihal meminta bantuan evakuasi kucing yang terjebak di atas plafon rumah beralamat Perum Berkat Pesona Blok E No. 22 RT. 27 RW. 04 Kel. Guntung Manggis Kec. Landasan Ulin. Kucing tidak berhasil di evakuasi. Petugas mengerahkan 1 Unit Ops Damkar Mobil Hilux Kajama Rescue.</t>
  </si>
  <si>
    <t xml:space="preserve">Adi Tanjung No Telp. 081258868718 </t>
  </si>
  <si>
    <t>7 orang/1 unit
1. Syafrullah, S.Sos, M. Si
2. Nur Hidayah, SE
3. Budi Adi
4. Muhammad Noor
5.Bambang Arry Arsono
6. Ranu Wibowo
7. M. Fikri Nisfuadi</t>
  </si>
  <si>
    <t>Rabu, 5 Maret 2025</t>
  </si>
  <si>
    <t>03.42 s/d 04.15 Wita</t>
  </si>
  <si>
    <t>Menindaklanjuti laporan warga  perihal meminta bantuan evakuasi ular yang terliha di dalam kamar mandi beralamat Jl. Komp. Griya Rafi Asri Jl. SMA 3 Jalur 17 Blok I No. 10 RT. 44 RW. 11 Kel. Cempaka Kec. Cempaka. Ular berhasil di evakuasi dan dilepasliarkan. Petuga mengerahkan 1 Unit Ops Damkar Mobil Hikux Kajama Rescue.</t>
  </si>
  <si>
    <t>Rian No Telp 081251502440</t>
  </si>
  <si>
    <t>4 orang/1 unit
1. Budi Adi
2. Muhammad Noor
3. Bambang Arry Arsono
4. Ade Susanto</t>
  </si>
  <si>
    <t>15.25 s/d 16.30 Wita</t>
  </si>
  <si>
    <t>Menindaklanjuti laporan warga perihal meminta bantuan evakuasi kucing yang tercebur ke dalam sumur beralamat Jl. Karang Anyar 3 Kel. Loktabat Utara Kec. Banjarbaru Utara. Kucing berhasil di evakuasi dengan selamat. Petugas mengerahkan 1 Unit Ops Damkar Truk Ton IV.</t>
  </si>
  <si>
    <t>Rista No Telp. 085345237944</t>
  </si>
  <si>
    <t>8 orang/1 unit
1. Syafrullah, S.Sos, M.Si
2. Nur Hidayah, SE
3. Ranu Wibowo
4. Imam Kastalani
5. M. Fikri Nisfuadi, s.Kom
6. Agus Budianto
7. M. Yoppie Wirawan
8. M. Dadang Kurniwan, S.H</t>
  </si>
  <si>
    <t>Kamis, 6 Maret 2025</t>
  </si>
  <si>
    <t>07.15 s/d 08.00 Wita</t>
  </si>
  <si>
    <t>Menindaklanjuti laporan Satpam PDAM  perihal meminta bantuan evakuasi kucing yang tersangkut di lubang ram angin atau ventilasi tembok beralamat Kantor PDAM Intan Banjar Jl. P. Hidayatullah Kel. Komet Kec. Banjarbaru Utara. Kucing berhasil di evakuasi dengan selamat. Petugas mengerahkan 1 Unit Ops Damkar Mobil Hilux Kajama Rescue.</t>
  </si>
  <si>
    <t>Ridwan No Telp. 0895352085656</t>
  </si>
  <si>
    <t>4 orang/1 unit
1. Ranu wibowo
2. Imam Kastalani
3. M. Fikri Nisfuadi, S.Kom
4. Bambang Arry Arsono</t>
  </si>
  <si>
    <t>17.26 s/d 18.37 Wita</t>
  </si>
  <si>
    <t>Menindaklanjuti laporan warga perihal meminta bantuan evakuasi ular yang berada dirumah pelapor beralamat Komp. Sukses Mandiri No. 23 RT. 04 RW. 01 Kel. Landasan Ulin Utara Kec. Liang Anggang. Petugas melakukan pencarian dirumah pelapor dan ular tidak dapat ditemukan. Petugas mengerahkan 1 Unit Ops Damkar Mobil Hilux Kajama Rescue.</t>
  </si>
  <si>
    <t>Ibu Ani No Telp. 081255050803</t>
  </si>
  <si>
    <t>8 orang/ 1 unit
1. Syafrullah, S.Sos, M.Si
2. Nur Hidayah, SE
3. Agus Budianto
4. Ade Susanto
5. Misladin
6. M. Yoppie Wirawan
7. Budi Adi
8. Muhammad Noor</t>
  </si>
  <si>
    <t>Jum`at, 7 Maret 2025</t>
  </si>
  <si>
    <t>06.30 s/d 07.25 Wita</t>
  </si>
  <si>
    <t>Menindaklanjuti laporan warga perihal meminta bantuan evakuasi ular dirumah pelapor beralamat Komp. Griya Pesona Bhayangkara RT. 51 RW. 05 Kel. Guntung Manggis Kec. Landsan Ulin. Ular berhasil di evakuasi dan dilepasliarkan. Petugas mengerahkan 1 Unit Ops Damkar Mobil Hilux Kajama Rescue.</t>
  </si>
  <si>
    <t xml:space="preserve">Helda No Telp. 087841673988 </t>
  </si>
  <si>
    <t>09.50 s/d 11.00 Wita</t>
  </si>
  <si>
    <t>Menindaklanjuti laporan warga perihal meminta bantuan evakuasi sarang lebah di pohon depan rumah beralamat Komp. Griya Utama Trikora 8 Blok D No. 09 RT, 08 RW. 09 Kel. Landasan Ulin Timur Kec. Landasan Ulin. Petugas berhasil memusnahkan sarang lebah dengan cara dibakar, Petugas mengerahakan 1 Unit Ops Damkar Truk Tangki Kajama 3500 Liter.</t>
  </si>
  <si>
    <t>Lisna No Telp. 081351154554</t>
  </si>
  <si>
    <t>7 orang/1 unit
1. Syafrullah, S.Sos, M.Si
2. Nur Hidayah, SE
3. Budi Adi
4. Muhammad Noor
5. Bambang Arry Arsono
6. Ranu Wibowo
7. M. Fikri Nisfuadi</t>
  </si>
  <si>
    <t>Minggu, 9 Maret 2025</t>
  </si>
  <si>
    <t xml:space="preserve">Menindaklanjuti laporan warga  perihal meminta bantuan evakuasi ular yang berada dirumah pelapor beralamat Jl. Mistar Cokrokusumo Komp. Citra Tri Sakti Blok A 10 RT. 37 RW. 01 Kel. Cempaka Kec. Cempaka. Ular berhasil di evakuasi dan dilepasliarkan. Petugas mengerahkan 1 Unit Ops Damkar Mobil Hilux Kajama Rescue. </t>
  </si>
  <si>
    <t>Bapak Agung No Telp. 085751407607</t>
  </si>
  <si>
    <t>6 orang/1 unit
1. Syafrullah, S.Sos, M.Si
2. Nur Hidayah, SE
3. Agus Budianto
4. Ade Susanto
5. Misladin
6. M. Yoppie Wirawan</t>
  </si>
  <si>
    <t>Senin, 10 Maret 2025</t>
  </si>
  <si>
    <t>Menindaklanjuti laporan warga an. perihal meminta bantuan evakuasi kucing yang tercebur ke dalam sumur beralamat Jl. Kancil RT. 02 RW. 04 Kel. Loktabat Selatan Kec. Banjarbaru Selatan. Kucing berhasil di evakuasi. Petugas mengerahkan 1 Unit Ops Damkar Mobil Hilux Kajama Rescue.</t>
  </si>
  <si>
    <t>Ibu Karlia No Telp. 085349771860</t>
  </si>
  <si>
    <t>17.01 s/d 18.00 Wita</t>
  </si>
  <si>
    <t xml:space="preserve">Menindaklanjuti laporan warga perihal meminta bantuan evakuasi ular yang terlihat dihalaman kost putri beralamat Kost Putri Jl. Bumi Berkat 9 RT. 02 RW. 01 Kel. Sungai Besar Kec. Banjarbaru Selatan. Ular tidak berhasil ditemukan. Petugas menegerahkan 1 Unit Ops Damkar Mobil Hilux Kajama Rescue. </t>
  </si>
  <si>
    <t>Diana Lufita No Telp. 085822203396</t>
  </si>
  <si>
    <t>7 orang/1 unit
1. Syafrullah, S.Sos, M.Si
2. Nur Hidayah, SE
3. Budi Adi
4. Muhammad Noor
5. Bambang Arry Arsono
6. Ranu Wibowo
7. Imam Kastalani</t>
  </si>
  <si>
    <t>Selasa, 11 Maret 2025</t>
  </si>
  <si>
    <t>04.10 s/d 05.00 Wita</t>
  </si>
  <si>
    <t>Menindaklanjuti laporan warga perihal meminta bantuan evakuasi ular yang berada di dalam kandang ayam milik pelapor beralamat Jl. Palapa 1 No. 10 RT. 02 RW. 04 Kel. Mentaos Kec. Banjarbaru Utara. Ular berhasil di evakuasi dan dilepasliarkan. Petugas mengerahkan 1 Unit Ops Damkar Truk Ton III.</t>
  </si>
  <si>
    <t>Yandi Rizqi Apriyanto No Telp. 082353792978</t>
  </si>
  <si>
    <t>12.43 s/d 13.20 Wita</t>
  </si>
  <si>
    <t>Menindaklanjuti laporan warga  perihal meminta bantuan evakuasi ular yang berada dibawah lemari es dapur beralamat Jl. Palapa 1 No. 10 RT. 02 RW. 04 Kel. Mentaos Kec. Banjarbaru Utara. Ular berhasil di evakuasi dan dilepasliarkan. Petugas mengerahkan 1 Unit Ops Damkar Mobil Hilux Kajama Rescue.</t>
  </si>
  <si>
    <t>Yandi No Telp. 082353792978</t>
  </si>
  <si>
    <t>6 orang/1 unit
1. Nur Hidayah, SE
2. Ranu Wibowo
3. Imam Kastalani
4. M. Fikri Nisfuadi
5. Agus Budianto
6. Misladin</t>
  </si>
  <si>
    <t>Rabu, 12 Maret 2025</t>
  </si>
  <si>
    <t>Menindaklanjuti laporan warga perihal meminta bantuan evakuasi ular yang berada di belakang lemari es beralamat Jl. Abadi 1 Komp. Graha Grota Permata 2 No. 09 RT. 47 RW. 07 Kel. Guntung Manggis Kec. Landasan Ulin. Ular berhasil di evakuasi dan dilepasliarkan. Petugas mengerahkan 1 Unit Ops Damkar Mobil Hilux Kajama Rescue.</t>
  </si>
  <si>
    <t xml:space="preserve">Joe No Telp. 081231629288 </t>
  </si>
  <si>
    <t>12.13 s/d 13.01 Wita</t>
  </si>
  <si>
    <t>Menindaklanjuti laporan warga perihal meminta bantuan evakuasi kucing yang terjebak di atas plafon rumah beralamat Jl. Kartini 1 No. 33 RT. 17 RW. 04 Kel. Kemuning Kec. Banjarbaru Selatan. Kucing berhasil di evakuasi dengan selamat. Petugas menegerahkan 1 Unit Ops Damkar Mobil Hilux Kajama Rescue.</t>
  </si>
  <si>
    <t xml:space="preserve">Amanda No Telp. 089543781292 </t>
  </si>
  <si>
    <t>8 orang/1 unit
1. Syafrullah, S.Sos, M.Si
2. Nur Hidayah, SE
3. Agus Budianto
4. Ade Susanto
5. Misladin
6. M. Yoppie Wirawan
7. Budi Adi
8. Muhammad Noor</t>
  </si>
  <si>
    <t>Kamis, 13 Maret 2025</t>
  </si>
  <si>
    <t>06.45 s/d 07.30 Wita</t>
  </si>
  <si>
    <t>Menindaklanjuti laporan warga perihal meminta bantuan evakuasi ular dihalaman rumah pelapor beralamat Komp. Mustika Raya Permai 2 No E12 RT. 35 RW. 05 Kel. Guntung Manggis Kec. Landasan Ulin. Ular berhasil di evakuasi dan dilepasliarkan. Petugas mengerahkan 1 Unit Ops Damkar Mobil Hilux Kajama Rescue.</t>
  </si>
  <si>
    <t>Bapak Azmi No Telp. 082236179293</t>
  </si>
  <si>
    <t>20.44 s/d 23.40 Wita</t>
  </si>
  <si>
    <t>Menindaklanjuti lapora warga perihal meminta bantuan evakuasi sarang lebah yang berada di ruang tamu beralamat Jl. Kurnia Gg. Setia Kawan RT. 04 RW. 03 No. 28 Kel. Landasan Ulin Utara Kec. Liang Anggang. Sarang lebah berhasil di musnahkan dengan cara dibakar. Petugas mengerahkan 1 Unit Ops Damkar Truk Tangki Kajama 3500 Liter.</t>
  </si>
  <si>
    <t>Ririn Suryati No Telp. 0895106994950</t>
  </si>
  <si>
    <t>6 orang/1 unit
1. Syafrullah, S.Sos, M.Si
2. Budi Adi
3. Muhammad Noor
4. Bambang Arry Arsono
5. Ranu Wibowo
6. M. Fikri Nisfuadi</t>
  </si>
  <si>
    <t>Jum`at, 14 Maret 2025</t>
  </si>
  <si>
    <t>Menindaklanjuti laporan warga perihal meminta bantuan evakuasi ular yang terlihat di dapur rumah pelapor beralamat Jl. Simpang Pinus Gg. Ikhlas RT. 04 RW. 06 No. 116 Kel. Mentaos Kec. Banjarbaru Utara. Ular berhasil di evakuasi dan dilepasliarkan. Petugas mengerahkan 1 Unit Ops Damkar Mobil Hilux Kajama Rescue.</t>
  </si>
  <si>
    <t xml:space="preserve">Abdul Latif No Telp. 0895377925637 </t>
  </si>
  <si>
    <t>5 orang/1 unit
1. Budi Adi
2. Muhammad Noor
3. Bambang Arry Arsono
4. Ade Susanto
5. M. Yoppie Wirawan</t>
  </si>
  <si>
    <t>11.06 s/d 12.20 Wita</t>
  </si>
  <si>
    <t>Menindaklanjuti laporan warga perihal meminta bantuan evakuasi ular yang berada di dalam Les Gipsum rumah pelapor beralamat Jl. Sukarelawan Komp. Asmi 2 Blok M No. 12 RT. 06 RW. 02 Kel. Landasan Ulin Utara Kec. Liang Anggang. Ular berhasil di evakuasi dan dilepasliarkan. Petugas mengerahkan 1 Unit Ops Damkar Truk Ton IV.</t>
  </si>
  <si>
    <t>Lupi No Telp. 085346970263</t>
  </si>
  <si>
    <t>8 orang/1 unit
1. Syafrullah, S.Sos, M.Si
2. Nur Hidayah, SE
3. Ranu Wibowo
4. Imam Kastalani
5. M. Fikri Nisfuadi
6. Agus Budianto
7. Misladin
8. M. Dadang Kurniwan, S.H</t>
  </si>
  <si>
    <t>Sabtu, 15 Maret 2025</t>
  </si>
  <si>
    <t>00.20 s/d 01.15 Wita</t>
  </si>
  <si>
    <t>Menindaklanjuti laporan warga perihal meminta bantuan evakuasi ular yang berada di dalam toilet rumah pelapor beralamat Jl. Pondok Mangga Gg. Wisnu Kel. Loktabat Utara Kec. Banjarbaru Utara. Ular berhasil di evakuasi dan dilepasliarkan. Petugas mengerahkan 1 Unit Ops Damkar Mobil Hilux Kajama Rescue.</t>
  </si>
  <si>
    <t>Agus Salim No Telp. 08125068354</t>
  </si>
  <si>
    <t>14.56 s/d 15.17 Wita</t>
  </si>
  <si>
    <t>Menindaklanjuti laporan warga  perihal meminta bantuan evakuasi ular yang berada dalam rumah pelapor beralamat Komp. Buana Permai RT. 07 RW. 05 Kel. Guntung Paikat Kec. Banjarbaru Selatan. Ular berhasil di evakuasi dan dilepasliarkan. Petugas mengerahkan 1 Unit Ops Damkar Mobil Hilux Kajama Rescue.</t>
  </si>
  <si>
    <t>Mama Gilang No Telp. 08990041206</t>
  </si>
  <si>
    <t>8 orang/1 unit
1. Syafrullah,S.Sos,M.Si
2. Agus Budianto
3. Ade Susanto
4. Misladin
5. M. Yoppie Wirawan
6. Budi Adi
7. Bambang Arry
8. M. Dadang Kurniwan, S.H</t>
  </si>
  <si>
    <t>Minggu, 16 Maret 2025</t>
  </si>
  <si>
    <t>07.30 s/d 08.20 Wita</t>
  </si>
  <si>
    <t>Menindaklanjuti laporan warga an.Tedy No Telp. 082353179119 perihal meminta bantuan evakuasi ular di samping rumah pelapor beralamat Jl. Kasturi 1 Komp.Fajar Bersinar Blok. C 8 Kel. Syamsudin Noor Kec. Landasan Ulin. Ular berhasil di evakuasi dan dilepasliarkan. Petugas mengerahkan 1 Uni Ops Damkar Truk Ton IV.</t>
  </si>
  <si>
    <t>5 orang/1 unit
1. Agus Budianto
2. Ade Susanto
3. Misladin
4. M. Yoppie Wirawan
5. M. Dadang Kurniwan, S.H</t>
  </si>
  <si>
    <t>16.20 s/d 17.00 Wita</t>
  </si>
  <si>
    <t>Menindaklanjuti laporan warga perihal meminta bantuan evakuasi ular yang terlihat di atas gelagar dapur rumah pelapor beralamat Jl. Alur Parit Panggal RT. 37 RW. 01 No. 08 Kel. Cempaka Kec. Cempaka. Ular berhasil di evakuasi dan dilepasliarkan. Petugas mengerahkan 1 Unit Ops Damkar Truk Ton III.</t>
  </si>
  <si>
    <t>Sidiq Eka F No Telp. 085750205559</t>
  </si>
  <si>
    <t>Senin, 17 Maret 2025</t>
  </si>
  <si>
    <t>13.59 s/d 15.00 Wita</t>
  </si>
  <si>
    <t>Menindaklanjuti laporan warga perihal meminta bantuan evakuasi ular yang berada di belakang tandon air beralamat Jl. Kasturi II RT. 46 RW. 06 Kel. Syamsudin Noor Kec. Landasan Ulin. Petugas melakukan pencarian dan ular tidak dapat ditemukan. Petugas mengerahkan 1 Unit Ops Damkar Truk Ton III.</t>
  </si>
  <si>
    <t xml:space="preserve">Widyanto No Telp. 081349795065 </t>
  </si>
  <si>
    <t>8 orang/1 unit
1. Nur Hidayah, SE
2. Ranu Wibowo
3. Imam Kastalani
4. M. Fikri Nisfuadi
5. Agus Budianto
6. Ade Susanto
7. Misladin
8. M. Dadang Kurniwan, S.H</t>
  </si>
  <si>
    <t>Selasa, 18 Maret 2025</t>
  </si>
  <si>
    <t>07.25 s/d 08.10 Wita</t>
  </si>
  <si>
    <t>Menindaklanjuti laporan warga  perihal meminta bantuan evakuasi ular yang berada di belakang dispenser dapur rumah pelapor beralamat Komp. Dahlina Permai RT. 11 RW. 02 Kel. Sungai Besar Kec. Banjarbaru Selatan. Ular berhasil di evakuasi dan dilepasliarkan. Petugas mengerahkan 1 Unit Ops Damkar Truk Ton III.</t>
  </si>
  <si>
    <t>Novita Indah No Telp. 082246681129</t>
  </si>
  <si>
    <t>20.30 s/d 21.06 Wita</t>
  </si>
  <si>
    <t>Menindaklanjuti laporan warga perihal meminta bantuan evakuasi lebah yang berada di lemari dapur rumah pelapor beralamat Jl. Zam-Zam Jailani No. 04 RT. 21 RW. 05 Kel. Kemuning Kec. Banjarbaru Selatan Sarang lebah berhasil dimusnahkan dengan cara dibakar. Petugas mengerahkan 1 Unit Ops Damkar Truk Ton III.</t>
  </si>
  <si>
    <t>Abdillah No Telp. 087838797327</t>
  </si>
  <si>
    <t>6 orang /1 unit
1. Agus Budianto
2. Ade Susanto
3. Misladin
4. M Yoppie Wirawan
5. Muhammad Noor
6. Bambang Arry Arsono</t>
  </si>
  <si>
    <t>Rabu, 19 Maret 2025</t>
  </si>
  <si>
    <t>16.00 s/d 16.41 Wita</t>
  </si>
  <si>
    <t>Menindaklanjuti laporan warga perihal meminta bantuan evakuasi ular yang berada di kamar tidur rumah pelapor beralamat Jl. Guntung Paring RT. 18 RW. 03 Kel. Guntung Manggis Kec. Landasan Ulin. Ular berhasil di evakuasi dan dilepasliarkan. Petugas mengerahkan 1 Unit Ops Damkar Mobil Hilux Kajama Rescue.</t>
  </si>
  <si>
    <t xml:space="preserve">Basuni No Telp. 081256755690 </t>
  </si>
  <si>
    <t>6 orang/1 unit
1. Nur Hidayah, SE
2. Budi
3. Muhammad Noor
4. Bambang Arry Arsono
5. Ade Susanto
6. Misladin</t>
  </si>
  <si>
    <t>Kamis, 20 Maret 2025</t>
  </si>
  <si>
    <t>01.52 s/d 02.45 Wita</t>
  </si>
  <si>
    <t>Menindaklanjuti laporan warga  perihal meminta bantuan evakuasi kucing yang terjebak dalam mesin mobil beralamat Jl. Wijaya Kusuma depan Kantor Perpustakaan dan Arsip Daerah Kota Banjarbaru RT. 01 RW. 03 Kel. Komet Kec. Banjarbaru Utara. 2 ekor anak kucing berhasil di evakuasi. Petugas mengerahkan 1 Unit Ops Damkar Truk Kajama Tangki 3500 Liter.</t>
  </si>
  <si>
    <t>Rezky No Telp. 083153332961</t>
  </si>
  <si>
    <t>4 orang /1 unit
1. Budi Adi
2. Muhammad Noor
3. Bambang Arry Arsono
4. Misladin</t>
  </si>
  <si>
    <t>10.04 s/d 11.00 Wita</t>
  </si>
  <si>
    <t>Menindaklanjuti laporan warga perihal meminta bantuan evakuasi ular yang berada dalam kursi sofa depan rumah pelapor beralamat Jl. Pandu No. 15 RT. 06 RW. 05 Kel. Guntung Paikat Kec. Banjarbaru Selatan. Ular berhasil di evakuasi dan dilepasliarkan. Petugas mengerahkan 1 Unit Ops Damkar Mobil Hilux Kajama Rescue.</t>
  </si>
  <si>
    <t>Yuli No Telp. 085349814447</t>
  </si>
  <si>
    <t>6 orang /1 unit
1. Syafrullah, S.Sos, M.Si
2. Ranu Wibowo
3. Imam Kastalani
4. M. Fikri Nisfuadi
5. Ade Susanto
6. M. Yoppie Wirawan</t>
  </si>
  <si>
    <t>Jum`at, 21 Maret 2025</t>
  </si>
  <si>
    <t>07.16 s/d 08.10 Wita</t>
  </si>
  <si>
    <t>Menindaklanjuti laporan warga perihal meminta bantuan evakuasi anjing yang tercebur ke dalam sumur belakang rumah pelapor beralamat Jl. Gotong Royong RT. 02 RW. 06 Kel. Mentaos Kec. Banjarbaru Utara. Anjing berhasil di evakuasi. Petugas mengerahkan 1 Unit Ops Damkar Truk Ton IV.</t>
  </si>
  <si>
    <t xml:space="preserve">Selvina No Telp. 083143711844 </t>
  </si>
  <si>
    <t>3 orang /1 unit
1. Ranu Wibowo
2. Imam Kastalani
3. M. Fikri Nisfuadi</t>
  </si>
  <si>
    <t>09.32 s/d 10.15 Wita</t>
  </si>
  <si>
    <t>Menindaklanjuti laporan warga perihal meminta bantuan evakuasi ular di got depan rumah pelapor beralamat Jl. Mistar Cokro Kusumo Komp. Kehutanan No. 43 D RT. 25 RW. 05 Kel. Sungai Besar Kec. Banjarbaru Selatan. Petugas melakukan pencarian dan ular tidak ditemukan. Petugas mengerahkan 1 Unit Ops Damkar Mobil Hilux Kajama Rescue.</t>
  </si>
  <si>
    <t>Marno No Telp. 085246668284</t>
  </si>
  <si>
    <t>7 orang /1 unit
1. Agus Budianto
2. Ade Susanto
3. Misladin
4. M. Yoppie Wirawan
5. Budi Adi
6. Bambang Arry Arsono
7. M. Dadang Kurniwan, S.H</t>
  </si>
  <si>
    <t>Sabtu, 22 Maret 2025</t>
  </si>
  <si>
    <t>Menindaklanjuti laporan warga  perihal meminta bantuan evakuasi ular yang berada di rumah pelapor beralamat Komp. Griya MustikaNo G 5 RT. 26 RW. 06 Kel. Sungai Ulin Kec. Banjarbaru Utara. Ular berhasil di evakuasi dan dilepasliarkan. Petugas mengerahkan 1 Unit Ops Damkar Mobil Hilux Kajama Rescue</t>
  </si>
  <si>
    <t>Doni No Telp. 085388253859</t>
  </si>
  <si>
    <t>5 orang /1 unit
1. Agus Budianto
2. Ade Susanto
3. Misladin
4. M. Yoppie Wirawan
5. M. Dadang Kurniwan, S.H</t>
  </si>
  <si>
    <t>14.20 s/d 14.45 Wita</t>
  </si>
  <si>
    <t>Menindaklanjuti laporan warga perihal meminta bantuan evakuasi ular yang terlihat di dapur beralamat Komp. Kelapa Gading Permai Jl. Junjung Buih RT. 16 RW. 03 No. 02 Kel. Sungai Besar Kec. Banjarbaru Selatan. Ular berhasil di evakuasi dan dilepasliarkan. Petugas mengerahkan 1 Unit Ops Damkar Mobil Hilux Kajama Rescue.</t>
  </si>
  <si>
    <t xml:space="preserve">Nanda No Telp. 08125125654 </t>
  </si>
  <si>
    <t>5 orang /1 unit
1. Budi Adi
2. Muhammad Noor
3. Bambang Arry Arsono
4. Ranu Wibowo
5. M. Fikri Nisfuadi</t>
  </si>
  <si>
    <t>Minggu, 23 Maret 2025</t>
  </si>
  <si>
    <t>07.36 s/d 09.00 Wita</t>
  </si>
  <si>
    <t>Menindaklanjuti laporan warga perihal meminta bantuan evakuasi pohon tumbang yang mengakibatkan atap rumah rusak berat beralamat Jl. Komplek Keruing Indah RT. 08 RW. 06 Kel. Guntung Manggis Kec. Landasan Ulin. 2 Pohon Tumbang berhasil di evakuasi dan dibersihkan. Petugas mengerahkan 1 Unit Ops Damkar Mobil Hilux Kajama Rescue.</t>
  </si>
  <si>
    <t>Agus No Telp. 08219999029</t>
  </si>
  <si>
    <t>23.26 s/d 00.20 Wita</t>
  </si>
  <si>
    <t xml:space="preserve">Menindaklanjuti laporan warga perihal meminta bantuan pintu kamar yang tidak bisa dibuka karena kuncinya patah beralamat Jl. Intan Sari No. 99 B RT. 20 RW. 04 Kel. Guntung Paikat Kec. Banjarbaru Selatan. Pintu berhasil dibuka. Petugas mengerahkan 1 Unit Ops Damkar Truk Ton III. </t>
  </si>
  <si>
    <t>Leha No Telp. 082149648760</t>
  </si>
  <si>
    <t>6 orang/1 unit
1. Ranu Wibowo
2. Imam Kastalani
3. M. Fikri Nisfuadi
4. Ade Susanto
5. Misladin
6. M. Yoppie Wirawan</t>
  </si>
  <si>
    <t>Senin, 24 Maret 2025</t>
  </si>
  <si>
    <t>06.30 s/d 08.00 Wita</t>
  </si>
  <si>
    <t>Menindaklanjuti laporan warga perihal meminta bantuan evakuasi kucing yang tercebur dalam sumur beralamat Jl. Pondok Bambu Komp. Darul Hujrah No. B. 09 RT. 50 RW. 08 Kel. Loktabat Utara Kec. Banjarbaru Utara. Kucing berhasil di evakuasi dan petugas mengerahkan 1 Unit Ops Damkar Mobil Hilux Kajama Rescue.</t>
  </si>
  <si>
    <t xml:space="preserve">Ghina No Telp. 085751025107 </t>
  </si>
  <si>
    <t>14.48 s/d 15.16 Wita</t>
  </si>
  <si>
    <t>Menindaklanjuti laporan warga  perihal meminta bantuan evakuasi ular yang berada di dalam rumah pelapor beralamat Komp. Wengga Trikora Blok Z5 No. 72 RT. 48 RW. 07 Kel. Guntung Manggis Kec. Landasan Ulin. Ular berhasil di evakuasi dan dilepasliarkan. Petugas mengerahkan 1 Unit Ops Damkar Mobil Hilux Kajama Rescue.</t>
  </si>
  <si>
    <t>Ridawati No Telp. 085248760379</t>
  </si>
  <si>
    <t>Selasa, 25 Maret 2025</t>
  </si>
  <si>
    <t>00.15 s/d 01.10 Wita</t>
  </si>
  <si>
    <t>Menindaklanjuti laporan warga perihal meminta bantuan evakuasi ular yang berada dalam mobil pelapor beralamat Komp. 99 No. 13 RT. 01 RW. 01 Kel. Sungai Ulin Kec. Banjarbaru Utara. Petugas berhasil mengevakuasi ular dan dilepasliarkan. Petugas mengerahkan 1 Unit Ops Damkar Mobil Hilux Kajama Rescue.</t>
  </si>
  <si>
    <t>Bapak Sultan No Telp. 088258144572</t>
  </si>
  <si>
    <t>11.15 s/d 12.00 Wita</t>
  </si>
  <si>
    <t>Menindaklanjuti laporan warga perihal meminta bantuan evakuasi ular beralamat Perum Qafa Aqila Jl. Transpol RT. 16 RW. 06 No. 28 Kel. Sungai Tiung Kec. Cempaka. Ular berhasil di evakuasi dan dilepasliarkan. Petugas mengerahkan 1 Unit Ops Damkar Mobil Hilux Kajama Rescue.</t>
  </si>
  <si>
    <t>Andi No Telp. 081258867172</t>
  </si>
  <si>
    <t>6 orang/1 unit
1. Nur Hidayah, SE
2. Budi
3. Muhammad Noor
4. Bambang Arry Arsono
5. Ranu Wibowo
6. M. Fikri Nisfuadi</t>
  </si>
  <si>
    <t>Rabu, 26 Maret 2025</t>
  </si>
  <si>
    <t>Menindaklanjuti laporan warga perihal meminta bantuan evakuasi ular di rumah pelapor beralamat Jl. Kac Piring RT. 02 RW. 03 No. 08 Kel. Komet Kec, Banjarbaru Utara. Petugas melakukan pencarian disekitar rumah pelapor dan ular tidak dapat ditemukan. Petugas mengerahkan 1 Unit Ops Damkar Truk Ton IV.</t>
  </si>
  <si>
    <t>Adhe No Telp. 08115073100</t>
  </si>
  <si>
    <t>3 orang /1 unit
1. Budi Adi
2. Muhammad Noor
3. Bambang Arry Arsono</t>
  </si>
  <si>
    <t>11.32 s/d 12.30 Wita</t>
  </si>
  <si>
    <t>Menindaklanjuti laporan warga perihal meminta bantuan evakuasi anak pelapor yang terkunci dalam kamar mandi beralamat Jl. Sejahtera Rt. 02 RW. 06 Kel. Mentaos Kec. Banjarbaru Utara. Evakuasi berhasil dan pintu kamar mandi di bongkar. Petugas mengerahkan 1 Unit Ops Damkar Truk Ton III.</t>
  </si>
  <si>
    <t xml:space="preserve">Nanang No Telp. 082296217431 </t>
  </si>
  <si>
    <t>orang terkunci</t>
  </si>
  <si>
    <t>6. orang/1 unit
1. Ranu Wibowo
2. Imam Kastalani
3. M. Fikri Nisfuadi
4. Agus Budianto
5. Misladin
6. M. Yoppie Wirawan</t>
  </si>
  <si>
    <t>Kamis, 27 Maret 2025</t>
  </si>
  <si>
    <t>Menindaklanjuti laporan warga perihal meminta bantuan evakuasi ular yang berada di samping rumah atau kebun beliau beralamat Jl. Keruing (belakanag SMPN 1 Banjarbaru) Kel. Loktabat Selatan Kec. Banjarbaru Selatan. Ular berhasil di evakuasi dan dilepasliarkan. Petugas mengerahkan 1 Unit Ops Damkar Truk Ton III.</t>
  </si>
  <si>
    <t>Said Rifani No Telp. 087860406908</t>
  </si>
  <si>
    <t>4 orang /1 unit
1. Ranu Wibowo
2. Imam Kastalani
3. M. Fikri Nisfuadi
4. Bambang Arry Arsono</t>
  </si>
  <si>
    <t>20.39 s/d 21.45 Wita</t>
  </si>
  <si>
    <t>Menindaklanjuti laporan warga perihal meminta bantuan evakuasi membukakan pintu rumah yang tidak dapat dibuka beralamat Komp. Wella Mandiri Blok B4 No. 210 RT. 15 RW. 03 Kel. Syasudin Noor Kec. Landasan Ulin. Pintu berhasil di buka. Petugas mengerahkan 1 Unit Ops Damkar Mobil Hilux Kajama Rescue.</t>
  </si>
  <si>
    <t xml:space="preserve">Salma No Telp. 083847317255 </t>
  </si>
  <si>
    <t>8 orang /1 unit
1. Nur Hidayah, SE
2. Agus Budianto
3. Ade Susanto
4. Misladin
5. M. Yoppie Wirawan
6. Budi Adi 
7. Muhammad Noor
8. M. Dadang Kurniwan, S.H</t>
  </si>
  <si>
    <t>pintu terkunci</t>
  </si>
  <si>
    <t>Jum`at, 28 Maret 2025</t>
  </si>
  <si>
    <t>Menindaklanjuti laporan warga perihal meminta bantuan evakuasi ular yang berada di rumah beliau beralamat Jl. Mataraman No. 2 RT. 2 RW.01 Kel. Mentaos Kec. Banjarbaru Utara. Ular berhasil di evakuasi dan dilepasliarkan. Petugas mengerahkan 1 Unit Ops Damkar Truk Ton IV.</t>
  </si>
  <si>
    <t>Nabella Budiman No Hp. 081250558762</t>
  </si>
  <si>
    <t>Sabtu, 29 Maret 2025</t>
  </si>
  <si>
    <t>01.15 s/d 01.35 Wita</t>
  </si>
  <si>
    <t>Menindaklanjuti laporan warga perihal meminta bantuan evakuasi ular yang berada ruang keluarga rumah pelapor beralamat Jl. Semarang No. 116 Kel. Loktabat Selatan Kec. Banjarbaru Selatan. Ular berhasil di evakuasi dan dilepasliarkan. Petugas mengerahkan 1 Unit Ops Damkar Mobil Hilux Kajama Rescue.</t>
  </si>
  <si>
    <t>Etty No Telp. 085100051196</t>
  </si>
  <si>
    <t>10.34 s/d 12.00 Wita</t>
  </si>
  <si>
    <t>Menindaklanjuti laporan warga perihal meminta bantuan evakuasi pohon tumbang yang mengenai rumah warga beralamat Komp. Guntung Paring Indah 2 RT. 18 RW. 03 Kel. Guntung Manggis Kec. Landasan Ulin. Pohon berhasil di evakuasi. Petugas mengerahkan 1 Unit Ops Damkar Mobil Hilux Kajama Rescue.</t>
  </si>
  <si>
    <t>Senin, 31 Maret 2025</t>
  </si>
  <si>
    <t>02.00 s/d 02.50 Wita</t>
  </si>
  <si>
    <t>Menindaklanjuti laporan warga perihal meminta bantuan evakuasi mobil yang tercebur ke dalam drainase beralamat Jl. Guntung Manggis Komp. Citra Manggis Raya Kel. Guntung Manggis Kec. Landasan Ulin. Mobil berhasil di evakuasi dengan cara di tarik dengan wind. Petugas mengerahkan 1 Unit Ops Damkar Mobil Hilux Kajama Rescue.</t>
  </si>
  <si>
    <t>Udin No Telp. 085312539911</t>
  </si>
  <si>
    <t>18.35 s/d 18.45 Wita</t>
  </si>
  <si>
    <t>Menindaklanjuti laporan warga perihal meminta bantuan evakuasi ular yang terlihat di dalam kamar rumah pelapor beralamat Jl. Danau Seran Komp. Fitria Residence RT. 36 RW. 03 No. E12 Kel. Guntung Manggis Kec. Landasan Ulin. Ular berhasil di evakuasi dan dilepasliarkan. Petugas mengererahkan 1 Unit Ops Damkar Mobil Hilux Kajama Rescue.</t>
  </si>
  <si>
    <t>Alfian No Telp. 086973934202</t>
  </si>
  <si>
    <t>5 orang  /1 unit
1. Budi Adi
2. Muhammad Noor
3. Bambang Arry Arsono
4. Ranu Wibowo
5. M. Fikri Nisfuadi</t>
  </si>
  <si>
    <t>11.30 s/d 12.45 Wita</t>
  </si>
  <si>
    <t>Menindaklanjuti laporan warga perihal telah terjadi kebakaran bangunan di Sekolah Dasar Negeri 1 Bangkal beralamat Jl. Mistarcokrokusumo RT. 03 RW. 01 Kel. Bangkal Kec. Cempaka. Petugas menuju lokasi kejadian dan melakukan pembongkaran atap dikarenakan titik api di bagian atas atap plafon ruang Tata Usaha yang mengeluarkan asap. Penyebab kebakaran arus pendek listrik. Petugas mengerahkan 1 Unit Ops Damkar Truk Tangki Kajama 3500 Liter.</t>
  </si>
  <si>
    <t>Didi (Lurah Bangkal) No Hp. 081348419333</t>
  </si>
  <si>
    <t>6 orang/1 unit
1. Budi Adi
2. Muhammad Noor
3. Bambang Arry Arsono
4. Ranu Wibowo
5. Imam Kastalani
6. M. Fikri Nisfuadi</t>
  </si>
  <si>
    <t>Minggu, 30 Maret 2025</t>
  </si>
  <si>
    <t>18.57 s/d 19.54 Wita</t>
  </si>
  <si>
    <t>Menindaklanjuti laporan warga  perihal telah terjadi kebakaran bangunan beralamat Jl. H. Mistarcokrokusumo RT. 11 RW. 04 Kel. Cempaka Kec. Cempaka. Pemilik Rumah An. Muhammad Kausar 50 Tahun asal api dari kompor yang ditinggalkan pemiliknya. Jumlah kerugian kurang lebih 20 Juta Rupiah. Petugas mengerahkan 2 Unit Ops Damkar Truk Tangki Kajama 3500 Liter dan 4000 Liter.</t>
  </si>
  <si>
    <t>Muhammad Syarkawi No Telp. 081649770559</t>
  </si>
  <si>
    <t>11 orang/ 2 unit
1. Syafrullah, S.Sos, M.Si
2. Agus Budianto
3. Ade Susanto
4. Misladin
5. M. Yoppie Wirawan
6. Ranu Wibowo
7. Imam Kastalani
8. M. Fikri Nisfuadi
9. Budi Adi
10. Muhammad Noor
11. Bambang Arry Arsono</t>
  </si>
  <si>
    <t>Selasa, 1 April 2025</t>
  </si>
  <si>
    <t>14.42 s/d 16.25 Wita</t>
  </si>
  <si>
    <t>Pak Petro No Telp. 085332503000</t>
  </si>
  <si>
    <t>Menindaklanjuti laporan warga  perihal meminta bantuan evakuasi ular yang berada didalam sumur tempat kerja pelapor beralamat Jl. Trikora (Work Shop Pembuatan Beton) Kel. Landasan Ulin Timur Kec. Landasan Ulin. Petugas menuju lokasi pelapor dan ular berhasil di evakuasi lalu dilepasliarkan. Petugas mengerahkan 1 Unit Ops Damkar Truk Ton III.</t>
  </si>
  <si>
    <t>7 orang/1 unit
1. Syafullah, S.Sos
2. Nur Hidayah, SE
3. Ranu Wibowo
4. Imam Kastalani
5. M. Fikri Nisfuadi, S.Kom
6. Agus Budianto
7. Misladin</t>
  </si>
  <si>
    <t>Rabu, 2 April 2025</t>
  </si>
  <si>
    <t>06.50 s/d 07.55 Wita</t>
  </si>
  <si>
    <t>Menindaklanjuti laporan warga  perihal meminta bantuan evakuasi ular yang berada di dalam Box Motor pelapor beralamat Halaman Alfamart ( samping gardu induk ) Jl. Mistarcokrokusumo Kel. Sungai Besar Kec. Banjarbaru Selatan. Ular berhasil di evakuasi dan dilepasliarkan. Petugas mengerahkan 1 Unit Ops Damkar Truk Ton IV.</t>
  </si>
  <si>
    <t>Ridho Saputra No Telp. 082357707007 (Karyawan Alfamart)</t>
  </si>
  <si>
    <t>20.17 s/d 22.00 Wita</t>
  </si>
  <si>
    <t>Menindaklanjuti laporan warga perihal meminta bantuan evakuasi sarang lebah yang berada di atas plafon rumah beliau beralamat Komp. Widya Graha 3 Blok G No. II RT. 039 RW. 11 Kel. Cempaka Kec. Cempaka. Sarang lebah berhasil di musnahkan dengan cara dibakar. Petugas mengerahkan 1 Unit Ops Damkar Mobil Hilux Kajama Rescue.</t>
  </si>
  <si>
    <t xml:space="preserve"> an. Ibu Yeni No Telp. 082350221302</t>
  </si>
  <si>
    <t>7 orang /1 unit
1. Agus Budianto
2. Ade Susanto
3. Misladin
4. M. Yoppie Wirawan
5. Budi Adi
6. Muhammad Noor
7. Bambang Arry Arsono</t>
  </si>
  <si>
    <t>Kamis, 3 April 2025</t>
  </si>
  <si>
    <t>03.36 s/d 04.22 Wita</t>
  </si>
  <si>
    <t>Menindaklanjuti laporan warga perihal meminta bantuan evakuasi kunci mobil yang tertinggal di dalam mobil beralamat Jl. Mistarcokrokusumo depan Bank BNI Kel. Sungai Besar Kec. Banjarbaru Selatan. Kunci berhasil di evakuasi. Petugas mengerahkan 1 Unit Ops Damkar Mobil Hilux Kajama Rescue.</t>
  </si>
  <si>
    <t>Bapak Reno No Telp. 087797937519</t>
  </si>
  <si>
    <t>Kunci Mobil</t>
  </si>
  <si>
    <t>Jum`at, 4 April 2025</t>
  </si>
  <si>
    <t>02.37 s/d 03.00 Wita</t>
  </si>
  <si>
    <t>Menindaklanjuti laporan warga perihal meminta bantuan evakuasi handphone yang terjatuh ke dalam drainase beralamat Jl. Basuki Rahmat (Minggu Raya) Kel. Komet Kec. Banjarbaru Utara. Handphone berhasil di evakuasi. Petugas mengerahkan 1 Unit Ops Damkar Mobil Hilux Kajama Rescue.</t>
  </si>
  <si>
    <t>Riza Falevi No Telp. 081257377286</t>
  </si>
  <si>
    <t>Hp</t>
  </si>
  <si>
    <t>Menindaklanjuti laporan warga perihal meminta bantuan evakuasi ular yang berada dibelakang lemari kaca dapur rumah pelapor beralamat Jl. Asabri Blok LA 5 RT. 18 RW. 04 Kel. Sungai Ulin Kec. Banjarbaru Utara. Ular berhasil di evakuasi dan dilepasliarkan. Petugas mengerahkan 1 Unit Ops Damkar Mobil Hilux Kajama Rescue.</t>
  </si>
  <si>
    <t>Fajar No Telp. 087878455206</t>
  </si>
  <si>
    <t>6 orang/1 unit
1. Syafrullah, S.Sos, M.Si
2. Ranu Wibowo
3. Imam Kastalani
4. M. Fikri Nisfuadi, S.Kom
5. Ade Susanto
6. Misladin</t>
  </si>
  <si>
    <t>Sabtu, 5 April 2025</t>
  </si>
  <si>
    <t>07.08 s/d 09.00 Wita</t>
  </si>
  <si>
    <t>Menindaklanjuti laporan warga perihal meminta bantuan evakuasi ular yang berada di lemari dapur pelapor beralamat Komp. Citra Mandiri Permai Blok G 8 RT. 04 RW. 01 Kel. Landasan Ulin Utara Kec. Liang Anggang. Petugas melakukan pencarian di sudut-sudut dapur dan ular tidak berhasil ditemukan. Petugas mengerahkan 1 Unit Ops Damkar Truk Ton III.</t>
  </si>
  <si>
    <t>Irwan No Telp. 082351609761</t>
  </si>
  <si>
    <t>Minggu, 6 April 2025</t>
  </si>
  <si>
    <t>Menindaklanjuti laporan warga perihal meminta bantuan evakuasi ular di dalam rumah beliau beralamat Komp. Bumi Berkah Mulia Asri No. D20 RT. 36 RW. 07 Kel. Guntung Manggis Kec. Landasan Ulin. Ular berhasil di evakuasi dan dilepasliarkan. Petugas mengerahakan 1 Unit Ops Damkar Mobil Hilux Kajama Rescue.</t>
  </si>
  <si>
    <t>Wardayati No Telp. 08785010053</t>
  </si>
  <si>
    <t>6 orang/1 unit
1. Agus Budianto
2. Ade Susanto
3. Misladin
4. M. Yoppie Wirawan
5. M. Fikri Nisfuadi, S.Kom
6. M. Dadang Kurniwan, SH</t>
  </si>
  <si>
    <t>13.50 s/d 14.30 Wita</t>
  </si>
  <si>
    <t>Menindaklanjuti laporan warga perihal meminta bantuan evakuasi ular yang terlihat di kebun beralamat Jl. Pondok Pinus RT. 19 RW. 08 Kel. Loktabat Utara Kec. Banjarbaru Utara. Ular berhasil di evakuasi dan dilepasliarkan. Petugas mengerahkan 1 Unit Ops Damkar Mobil Hilux Kajama Rescue.</t>
  </si>
  <si>
    <t>Wasiyo No Telp. 082353152358</t>
  </si>
  <si>
    <t>7 orang/ 1 unit
1. Syafrullah, S.Sos, M.Si
2. Nur Hidayah, SE
3. Budi Adi
4. Muhammad Noor
5. Bambang Arry Arsono
6.Ranu Wibowo
7. Imam Kastalani</t>
  </si>
  <si>
    <t>Senin, 7 April 2025</t>
  </si>
  <si>
    <t>15.55 s/d 17.30 Wita</t>
  </si>
  <si>
    <t>Menindaklanjuti laporan warga perihal meminta bantuan evakuasi ular yang berada di penyimpanan  barang rumah pelapor beralamat Jl. Sukamara No. 52 RT. 01 RW. 02 Kel. Landasan Ulin Utara Kec. Liang Anggang. Petugas melakukan pencarian di sudut-sudut rumah pelapor dan ular tidak dapat ditemukan. Petugas mengerahkan 1 Unt Ops Damkar Truk Ton III.</t>
  </si>
  <si>
    <t>Selviani No Telp. 085864850985</t>
  </si>
  <si>
    <t>8 orang/1 unit
1. Syafullah, S.Sos, M.Si
2. Nur Hidayah, SE
3. Ranu Wibowo
4. Imam Kastalani
5. M. Fikri Nisfuadi, S.Kom
6. Agus Budianto
7. Ade Susanto
8. Misladin</t>
  </si>
  <si>
    <t>Selasa, 8 April 2025</t>
  </si>
  <si>
    <t>Menindaklanjuti laporan warga perihal meminta bantuan evakuasi ular yang berada di reng plafon rumah pelapor beralamat Jl. Kasturi II No. 28 RT. 46 RW. 06 Kel. Syamsudin Noor Kec. Landasan Ulin. Ular berhasil di evakuasi dan dilepasliarkan. Petugas mengerahkan 1 Unit Ops Damkar Mobil Hilux Kajama Rescue.</t>
  </si>
  <si>
    <t xml:space="preserve"> Widyanto No Telp. 081349795065</t>
  </si>
  <si>
    <t>4 orang/1 unit
1. Ranu Wibowo
2. Imam Kastalani
3. M. Fikri Nisfuadi, S.Kom
4. Bambang Arry Arsono</t>
  </si>
  <si>
    <t>Rabu, 9 April 2025</t>
  </si>
  <si>
    <t>07.20 s/d 08.30 Wita</t>
  </si>
  <si>
    <t>Menindaklanjuti laporan warga perihal meminta bantuan evakuasi ular di teras rumah pelapor beralamat Komp. Galuh Marindu 2 Blok. M 17 RT. 33 RW. 07 Kel. Sungai Besar Kec. Banjarbaru Selatan. Ular berhasil di evakuasi dan dilepasliarkan. Petugas mengerahkan 1 Unit Ops Damkar Mobil Hilux Kajama Rescue.</t>
  </si>
  <si>
    <t>Hera Wati No Telp. 08125177111</t>
  </si>
  <si>
    <t>6 orang/1 unit
1. Agus Budianto
2. Ade Susanto
3. Misladin
4. M. Yoppie Wirawan
5. Imam Kastalani
6. M. Dadang Kurniwan, SH</t>
  </si>
  <si>
    <t>16.32 s/d 17.15 Wita</t>
  </si>
  <si>
    <t>Menindaklanjuti laporan warga perihal meminta bantuan evakuasi ular yang berada di tengah rumah pelapor beralamat Jl. Kasturi 1 RT. 35 RW. 07 Kel. Syamsudin Noor Kec. Landasan Ulin. Ular berhasil di evakuasi dan dilepasliarkan. Petugas mengerahkan 1 Unit Ops Damkar Mobil Hilux Kajama Rescue.</t>
  </si>
  <si>
    <t>Keyzia No Telp. 082254978319</t>
  </si>
  <si>
    <t>7 orang/1 unit
1. Syafrullah, S.Sos, M.Si
2. Nurhidayah, SE
3. Budi Adi
4. Muhammad Noor
5. Bambang Arry Arsono
6. Ranu Wibowo
7. M. Fikri Nisfuadi, S.Kom</t>
  </si>
  <si>
    <t>Kamis, 10 April 2025</t>
  </si>
  <si>
    <t>21.06 s/d 21.50 Wita</t>
  </si>
  <si>
    <t>Menindaklanjuti laporan dari guru Sekolah perihal meminta bantuan evakuasi lebah di atas pohon halaman sekolah depan kelas tingkat 2 yang sudah menyengat siswa beralamat Jl. Kelapa Gading (SDN 4 Sungai Besar) Kel. Sungai Besar Kec. Banjarbaru Selatan. Sarang lebah berhasil di musnahkan dengan cara dibakar. Petugas mengerah 1 Unit Ops Damkar Truk Ton III.</t>
  </si>
  <si>
    <t>Syarif No Telp. 082122222120</t>
  </si>
  <si>
    <t>Jum`at, 11 April 2025</t>
  </si>
  <si>
    <t>07.20 s/d 08.00 Wita</t>
  </si>
  <si>
    <t>Menindaklanjuti laporan warga perihal meminta bantuan evakuasi cincin di jari yang sudah terjadi pembengkakan beralamat Komp. Kelapa Gading 1 Jl. Surabaya Blok. B No. 69 RT. 04 RW. 01 Kel. Sungai Besar Kec. Banjarbaru Selatan. Cincin berhasil dilepas dengan cara di potong. Petugas menegerahkan 1 Unit Ops Damkar Truk Ton III.</t>
  </si>
  <si>
    <t>Dijehasan No Telp. 085156749990</t>
  </si>
  <si>
    <t>19.28 s/d 19.43 Wita</t>
  </si>
  <si>
    <t>Menindaklanjuti laporan warga perihal meminta bantuan evakuasi ular yang berada di rumah pelapor beralamat Komp. Villa Idaman 2 RT. 49 RW. 01 Kel. Sungai Besar Kec. Banjarbaru Selatan. Ular berhasil di evakuasi dan dilepasliarkan. Petugas mengerahkan 1 Unit Ops Damkar Mobil Hilux Kajama Rescue.</t>
  </si>
  <si>
    <t>Sayuti No Telp. 081253963670</t>
  </si>
  <si>
    <t>8 orang/1 unit
1. Syafrullah, S.Sos, M.Si
2. Agus Budianto
3. Ade Susanto
4. Misladin
5. M. Yoppie Wirawan
6. Budi Adi
7. Muhammad Noor
8. Bambang Arry Arsono</t>
  </si>
  <si>
    <t>Sabtu, 12 April 2025</t>
  </si>
  <si>
    <t>Menindaklanjuti laporan warga perihal meminta bantuan evakuasi ular yang berada dirumah pelapor beralamat Jl. Bumi Berkat 5 No. 20 RT. 22 RW. 01 Kel. Sungai Besar Kec. Banjarbaru Selatan. Ular berhasil di evakuasi dan dilepasliarkan. Petugas mengerahkan 1 Unit Ops Damkar Mobil Hilux Kajama Rescue.</t>
  </si>
  <si>
    <t>Alfi No Telp. 087715527158</t>
  </si>
  <si>
    <t>8 orang/1 unit
1. Agus Budianto
2. Ade Susanto
3. Misladin
4. M. Yoppie Wirawan
5. M. Fikri Nisfuadi, S.Kom
6. M. Dadang Kurniwan, SH</t>
  </si>
  <si>
    <t>19.17 s/d 22.00 Wita</t>
  </si>
  <si>
    <t>Menindaklanjuti laporan perihal meminta bantuan evakuasi sarang lebah di pohon depan rumah pelapor beralamat Komp. Griya Muning Asri Jl. P.M Noor RT. 29 RW. 07 Kel. Sungai Ulin Kec. Banjarbaru Utara. Sarang lebah berhasil dimusnahkan dengan cara disemprot dengan mobil tangki Damkar. Petugas mengerahkan 1 Unit Ops Damkar Truk Tangki Kajama 3500 Liter.</t>
  </si>
  <si>
    <t>Via Call Center 112 an. M. Arifin/ Ikhsan No Telp. 081347052164</t>
  </si>
  <si>
    <t>6 orang/1 unit 
1. Syafrullah, S.Sos, M.Si
2. Budi Adi
3. Muhammad Noor
4. Bambang Arry Arsono
5. Ranu Wibowo
6. Imam Kastalani</t>
  </si>
  <si>
    <t>Minggu, 13 April 2025</t>
  </si>
  <si>
    <t>07.15 s/d 07.45 Wita</t>
  </si>
  <si>
    <t>Menindaklanjuti laporan warga perihal meminta bantuan evakuasi kucing yang tercebur ke dalam sumur beralamat Perum Citra Palam Asri Jl. Gajah Mada Blok 2 No. 05 RT. 43 RW. 05 Kel. Guntung Manggis Kec. Landasan Ulin. Kucing berhasil di evakuasi. Petugas mengerahkan 1 Unit Ops Damkar Truk Tangki Kajama 3500 Liter.</t>
  </si>
  <si>
    <t>May Kastanika No Telp. 082154337271</t>
  </si>
  <si>
    <t>15.00 s/d 15.50 Wita</t>
  </si>
  <si>
    <t>Menindaklanjuti laporan warga perihal meminta bantuan evakuasi ular jenis King Cobra yang berada di gudang penyimpanan barang rumah beliau beralamat Komp. Grand Sanica Hils RT. 03 RW. 01 Kel. Cempaka Kec. Cempaka. Ular berhasil di evakuasi. petugas mengerahkan 1 Unit Ops Damkar Truk Ton III.</t>
  </si>
  <si>
    <t xml:space="preserve">Papas No Telp. 085946007636 </t>
  </si>
  <si>
    <t>8 orang/1 unit
1. Syafrullah, S.Sos, M.Si
2. Nur Hidayah, SE
3. Ranu Wibowo
4. Imam Kastalani
5. M. Fikri Nisfuadi, S.Kom
6. Agus Budianto
7. Misladin
8. M. Dadang Kurniwan, S.H</t>
  </si>
  <si>
    <t>Senin, 14 April 2025</t>
  </si>
  <si>
    <t>05.19 s/d 05.50 Wita</t>
  </si>
  <si>
    <t>Menindaklanjuti laporan warga perihal meminta bantuan evakuasi pintu kamar mandi yang terkunci beralamat Komp. Roemah Kenari RT. 19 RW. 08 Kel. Loktabat Utara Kec. Banjarbaru Utara. Pintu berhasil di buka. Petugas mengerahkan 1 Unit Ops Damkar Truk Ton III.</t>
  </si>
  <si>
    <t xml:space="preserve">Madani No Telp. 082132219706 </t>
  </si>
  <si>
    <t>Pintu Kamar Mandi</t>
  </si>
  <si>
    <t>4 orang/1 unit
1. Ranu Wibowo
2. Imam Kstalani
3. M. Fikri Nisfuadi, S.Kom
4. Bambang Arry Arsono</t>
  </si>
  <si>
    <t>Rabu, 16 April 2025</t>
  </si>
  <si>
    <t>18.00 s/d 19.10 Wita</t>
  </si>
  <si>
    <t>Menindaklanjuti laporan warga perihal meminta bantuan evakuasi ular di dekat kandang ayam beralamat Jl. Laros Komp. Safwah Asri Kel. Landasan Ulin Tengah Kec. Liang Anggang. Ular berhasil di evakuasi dan dilepasliarkan. Petugas mengerahkan 1 Unit Ops Damkar Mobil Hilux Kajama Rescue.</t>
  </si>
  <si>
    <t>Merry No Telp. 085249107317</t>
  </si>
  <si>
    <t>7 orang/1 unit
1. Syafrullah, S.Sos, M.Si
2. Nur Hidayah, SE
3. Ranu Wibowo
4. Imam Kastalani
5. M. Fikri Nisfuadi, S.Kom
6. Budi Adi
7. M. Dadang Kurniwan, SH</t>
  </si>
  <si>
    <t>Kamis, 17 April 2025</t>
  </si>
  <si>
    <t>02.09 s/d 03.00 Wita</t>
  </si>
  <si>
    <t>Menindaklanjuti laporan warga perihal meminta bantuan evakuasi musang di dalam kamar beralamat Jl. Guntung Rambai Jaya RT. 05 RW. 02 Kel. Loktabat Selatan Kec. Banjarbaru Selatan. Musang berhasil di evakuasi dan dilepasliarkan. Petugas mengerahkan 1 Unit Ops Damkar Mobil Hilux Kajama Rescue.</t>
  </si>
  <si>
    <t xml:space="preserve">Naraya No Telp. 082149741787 </t>
  </si>
  <si>
    <t>4 orang/1 unit
1. Ranu Wibowo
2. Imam Kastalani
3. M. Fikri Nisfuadi, S.Kom
4. Muhammad Noor</t>
  </si>
  <si>
    <t>12.33 s/d 12.50 Wita</t>
  </si>
  <si>
    <t xml:space="preserve">Menindaklanjuti laporan warga  perihal meminta bantuan evakuasi handphone yang tercebur ke dalam sumur beralamat Jl. Guntung Paring No. 93 Kel guntung Manggis Kec. Landasan Ulin. Handphone berhasil di evakuasi. Petugas mengerahkan 2 Unit Ops Damkar Truk Ton III dan Mobil Hilux Kajama Rescue. </t>
  </si>
  <si>
    <t>Risna No Telp. 08385847459</t>
  </si>
  <si>
    <t>Jum`at, 18 April 2025</t>
  </si>
  <si>
    <t>02.10 s/d 03.02 Wita</t>
  </si>
  <si>
    <t>Menindaklanjuti laporan warga perihal meminta bantuan evakuasi ular berjenis cobra beralamat Jl. Budi Karya RT. 17 RW. 06 No. 45 Kel. Loktabat Utara Kec. Banjarbaru Utara. Ular berhasil di evakuasi dan dilepasliarkan. Petugas mengerahkan 1 Unit Ops Damkar Truk Ton III.</t>
  </si>
  <si>
    <t>Muji Lestari No Telp. 082152565957</t>
  </si>
  <si>
    <t>6 orang/1 unit
1. Syafrullah, S.Sos, M.Si
2. Agus Budianto
3. Ade Susanto
4. Misladin
5. M. Yoppie Wirawan
6. M. Fikri Nisfuadi, S.Kom</t>
  </si>
  <si>
    <t>10.37 s/d 11.20 Wita</t>
  </si>
  <si>
    <t>Menindaklanjuti laporan warga perihal meminta bantuan evakuasi kucing yang tercebur dalam sumur dengan kedalaman sumur 9 Meter beralamat Anugrah ourfia Perdana Kelapa Gading I RT. 01 RW. 01 Kel. Sungai besar Kec. Banjarbaru Selatan. Kucing berhasil di evakuasi. Petugas mengerahkan 1 Unit Ops Damkar Mobil Hilux Kajama Rescue.</t>
  </si>
  <si>
    <t>M. Firdaus No Telp. 089523212860</t>
  </si>
  <si>
    <t>6 orang/1 unit
1. Nur Hidayah, SE
2. Budi Adi
3. Muhammad Noor
4. Bambang Arry Arsono
5. Ranu Wibowo
6. Imam Kastalani</t>
  </si>
  <si>
    <t>Sabtu, 19 April 2025</t>
  </si>
  <si>
    <t>02.18 s/d 03.00 Wita</t>
  </si>
  <si>
    <t>Menindaklanjuti laporan warga perihal meminta bantuan evakuasi ular yang berada di kamar mandi beralamat Jl. Karang Anyar 1 RT. 18 RW. 08 Kel. Loktabat Utara Kec. Banjarbaru Utara. Ular berhasil di evakuasi dan dilepasliarkan. Petugas mengerahkan 1 Unit Ops Damkar Mobil Hilux Kajama Rescue.</t>
  </si>
  <si>
    <t>Afi Muzadi No Telp. 083824245688</t>
  </si>
  <si>
    <t>19.57 s/d 21.50 Wita</t>
  </si>
  <si>
    <t>Bambang No Telp. 082210003424</t>
  </si>
  <si>
    <t>Menindaklanjuti laporan warga perihal meminta bantuan evakuasi sarang tawon yang berada di bawah plafon luar rumah pelapor beralamat Komp. Balitan 8 No. E 01 RT. 47 RW. 12 Kel. Loktabat Utara Kec. Banjarbaru Utara. Sarang Tawon berhasil di musnahkan dengan cara dibakar. Petugas mengerahkan 1 Unit Ops Damkar Mobil Hilux Kajama Rescue.</t>
  </si>
  <si>
    <t>7 orang/1 unit
1. Syafrullah, S.Sos, M.Si
2. Ranu Wibowo
3. Imam Kastalani
4. M. Fikri Nisfuadi
5. Ade Susanto
6. M. Yoppie Wirawan
7. M. Dadang Kurniwan, SH</t>
  </si>
  <si>
    <t>Senin, 21 April 2025</t>
  </si>
  <si>
    <t>17.54 s/d 19.25 Wita</t>
  </si>
  <si>
    <t>Menindaklanjuti laporan warga perihal meminta bantuan evakuasi sarang lebah yang berada di atas pohon depan rumah beralamat Jl. Al-Fajar RT. 19 RW. 04 No. 36 Kel. Kemuning Kec. Banjarbaru Selatan. Sarang lebah berhasil di musnahkan dengan cara dibakar. Petugas mengerahkan 1 Unit Ops Damkar Truk Tangki Kajama 3500 Liter.</t>
  </si>
  <si>
    <t>Gayuh Pambudi No Telp. 0815736952</t>
  </si>
  <si>
    <t>8 orang/1 unit
1. Budi Adi
2. Muhammad Noor
3. Bambang Arry Arsono
4. Ranu Wibowo
5. Imam Kastalani
6. M. Fikri Nisfuadi, S.Kom
7. Agus Budianto
8. Misladin</t>
  </si>
  <si>
    <t>Selasa, 22 April 2025</t>
  </si>
  <si>
    <t>00.15 s/d 00.35 Wita</t>
  </si>
  <si>
    <t>Menindaklanjuti laporan warga perihal meminta bantuan evakuasi ular yang terlihat di dapur rumah pelapor beralamat Komp. Bukit Lestari 4 RT. 33 RW. 07 Kel. Sungai Besar Kec. Banjarbaru Selatan. Ular berhasil di evakuasi dan dilepasliarkan. Petugas mengerahkan 1 Unit Ops Damkar Mobil Hilux Kajama Rescue.</t>
  </si>
  <si>
    <t>Ibu Rama No Telp. 082157654461</t>
  </si>
  <si>
    <t>6 orang/1 unit
1. Syafrullah, S.Sos, M.Si
2. Budi Adi
3. Muhammad Noor
4. Bambang Arry Arsono
5. Misladin
6. M. Yoppie Wirawan</t>
  </si>
  <si>
    <t>11.52 s/d 12.50 Wita</t>
  </si>
  <si>
    <t>Menindaklanjuti laporan perihal meminta bantuan evakuasi musang yang berada di halaman kampus beralamat Komp. Royal Residance (Kampus Yabkesbi) Kel. Kemuning Kec. Banjarbaru Selatan. Musang berhasil di evakuasi dan dilepasliarkan. Petugas mengerahkan 1 Unit Ops Damkar Mobil Hilux Kajama Rescue.</t>
  </si>
  <si>
    <t>Mahasiswi Akbid Yabkesbi an, Mitha No Telp 083112255054</t>
  </si>
  <si>
    <t>Rabu, 23 April 2025</t>
  </si>
  <si>
    <t>00.46 s/d 01.45 Wita</t>
  </si>
  <si>
    <t>Menindaklanjuti laporan warga perihal meminta bantuan evakuasi ular yang berada di dapur rumah pelapor beralamat Jl. Merdeka Perum Trans Palam AD Blok E Kel Palam Kec. Cempaka. Ular berhasil di evakuasi dan dilepasliarkan. Petugas mengerahkan 1 Unit Ops Damkar Mobil Hilux Kajama Rescue.</t>
  </si>
  <si>
    <t>Miela No Telp. 08197277077</t>
  </si>
  <si>
    <t>13.15 s/d 15.00 Wita</t>
  </si>
  <si>
    <t>Menindaklanjuti laporan warga perihal meminta bantuan evakuasi ular yang berada di rumah pelapor beralamat Jl. Mentaos Timur RT. 04 RW. 03 Kel. Mentaos Kec. Banjarbaru Utara. Ular berhasil di evakuasi dan dilepasliarkan. Petugas mengerahkan 1 Unit Ops Damkar Mobil Hilux Kajama Rescue.</t>
  </si>
  <si>
    <t>Yuniah No Telp. 085821242024</t>
  </si>
  <si>
    <t>Kamis, 24 April 2025</t>
  </si>
  <si>
    <t>02.00 s/d 02.53 Wita</t>
  </si>
  <si>
    <t>Menindaklanjuti laporan warga perihal meminta bantuan evakuasi ular di dalam barak penghuni Panti beralamat Jl. A. Yai Km. 31,5 Panti Asuhan Wiyata Kartika Putra 1 RT. 13 RW. 06 Kel. Loktabat Utara Kec. Banjarbaru Utara. Ular berhasil di evakuasi dan dilepasliarkan. Petugas mengerahkan 1 Unit Ops Damkar Mobil Hilux Kajama Rescue.</t>
  </si>
  <si>
    <t>Andhika Alfian No Telp. 081346216057</t>
  </si>
  <si>
    <t>18.03 s/d 19.15 Wita</t>
  </si>
  <si>
    <t>Menindaklanjuti laporan warga perihal meminta bantuan evakuasi ular yang berada di indor AC kamar pelapor beralamat Komp. Balitra Jaya Permai RT. 01 RW. 08 No. G/17 Kel. Loktabat Utara Kec. Banjarbaru Utara. Setelah dilakukan pencarian ternyata bukan ular melainkan Tokek. Tokek berhasil di evakuasi dan dilepasliarkan. Petugas mengerahkan 1 Unit Ops Damkar Truk Ton III.</t>
  </si>
  <si>
    <t>Mala No Telp. 081349747889</t>
  </si>
  <si>
    <t>tokek</t>
  </si>
  <si>
    <t>7 orang/1 unit
1. Syafrullah, S.Sos, M.Si
2. Nur Hidayah, SE
3. Budi Adi
4. Muhammad Noor
5. Bambang Arry Arsono
6. Ranu Wibowo
7. M. Fikri Nisfuadi, S.Kom</t>
  </si>
  <si>
    <t>Jum`at, 25 April 2025</t>
  </si>
  <si>
    <t>14.34 s/d 15.20 Wita</t>
  </si>
  <si>
    <t>Menindaklanjuti laporan warga perihal meminta bantuan evakuasi anak terkunci di dalam kamar beralamat Jl. Budi Karya II No. 36 RT. 17 RW. 06 Kel. Loktabat Utara Kec. Banjarbaru Utara. Petugas berhasil membuka pintu yang terkunci melalui jendela. Petugas mengerahkan 1 Unit Ops Damkar Mobil Hilux Kajama Rescue.</t>
  </si>
  <si>
    <t>Erlita No Telp. 082156396343</t>
  </si>
  <si>
    <t>anak terkunci</t>
  </si>
  <si>
    <t>8 orang/1 unit
1. Nur Hidayah, SE
2. Ranu Wibowo
3. Imam Kastalani
4. M. Fikri Nisfuadi
5. Muhammad Noor
6. Bambang Arry Arsono
7. Ade Susanto
8. M . Yoppie Wirawan</t>
  </si>
  <si>
    <t>Sabtu, 26 April 2025</t>
  </si>
  <si>
    <t>02.53 s/d 04.00 Wita</t>
  </si>
  <si>
    <t>Menindaklanjuti laporan warga perihal meminta bantuan evakuasi anjing yang tercebur ke dalam sumur beralamat Komp. Cempaka Sari RT. 34 RW. 07 Kel. Cempaka Kec. Cempaka. Anjing berhasil di evakuasi. Petugas mengerahkan 1 Unit Ops Damkar Mobil Hilux Kajama Rescue.</t>
  </si>
  <si>
    <t>Syahrul No Telp. 081241759972</t>
  </si>
  <si>
    <t>Minggu, 27 April 2025</t>
  </si>
  <si>
    <t>12.35 s/d 13.15 Wita</t>
  </si>
  <si>
    <t>Menindaklanjuti laporan warga perihal meminta bantuan evakuasi ular yang terlihat di ruang tengah pelapor beralamat Jl. A. Yani Km. 25 RT. 01 RW. 01 No. 1 Kel. Syamsudin Noor Kec. Landasan Ulin. Ular berhasil di evakuasi dan dilepasliarkan. Petugas mengerahkan 1 Unit Ops Damkar Mobil Hilux Kajama Rescue.</t>
  </si>
  <si>
    <t>Eka Sari Yulia No Telp. 08125530123</t>
  </si>
  <si>
    <t>8 orang/1 unit
1. Syafrullah, S.Sos, M.Si
2. Budi Adi
3. Muhammad Noor
4. Bambang Arry Arsono
5. Ranu Wibowo
6. Imam Kastalani
7. M. Fikri Nisfuadi, S.Kom
8. M. Yoppie Wirawan</t>
  </si>
  <si>
    <t>Senin, 28 April 2025</t>
  </si>
  <si>
    <t>Menindaklanjuti laporan warga perihal meminta bantuan evakuasi ular yang terlihat di dalam kamar beralamat Komp. Widya Citra Elok III RT. 11 RW. 02 Blok D No. 03 Kel. Sungai Besar Kec. Banjarbaru Selatan. Ular berhasil di evakuasi dan dilepasliarkan. Petugas mengerahkan 1 Unit Ops Damkar Mobil Hilux Kajama Rescue.</t>
  </si>
  <si>
    <t>Hikmah No Telp. 085754225247</t>
  </si>
  <si>
    <t>14.31 s/d 15.40 Wita</t>
  </si>
  <si>
    <t xml:space="preserve">Menindaklanjuti laporan warga perihal meminta bantuan evakuasi ular yang terlihat di bawah lemari Es rumah beliau beralamat Jl. Alternatif No. 25 RT. 29 RW. 02 Kel. Cempaka Kec. Cempaka. Petugas melakukan pencarian dan ular tidak ditemukan. Petugas mengerahkan 1 Unit Ops Damkar Mobil Hilux Kajama Rescue. </t>
  </si>
  <si>
    <t>H. Kadir No Telp. 085387544026</t>
  </si>
  <si>
    <t>Rabu, 30 April 2025</t>
  </si>
  <si>
    <t>10.00 s/d 10.30 Wita</t>
  </si>
  <si>
    <t>Menindaklanjuti laporan warga perihal meminta bantuan evakuasi ular yang terlihat di depan rumah beralamat Komp. Mulia Residance Jl. Pondok Bambu RT. 01 RW. 08 No. 05 Kel. Loktabat Utara Kec. Banjarbaru Utara. Ular berhasil di evakuasi dan dilepasliarkan. Petugas mengerahkan 1 Unit Ops Damkar Mobil Hilux Kajama Rescue.</t>
  </si>
  <si>
    <t xml:space="preserve">M. Taher No Telp. 082250361395 </t>
  </si>
  <si>
    <t xml:space="preserve">7 orang/1 unit
1. Syafrullah, S.Sos, M.Si
2. Budi Adi
3. Muhammad Noor
4. Bambang Arry Arsono
5. Agus Budianto
6. Ade Susanto
7. M. Dadang Kurniwan, SH
</t>
  </si>
  <si>
    <t>Senin, 31 Maret 2026</t>
  </si>
  <si>
    <t>Sabtu, 3 Mei 2025</t>
  </si>
  <si>
    <t>02.50 s/d 03.20 Wita</t>
  </si>
  <si>
    <t>Menindaklanjuti laporan warga perihal meminta bantuan evakuasi ular yang berada di dalam rumah beralamat Jl. Kembang SepatuKel. Komet Kec. Banjarbaru Utara. Ular berhasil di evakuasi dan dilepasliarkan. Petugas mengerahkan 1 Unit Ops Damkar Mobil Hilux Kajama Rescue.</t>
  </si>
  <si>
    <t>Benian Syah No. Telp. 0812539009225</t>
  </si>
  <si>
    <t>5 orang/1 unit
1. Syafrullah, S.Sos, M.Si
2. Agus Budianto
3. Ade Susanto
4. Misladin
5. M. Yoppie Wirawan</t>
  </si>
  <si>
    <t>Minggu, 4 Mei 2025</t>
  </si>
  <si>
    <t>06.45 s/d 07.31 Wita</t>
  </si>
  <si>
    <t>Menindaklanjuti laporan warga perihal meminta bantuan evakuasi ular yang berada dalam gudang rumah beralamat Jl. Perjuangan Komp. Karina RT. 07 RW. 02 Kel. Sungai Ulin Kec. Banjarbaru Utara. Petugas melakukan pencarian dan ular tidak berhasil ditemukan. Petugas mengerahkan 1 Unit Ops Damkar Mobil Hilux Kajama Rescue.</t>
  </si>
  <si>
    <t>Chairina No Telp. 081348501336</t>
  </si>
  <si>
    <t>5 orang/1 unit
1. Budi Adi
2. Muhammad Noor
4. Agus Budianto
5. Misladin</t>
  </si>
  <si>
    <t>18.49 s/d 19.28 Wita</t>
  </si>
  <si>
    <t>Menindaklanjuti laporan warga perihal meminta bantuan evakuasi ular yang berada di bawah tumpukan kalsiboard dibelakang dapur beralamat Komp. Panorama Griya Utama Trikora Blok. B No. 16 Kel. Guntung Manggis. Lar berhasil di evakuasi dan dilepasliarkan. Petugas mengerahkan 1 Unit Ops Damkar Mobil Hilux Kajama Rescue.</t>
  </si>
  <si>
    <t>Rama No Telp. 081258357741</t>
  </si>
  <si>
    <t>8 orang/1 unit
1. Syafrullah, S.Sos, M.Si
2. Nur Hidayah, SE
3. Ranu Wibowo
4. Imam Kastalani
5. M. Fikri Nisfuadi
6. Ade Susanto
7. M. Yoppie Wirawan
8. M. Dadang Kurniwan, S.H</t>
  </si>
  <si>
    <t>Selasa, 6 Mei 2025</t>
  </si>
  <si>
    <t>12.38 s/d 13.10 Wita</t>
  </si>
  <si>
    <t>Menindaklanjuti laporan warga perihal meminta bantuan evakuasi ular yang terlihat dibelakang lemari dapur beralamat Jl. Aneka Tambang RT. 03 RW. 01 Kel. Cempaka Kec. Cempaka. Ular berhasil di evakuasi dan dilepasliarkan. Petugas mengerahkan 1 Unit Ops Damkar Mobil Hilux Kajama Rescue.</t>
  </si>
  <si>
    <t>Noor Syifa No Telp. 087849024206</t>
  </si>
  <si>
    <t>8 orang/1 unit
1. Syafrullah. S.Sos, M.Si
2. Nur Hidayah, SE
3. Budi Adi
4. Muhammad Noor
5. Bambang Arry Arsono
6. Ranu Wibowo
7. Imam Kastalani
8. M. Fikri Nisfuadi, S.Kom</t>
  </si>
  <si>
    <t>Rabu, 7 Mei 2025</t>
  </si>
  <si>
    <t>11.59 s/d 12.40 Wita</t>
  </si>
  <si>
    <t>Menindaklanjuti laporan warga perihal meminta bantuan tumpahan solar di jalan yang mengakibatkan jalan menjadi licin beralamat Jl. UPT Transmigrasi RT. 01 RW. 10 Gunung Kupang Kel. Cempaka Kec. Cempaka. Tumpahan solar berhasil dibersihkan. Petugas mengerahkan 1 Unit Ops Damkar Truk Tangki Ton VII.</t>
  </si>
  <si>
    <t>M. Dwi Darmawan No Telp. 081251121218</t>
  </si>
  <si>
    <t>solar</t>
  </si>
  <si>
    <t>8 orang/1 unit
1. Nur Hidayah, SE
2. Ranu Wibowo
3. Imam Kastalani
4. M. Fikri Nisfuadi, S.Kom
5. Agus Budianto
6. Ade Susanto
7. Misladin
8. M. Yoppie Wirawan</t>
  </si>
  <si>
    <t>Kamis, 8 Mei 2025</t>
  </si>
  <si>
    <t>Menindaklanjuti laporan warga perihal meminta bantuan evakuasi ular yang berada di Box Motor pelapor beralamat GOR Rudy Resnawan Kel. Kemuning Kec. Banjarbaru Selatan. Petugas menuju lokasi pelapor dan melakukan pencarian. Ular tidak dapat ditemukan. Petugas mengerahkan 1 Unit Ops Damkar Mobil Hilux Kajama Rescue.</t>
  </si>
  <si>
    <t>Rizki No Telp. 081251150033</t>
  </si>
  <si>
    <t>Jum`at, 9 Mei 2025</t>
  </si>
  <si>
    <t>00.10 s/d 00.56 Wita</t>
  </si>
  <si>
    <t>Menindaklanjuti laporan warga perihal meminta bantuan evakuasi ular yang berada di dalam kamar mandi beralamat Komp. Pondok Sejahtera Blok R 22 RT. 30 RW. 04 Kel. Guntung Manggis Kec. Landasan Ulin. Ular tidak berhasil ditemukan. Petugas mengerahkan 1 Unit Ops Damkar Mobil Hilux Kajama Rescue.</t>
  </si>
  <si>
    <t>Annysa No Telp. 089534161554</t>
  </si>
  <si>
    <t>10.21 s/d 12.00 Wita</t>
  </si>
  <si>
    <t>Menindaklanjuti laporan warga perihal meminta bantuan evakuasi mobil yang terperosok dalam drainase beralamat Jl. Angkasa RT. 06 RW. 02 Kel. Syamsudin Noor Kec. Landasan Ulin. Mobil berhasil di evakuasi. Petugas mengerahkan 1 Unit Ops Damkar Mobil Hilux Kajama Rescue.</t>
  </si>
  <si>
    <t>Maulana No Telp. 087840736510</t>
  </si>
  <si>
    <t>8 orang/1 unit
1. Syafrullah, S.Sos, M.Si
2. Nur Hidayah, SE
3. Budi Adi
4. Muhammad Noor
5. Bambang Arry Arsono
6. Ranu Wibowo
7. Imam Kastalani
8. M. Dadang Kurniwan, SH</t>
  </si>
  <si>
    <t>Sabtu, 10 Mei 2025</t>
  </si>
  <si>
    <t>20.43 s/d 21.20 Wita</t>
  </si>
  <si>
    <t>Menindaklanjuti laporan warga  perihal meminta bantuan evakuasi sarang tawon vespa yang bersarang di pohon jambu rumah pelapor beralamat Komp. Griya Asri Mandala RT. 07 RW. 03 Kel. Landasan Ulin Barat Kec. Liang Anggang. Petugas berhasil memusnahkan sarang tawon dengan cara dibakar. Petugas mengerahkan 1 Unit Ops Damkar Truk Ton III.</t>
  </si>
  <si>
    <t>Cipa No Telp. 087756018151</t>
  </si>
  <si>
    <t>8 orang/1 unit
1. Ranu Wibowo
2. Imam Kastalani
3. M. Fikri Nisfuadi
4. Agus Budianto
5. Ade Susanto
6. Budi Adi
7. Muhammad Noor
8. Bambang Arry Arsono</t>
  </si>
  <si>
    <t>Minggu, 11 Mei 2025</t>
  </si>
  <si>
    <t>Menindaklanjuti laporan warga perihal meminta bantuan evakuasi ular yang berada di bawah lemari kompor/ meja kompor beralamat Komp. Lambung Mangkurat Regency Blok A4 Kel. Palam Kec. Cempaka. Ular berhasil di evakuasi dan dilepasliarkan. Petugas mengerahkan 1 Unit Ops Damkar Truk Ton III.</t>
  </si>
  <si>
    <t>Hendy No Telp. 085183179604</t>
  </si>
  <si>
    <t>12.14 s/d 13.55 Wita</t>
  </si>
  <si>
    <t>Menindaklanjuti laporan warga perihal meminta bantuan evakuasi kucing di dalam sumur rumah pelapor beralamat Jl. Tokyo 2 No J36 RT. 04 RW. 01 Kel. Sungai Besar Kec. Banjarbaru Selatan. Kucing berhasil di evakuasi oleh petugas. Petugas mengerahkan 1 Unit Ops Damkar Mobil Hilux Kajama Rescue.</t>
  </si>
  <si>
    <t>Embul No Telp. 082154855557</t>
  </si>
  <si>
    <t>8 orang/1 unit
1. Syafrullah, S.Sos, M.Si
2. Nurhidayah, SE
3. Agus Budianto
4. Ade Susanto
5. Misladin
6. M. Yoppie Wirawan
7. Budi Adi
8 Bambang Arry Arsono</t>
  </si>
  <si>
    <t>Senin, 12 Mei 2025</t>
  </si>
  <si>
    <t>00.10 s/d 01.35 Wita</t>
  </si>
  <si>
    <t>Menindaklanjuti laporan warga  perihal meminta bantuan evakuasi ular yang berada di rumah pelapor beralamat Jl. Merak Kel. Komet Kec. Banjarbaru Utara. Ular tidak berhasil ditemukan. Petugas mengerahkan 1 Unit Ops Damkar Mobil Hilux Kajama Rescue.</t>
  </si>
  <si>
    <t>Mamat No Telp. 082351639464</t>
  </si>
  <si>
    <t>21.49 s/d 22.30 Wita</t>
  </si>
  <si>
    <t>Menindaklanjuti laporan warga  perihal meminta bantuan evakuasi musang yang terjebak dalam kamar mandi beralamat Jl. Jeruk Komp. Griya Nalar Asri Blok B No. 03 RT. 026 Rw. 03 Kel. Sungai Ulin Kec. Banjarbaru Utara. Petugas berhasil mengevakuasi musang dan dilepasliarkan. Petugas mengerahkan 1 Unit Ops Damkar Mobil Hilux Kajama Rescue.</t>
  </si>
  <si>
    <t>Iwan No Telp. 08215355521</t>
  </si>
  <si>
    <t>5 orang/1 unit
1. Syafrullah, S.Sos, M.Si
2. Budi Adi
3. Muhammad Noor
4. Bambaang Arry Arsono
M. Fikri Nisfuadi, S.Kom</t>
  </si>
  <si>
    <t>MUHAMMAD FIKRI NISFUADI</t>
  </si>
  <si>
    <t>Banjarbaru,     Januari 2026</t>
  </si>
  <si>
    <t>DEDY SUTOYO, SSTP, MM.</t>
  </si>
  <si>
    <t>NIP. 19771127 199612 1 001</t>
  </si>
  <si>
    <t>Mobil Tangki Hino / Kajama 1000 Liter</t>
  </si>
  <si>
    <t>Selasa, 13 Mei 2025</t>
  </si>
  <si>
    <t>Menindaklanjuti laporan warga perihal meminta bantuan evakuasi ular yang terlihat di dapur rumah pelapor beralamat Jl. Komet Raya Gg. VI RT. 03 No. 04 Kel. Mentaos Kec. Banjarabaru Utara. Ular berhasil di evakuasi dan dilepasliarkan. Petugas mengerahkan 1 Unit Ops Damkar Mobil Hilux Kajama Rescue.</t>
  </si>
  <si>
    <t>14.57 s/d 15.28 Wita</t>
  </si>
  <si>
    <t>Fajar No Telp. 082351889007</t>
  </si>
  <si>
    <t>Menindaklanjuti laporan warga perihal meminta bantuan evakuasi ular yang berada diibawah tumpukan kaleng ruko milik pelapor beralamat Komp. Pesona Rosella Modern Kel. Loktabat Selatan Kec. Banjarabaru Selatan. Ular berhasil di evakuasi dan dilepasliarkan. Petugas mengerahkan 1 Unit Ops Damkar Mobil Hilux Kajama Rescue.</t>
  </si>
  <si>
    <t xml:space="preserve">8 orang/1 unit
1. Nur Hidayah, SE
2. Ranu Wibowo
3. Imam Kastalani
4. M. Fikri Nisfuadi
5. Agus Budianto
6. Ade Susanto
7. Misladin
8. M. Yoppie Wirawan
</t>
  </si>
  <si>
    <t>Rabu, 14 Mei 2025</t>
  </si>
  <si>
    <t>06.22 s/d 07.20 Wita</t>
  </si>
  <si>
    <t>Menindaklanjuti laporan warga  perihal meminta bantuan evakuasi ular yang berada di atas glagar dapur rumah pelapor beralamat Jl. Kasturi II No. 13 RT. 28 RW. 06 Kel. Syamsudin Noor Kec. Landasan Ulin. Ular berhasil di evakuasi oleh warga dan petugas mengamankan ular tersebut untuk dilepasliarkan. Petugas menegerahkan 1 Unit Ops Damkar Truk Ton III.</t>
  </si>
  <si>
    <t xml:space="preserve">Khairul No Telp. 088242884396 </t>
  </si>
  <si>
    <t>20.27 s/d 21.37 Wita</t>
  </si>
  <si>
    <t>Menindaklanjuti laporan warga perihal meminta bantuan evakuasi memusnahkan sarang lebah yang berada di atas pohon beralamat Jl. Pandawa (Langgar Guntung Paikat) Kel. Guntung Paikat Kec. Banjarbaru Selatan. Sarang lebah berhasil di musnahkan dengan cara dibakar. Petugas mengerahkan 1 Unit Ops Damkar Mobil Hilux Kajama Rescue.</t>
  </si>
  <si>
    <t>Ahurahman No Telp. 082150626925</t>
  </si>
  <si>
    <t>8 orang/1 unit
1. Syafrullah, S.Sos,M.Si
2. Agus Budianto
3. Ade Susanto
4. Misladin
5. M. Yoppie Wirawan
6. Budi Adi
7. Muhammad Noor
8. M. Dadang Kurniwan, SH</t>
  </si>
  <si>
    <t>Kamis, 15 Mei 2025</t>
  </si>
  <si>
    <t>Menindaklanjuti laporan warga  perihal meminta bantuan evakuasi ular yang terlihat dihalaman warga beralamat Jl. Karang Rejo No. 48 RT. 05 RW. 01 Kel. Guntung Manggis Kec. Landasan Ulin. Ular berhasil di evakuasi dan dilepasliarkan. Petugas mengerahkan 1 Unit Ops Damkar Mobil Hilux Kajama Rescue.</t>
  </si>
  <si>
    <t>Yudi no Telp. 082352377660</t>
  </si>
  <si>
    <t>5 orang/1 unit
1. Agus Budianto
2. Ade Susanto
3. Misladin
4. M. Yoppie Wirawan
5. Imam Kastalani</t>
  </si>
  <si>
    <t>17.56 s/d 19.15 Wita</t>
  </si>
  <si>
    <t>Menindaklanjuti laporan warga  perihal meminta bantuan evakuasi ular yang berada di dalam sumur beralamat Komp. Taman Kota Santri Jl. Golf Ujung RT. 013 RW. 003 No. B 41 Kel. Syamsudin Noor Kec. Landasan Ulin. Ular berhasil di evakuasi dan dilepasliarkan. Petugas menegerahkan 1 Unit Ops Damkar Mobil Hilux Kajama Rescue.</t>
  </si>
  <si>
    <t>Erlina Dewi No Telp. 085350359133</t>
  </si>
  <si>
    <t>8 orang/1 unit
1. Syafrullah, S.Sos, M.Si
2. Nur Hidayah, SE
3. Budi Adi
4. Muhammad Noor
5. Bambang Arry Arsono
6. Ranu Wibowo
7. M. Fikri Nisfuadi
8. M. Dadang Kurniwan, SH</t>
  </si>
  <si>
    <t>Sabtu, 17 Mei 2025</t>
  </si>
  <si>
    <t>00.20 s/d 00.50 Wita</t>
  </si>
  <si>
    <t>Menindaklanjuti laporan warga perihal meminta bantuan evakuasi ular yang berada di depan pagar kost-kost an beralamat Jl. Kelapa Sawit 7 RT. 01 RW. 01 Kel. Sungai Besar Kec. Banjarbaru Selatan. Ular berhasil di evakuaso dan dilepasliarkan. Petugas mengerahkan 1 Unit Ops Damkar Truk Ton III.</t>
  </si>
  <si>
    <t>Gede No Telp. 085347974123</t>
  </si>
  <si>
    <t>16.35 s/d 17.45 Wita</t>
  </si>
  <si>
    <t>Menindaklanjuti laporan warga perihal meminta bantuan evakuasi ular yang berada di dapur rumah pelapor beralamat Jl. Kurnia RT. 07 RW. 03 Kel. Landasan Ulin Utara Kec. Liang Anggang. Ular berhasil di evakuasi dan dilepasliarkan. Petugas mengerahkan 1 Unit Ops Damkar Mobil Hilux Kajama Rescue.</t>
  </si>
  <si>
    <t>Noviyanti No Telp. 082351842929</t>
  </si>
  <si>
    <t>8 orang/1 unit
1. Syafrullah, S.Sos, M.Si
2. Agus Budianto
3. Ade Susanto
4. Misladin
5. M Yoppie Wirawan
6. Budi Adi
7. Muhammad Noor
8. Bambang Arry Arsono</t>
  </si>
  <si>
    <t>Minggu, 18 Mei 2025</t>
  </si>
  <si>
    <t>20.00 s/d 21.15 Wita</t>
  </si>
  <si>
    <t>Menindaklanjuti laporan warga perihal meminta bantuan evakuasi ular yang terlihat di dapur beralamat Jl. Transad RT. 20 RW. 02 Kel. Palam Kec. Cempaka. Petugas menuju lokasi pelapor dan ular tidak dapat ditemukan. Petugas mengerahkan 1 Unit Ops Damkar Mobil Hilux Kajama Rescue.</t>
  </si>
  <si>
    <t>Norwati No Telp. 085176864096</t>
  </si>
  <si>
    <t>8 orang/1 unit
1. Budi Adi
2. Muhammad Noor
3. Bambang Arry Arsono
4. Ranu Wibowo
5. Imam Kastalani
6. M. Fikri Nisfuadi, S.Kom
7. Misladin
8. M. Yoppie Wirawan</t>
  </si>
  <si>
    <t>Senin, 19 Mei 2025</t>
  </si>
  <si>
    <t>01.15 s/d 01.45 Wita</t>
  </si>
  <si>
    <t>Menindaklanjuti laporan warga perihal meminta bantuan evakuasi ular yang terlihat bekas jirigen minyak beralamat Warung Mba Minul Jl. Trikora RT. 05 RW. 01 Kel. Guntung Manggis Kec. Landasan Ulin. Ular tidak berhasil ditemukan dan petugaspun melakukan edukasi terhadap pelapor dalam penanganan ular. Petugas mengerahkan 1 Unit Ops damkar Mobil Hilux Kajama Rescue.</t>
  </si>
  <si>
    <t>Annisa No Telp. 082155052551</t>
  </si>
  <si>
    <t>5 orang/1 unit
1. Budi Adi
2. Muhammad Noor
3. Bambang Arry Arsono
4. Misladin
5. M. Yoppie Wirawan</t>
  </si>
  <si>
    <t>21.00 s/d 22.15 Wita</t>
  </si>
  <si>
    <t>Menindaklanjuti laporan warga perihal meminta bantuan evakuasi sarang lebah yang berada di teras rumah pelapor beralamat Jl. H. Mistarcokrokusumo RT. 20 RW. 07 Kel. Sunagi Tiung Kec. Cempaka. Sarang lebah berhasil dimusnahkan dengan cara dibakar. Petugas mengerahkan 1 Unit Ops Damkar Truk Ton III.</t>
  </si>
  <si>
    <t>M. Yasir No Telp. 083150649651</t>
  </si>
  <si>
    <t>8 orang/1 unit
1. Syafrullah, S.Sos, M.Si
2. Nur Hidayah, SE
3. Ranu Wibowo
4. Imam Kastalani
5. M. Fikri Nisfuadi
6. Agus Budianto
7. Ade Susanto
8. M. Dadang Kurniwan, S.H</t>
  </si>
  <si>
    <t>Selasa, 20 Mei 2025</t>
  </si>
  <si>
    <t>00.40 s/d 01.10 Wita</t>
  </si>
  <si>
    <t>Menindaklanjuti laporan warga perihal meminta bantuan evakuasi ular yang berada di bawah tempat cuci piring beralamat Komp. BSD Bukit Sirkuit Damai Jl. Jeruk RT. 26 RW. 06 Kel. Sungai Ulin Kec. Banjarbaru Utara. Ular berhasil di evakuasi dan dilepasliarkan. Petugas mengerahkan 1 Unit Ops Damkar Truk Ton IV.</t>
  </si>
  <si>
    <t>Lusi No Telp. 083869751543</t>
  </si>
  <si>
    <t>20.09 s/d 20.58 Wita</t>
  </si>
  <si>
    <t>Menindaklanjuti laporan warga perihal meminta bantuan evakuasi sarang lebah yang berada di kamar mandi beralamat Komp. Royal Residence No. 1B Kel. Loktabat Selatan Kec. Banjarbaru Selatan. Sarang lebah berhasil dimusnahkan dengan cara dibakar. Petugas mengerahkan 1 Unit Ops Damkar Mobil Hilux Kajama Rescue.</t>
  </si>
  <si>
    <t>Ibu Heny No Telp. 082254253234</t>
  </si>
  <si>
    <t>8 orang/1 unit
1. Syafullah, S.Sos, M.Si
2. Agus Budianto
3. Ade Susanto
4. Misladin
5. M. Yoppie Wirawan
6. Budi Adi
7. Muhammad Noor
8. Bambang Arry Arsono</t>
  </si>
  <si>
    <t>Rabu, 21 Mei 2025</t>
  </si>
  <si>
    <t>17.20 s/d 18.15 Wita</t>
  </si>
  <si>
    <t>Menindaklanjuti laporan warga perihal meminta bantuan evakuasi kucing yang tercebur dalam sumur beralamat Jl. Bumi Berkat 5 Komp. Karya Bersama RT. 02 RW. 011 Kel. Cempaka Kec. Cempaka. Kucing berhasil di evakuasi. Petugas mengerahkan 1 Unit Ops Damkar Truk Tangki Kajama 4000 Liter.</t>
  </si>
  <si>
    <t>Almira No Telp. 082155907650</t>
  </si>
  <si>
    <t>5 orang/1 unit
1. Nur Hidayah, SE
2. Budi Adi
3. Muhammad Noor
4. Bambang Arry Arsono
5. M. Dadang Kurniwan</t>
  </si>
  <si>
    <t>Jum`at, 23 Mei 2025</t>
  </si>
  <si>
    <t>10.22 s/d 11.34 Wita</t>
  </si>
  <si>
    <t>Menindaklanjuti laporan warga perihal meminta bantuan evakuasi mobil yang terperosok beralamat Komp. Griya Sinar Baru RT. 26 RW. 06 Kel. Sungai Ulin Kec. Banjarbaru Utara. Mobil berhasil di evakuasi. Petugas mengerahkan 1 Unit Ops Damkar Truk Tangki Kajama 3500 Liter.</t>
  </si>
  <si>
    <t>Rizqia Risnawati No Telp. 083141113458</t>
  </si>
  <si>
    <t xml:space="preserve">8 orang/1 unit
1. Agus Budianto
2. Ade Susanto
3. Misladin
4. M. Yoppie Wirawan
5. Budi Adi
6. Muhammad Noor
7. Bambang Arry Arsono
8. M. Dadang Kurniwan, S.H.
</t>
  </si>
  <si>
    <t>05.20 s/d 06.30 Wita</t>
  </si>
  <si>
    <t>Sabtu, 24 Mei 2025</t>
  </si>
  <si>
    <t>Menindaklanjuti laporan warga perihal meminta bantuan evakuasi ular yang terlihat di dapur rumah pelapor beralamat Jl. Rp. Soeparto No. 33 RT. 04 RW. 05 Kel. Mentaos Kec. Banjarbaru Utara. Ular tidak berhasil ditemukan. Petugas mengerahkan 1 Unit Ops Damkar Truk Ton IV.</t>
  </si>
  <si>
    <t>Denny No Telp. 085780955926</t>
  </si>
  <si>
    <t>16.17 s/d 17.20 Wita</t>
  </si>
  <si>
    <t>Menindaklanjuti laporan warga perihal meminta bantuan evakuasi kucing yang terjepit di velg ban mobil bagian belakang beralamat Jl. Permata Komp. Balitan 8 No. 15 Blok B Kel. Loktabat Utara Kec. Banjarbaru Utara. Kucing berhasil di evakuasi. Petugas mengerahkan 1 Unit Ops Damkar Truk Tangki Kajama 4000 Liter.</t>
  </si>
  <si>
    <t>Susie Dyah No Telp. 08215704618</t>
  </si>
  <si>
    <t xml:space="preserve">8 orang/1 unit
1. Syafrullah, S.Sos, M.Si
2. Nur Hidayah, SE
3. Budi Adi
4. Muhammad Noor
5. Bambang Arry Arsono
6. Ranu Wibowo
7. Imam Kastalani
8. M. Fikri Nisfuadi
</t>
  </si>
  <si>
    <t>Minggu, 25 Mei 2025</t>
  </si>
  <si>
    <t>Rizqia No Telp. 088747941836</t>
  </si>
  <si>
    <t>Menindaklanjuti laporan warga perihal meminta bantuan evakuasi ular yang terlihat di dapur beralamat Komp. Pesona Bhayangkara RT. 03 RW. 05 Kel. Guntung Manggis Kec. Landasan Ulin. Ular tidak berhasil ditemukan. Petugas mengerahkan 1 Unit Ops Damkar Mobil Hilux Kajama Rescue.</t>
  </si>
  <si>
    <t>11.31 s/d 12.40 Wita</t>
  </si>
  <si>
    <t xml:space="preserve">Menindaklanjuti laporan warga perihal meminta bantuan evakuasi ular yang berada di dapur beralamat Komp. Kota Citra Graha (KCG) Kel. Landasan Ulin Barat Kec. Liang Anggang. Ular tidak dapat ditemukan. Petugas mengerahkan 1 Unit Ops Damkar Truk Tangki Kajama 3500 Liter. </t>
  </si>
  <si>
    <t>Afnandi No Telp. 085820416507</t>
  </si>
  <si>
    <t>Senin, 26 Mei 2025</t>
  </si>
  <si>
    <t>04.05 s/d 04.50 Wita</t>
  </si>
  <si>
    <t>Menindaklanjuti laporan warga perihal meminta bantuan evakuasi ular yang berada di dapur beralamat Jl. Dahlia Kel. Komet Kec. Banjarbaru Utara. Ular tidak berhasil ditemukan. Petugas mengerahakan 1 Unit Ops Damkar Truk Ton IV.</t>
  </si>
  <si>
    <t>Ryan No Telp. 095338734702</t>
  </si>
  <si>
    <t>18.53 s/d 19.33 Wita</t>
  </si>
  <si>
    <t>Menindaklanjuti laporan warga perihal meminta bantuan evakuasi ular beralamat Toko Fotocopy Beliau Jl. Guntung Manggis Kec. Landasan Ulin. Ular berhasil di evakuasi dan dilepasliarkan. Petugas mengerahkan 1 Unit Ops Damkar Truk Ton IV.</t>
  </si>
  <si>
    <t>Ulfah No Telp. 082252470798</t>
  </si>
  <si>
    <t xml:space="preserve">8 orang/1 unit
1. Nur Hidayah, SE
2. Agus Budianto
3. Ade Susanto
4. Misladin
5. M. Yoppie Wirawan
6. Budi Adi
7. Muhammad Noor
8. Bambang Arry Arsono
</t>
  </si>
  <si>
    <t>Selasa, 27 Mei 2025</t>
  </si>
  <si>
    <t>07.10 s/d 08.15 Wita</t>
  </si>
  <si>
    <t>Menindaklanjuti laporan warga perihal meminta bantuan evakuasi kucing yang berada dalam sumur beralamat Jl. Guntung Damar No. 08 RT. 12 RW. 03 Kel. Guntung Manggis Kec. Landasan Ulin. Kucing berhasil di evakuasi. Petugas mengerahkan 1 Unit Ops Damkar Truk Ton IV.</t>
  </si>
  <si>
    <t>Arlie No Telp. 083155774295</t>
  </si>
  <si>
    <t>22.15 s/d 22.45 Wita</t>
  </si>
  <si>
    <t>Yana Mulia No Telp. 085348265143</t>
  </si>
  <si>
    <t>Menindaklanjuti laporan warga perihal meminta bantuan evakuasi ular yang terlihat di dapur beralamat Jl. RP. Soeparto RT. 03 RW. 05 Kel. Mentaos Kec. Banjarbaru Utara. Ular berhasil di evakuasi dan dilepasliarkan. Petugas mengerahkan 1 Unit Op Damkar Mobil Hilux Kajama Rescue.</t>
  </si>
  <si>
    <t>8 orang/1 unit
1. Syafrullah, S.Sos, M.Si
2. Budi Adi
3. Muhammad Noor
4. Bambang Arry Arsono
5. Ranu Wibowo
6. Imam Kastalani
7. M. Fikri Nisfuadi, S.Kom
8. M. Dadang Kurniwan, S.H.</t>
  </si>
  <si>
    <t>Jum`at, 30 Mei 2025</t>
  </si>
  <si>
    <t>Menindaklanjuti laporan warga perihal meminta bantuan evakuasi ular yang berada di dalam sumur beralamat Jl. PM. Noor RT. 35 RW. 07 Kel. Sungai Ulin Kec. Banjarbaru Utara. Ular berhasil di evakuasi dan dilepasliarkan. Petugas mengerahkan 1 Unit Ops Damkar Truk Ton IV.</t>
  </si>
  <si>
    <t>Ratna Noor Astuti No Telp. 083841816503</t>
  </si>
  <si>
    <t>20.21 s/d 21.00 Wita</t>
  </si>
  <si>
    <t>Menindaklanjuti laporan warga perihal meminta bantuan evakuasi ular yang terlihat dalam sumur beralamat Jl. A. Yani Km. 21 Komp. Griya Utama Trikora 21 RT. 01 RW. 03 Blok D No. 23. Ular berhasil di evakuasi dan dilepasliarkan. Petugas mengerahkan 1 Unit Ops Damkar Mobil Hilux Kajama Rescue.</t>
  </si>
  <si>
    <t>Yana No Telp. 0853933393484</t>
  </si>
  <si>
    <t>8 orang/1 unit
1. Syafrullah, S.Sos, M.Si
2. Budi Adi
3. Muhammad Noor
4. Bambang Arry Arsono
5. Ranu Wibowo
6. Imam Kastalani
7. M. Fikri Nisfuadi
8. M. Dadang Kurniwan, S.H.</t>
  </si>
  <si>
    <t>Sabtu, 31 Mei 2025</t>
  </si>
  <si>
    <t>12.07 s/d 13.45 Wita</t>
  </si>
  <si>
    <t>Menindaklanjuti laporan warga perihal meminta bantuan evakuasi kunci mobil beserta STNK yang tercebur kedalam sumur resapan/ pembuangan beralamat Jl. A. Yani Km. 34 Depan Toko H. Enong Kel. Komet Kec. Banjarbaru Utara. Kunci mobil berhasil di evakuasi. Petugas mengerahkan 1 Unit Ops Damkar Mobil Hilux Kajama Rescue.</t>
  </si>
  <si>
    <t>Suryanto No Telp. 081251140612</t>
  </si>
  <si>
    <t>8 orang/1 unit
1. Ranu Wibowo
2. Imam Kastalani
3. M. Fikri Nisfuadi
4. Agus Budianto
5. Ade Susanto
6. Misladin
7. M. Yoppie Wirawan
8. M. Dadang Kurniwan, S.H.</t>
  </si>
  <si>
    <t>Minggu,  1 Juni 2025</t>
  </si>
  <si>
    <t>16.12 s/d 19.09 Wita</t>
  </si>
  <si>
    <t>Menindaklanjuti laporan warga perihal meminta bantuan evakuasi ular yang berada di dalam sumur beralamat Komp. Griya Pinus Lestari Blok E No. 5 RT. 19RW. 08 Kel. Loktabat Utara Kec. Banjarbaru Utara. Ular tidak berhasil ditemukan. Petugas mengerahkan 1 Unit Ops Damkar Mobil Hilux Kajama Rescue.</t>
  </si>
  <si>
    <t>Mama Akbar No Telp. 082254883491</t>
  </si>
  <si>
    <t>8 orang/1 unit
1. Syafrullah, S.Sos, M.Si
2. Nur Hidayah, SE
3. Agus Budianto
4. Ade Susanto
5. Misladin
6. M. Yoppie Wirawan
7. M. Dadang Kurniwan, S.H.</t>
  </si>
  <si>
    <t>Senin, 2 Juni 2025</t>
  </si>
  <si>
    <t>09.55 s/d 12.15 Wita</t>
  </si>
  <si>
    <t>Menindaklanjuti laporan warga perihal meminta bantuan evakuasi ular yang berada di dalam sumur depan rumah beralamat Komp. Griya Pinus Lestari Blok E No. 05 RT. 19 RW. 08 Kel. Loktabat Utara Kec. Banjarbaru Utara. Ular berhasil di evakuasi dan dilepasliarkan. Petugas mengerahkan 1 Unit Ops Damkar Truk Tangki Kajama 3500 Liter.</t>
  </si>
  <si>
    <t>8 orang/1 unit
1. Syafrullah, S.Sos, M.Si
2. Budi Adi
3. Muhammad Noor
4. Bambang Arry Arsono
5. Ranu Wibowo
6. Imam Kastalani
7. M. Fikri Nisfuadi
8. M. Yoppie Wirawan</t>
  </si>
  <si>
    <t>Selasa, 3 Juni 2025</t>
  </si>
  <si>
    <t>20.21 s/d 21.30 Wita</t>
  </si>
  <si>
    <t>Menindaklanjuti laporan warga perihal meminta bantuan evakuasi ular yang berada di belakang lemari garasi rumah beralamat Jl. Bumi Berkat V Komp. Villa Idaman I Kel. Sungai Besar Kec. Banjarbaru Selatan. Ular berhasil di evakuasi dan dilepasliarkan. Petugas mengerahkan 1 Unit Ops Damkar Truk Ton IV</t>
  </si>
  <si>
    <t>Fajar No Telp. 089691861024</t>
  </si>
  <si>
    <t>8 orang/1 unit
1. Syafrullah, S.Sos, M.Si
2. Ranu Wibowo
3. Imam Kastalani
4. M. Fikri Nisfuadi
5. Agus Budianto
6. Ade Susanto
7. Misladin
8. M. Yoppie Wirawan</t>
  </si>
  <si>
    <t>Rabu, 4 Juni 2025</t>
  </si>
  <si>
    <t>06.14 s/d 07.00 Wita</t>
  </si>
  <si>
    <t>Menindaklanjuti laporan warga perihal meminta bantuan evakuasi ular yang berada di kamar tidur beralamat Perum. Citra Guntung Paring RT. 19 RW. 03 Kel. Guntung Manggis Kec. Landasan Ulin. Ular berhasil di evakuasi dan dilepasliarkan. Petugas mengerahkan 1 Unit Ops Damkar Truk Ton IV.</t>
  </si>
  <si>
    <t>Iwan No Telp. 082153472824</t>
  </si>
  <si>
    <t>4 orang/1 unit
1. Ranu Wibowo
2. Imam Kastalani
3. M. Fikri Nisfuadi
4. M. Dadang Kurniwan, S.H.</t>
  </si>
  <si>
    <t>20.25 s/d 21.58 Wita</t>
  </si>
  <si>
    <t>Menindaklanjuti laporan warga perihal meminta bantuan evakuasi sarang lebah yang berada di pohon depam rumah beralamat Komp. Amaco Jl. Intan XI RT. 35 RW. 09 Kel. Loktabat Utara Kec. Banjarbaru Utara. Sarang lebah dapat dimusnahkan dengan cara dibakar. Petugas mengerahkan 1 Unit Ops Damkar Mobil Hilux Kajama Rescue.</t>
  </si>
  <si>
    <t>Bapak Udin Caun No Telp. 081221260610</t>
  </si>
  <si>
    <t>Kamis, 5 Juni 2025</t>
  </si>
  <si>
    <t>Menindaklanjuti laporan warga perihal meminta bantuan evakuasi ular di halaman workshop alat berat beralamat Jl. Purnawirawan RT. 1 RW. 1 Kel. Palam Kec. Cempaka. Ular berhasil di evakuasi dan dilepasliarkan. Petugas mengerahkan 1 Unit Ops Damkar Mobil Hilux Kajama Rescue.</t>
  </si>
  <si>
    <t>Dwi No Telp. 085947362959</t>
  </si>
  <si>
    <t>11.38 s/d 12.45 Wita</t>
  </si>
  <si>
    <t>Menindaklanjuti laporan warga perihal meminta bantuan evakuasi ular yang terlihat dibelakang rumah beralamat Jl. Mistar Cokrokusumo RT. 04 RW. 02 Kel. Cempaka Kec. Cempaka. Petugas menuju lokasi pelapor dan melakukan pencarian. Petugas tidak menemukan ular tersebut. Petugas mengerahkan 1 Unit Ops Damkar Mobil Hilux Kajama Rescue.</t>
  </si>
  <si>
    <t>Aripani No Telp. 083824339033</t>
  </si>
  <si>
    <t>Jum`at. 6 Juni 2025</t>
  </si>
  <si>
    <t>12.09 s/d 13.00 Wita</t>
  </si>
  <si>
    <t>Menindaklanjuti laporan warga perihal meminta bantuan evakuasi ular yang berada di pekarangan rumah beralamat Jl. Rambai Tengah II RT. 17 RW. 04 Kel. Kemuning Kec. Banjarbaru Selatan. Ular berhasil di evakuasi dan dilepasliarkan. Petugas mengerahkan 1 Unit Ops Damkar Truk Ton IV.</t>
  </si>
  <si>
    <t>Indit Sekar W No Telp. 085849339664</t>
  </si>
  <si>
    <t>Senin, 9 Juni 2025</t>
  </si>
  <si>
    <t>08.42 s/d 12.20 Wita</t>
  </si>
  <si>
    <t>Menindaklanjuti laporan  perihal meminta bantuan penyemprotan halaman Setdako Banjarbaru yang kotor karena darah hewan qurban beralamat Jl. Panglima Batur No. 1 Kantor Balai Kota Banjarbaru Kel. Mentaos Kec. Banjarbaru Utara. Petugas melakukan penyemprotan hingga halaman bersih. Petugas mengerahkan 1 Unit Ops Damkar Truk Tangki Kajama 3500 Liter.</t>
  </si>
  <si>
    <t>Ibu Ida No Telp. 085248749484</t>
  </si>
  <si>
    <t>Penyemprotan</t>
  </si>
  <si>
    <t>Selasa, 10 Juni 2025</t>
  </si>
  <si>
    <t>14.03 s/d 14.38 Wita</t>
  </si>
  <si>
    <t>Menindaklanjuti laporan warga perihal meminta bantuan evakuasi kucing di dalam sumur beralamat Komp. Griya Mandiri Utama Jl. Perambaian No. 42 RT. 35 RW. 07 Kel. Sungai Ulin Kec. Banjarbaru Utara. Kucing berhasil di evakuasi. petugas mengerahkan 1 Unit Ops Damkar Truk Ton IV.</t>
  </si>
  <si>
    <t>Lestia Putri No Telp. 082156642884</t>
  </si>
  <si>
    <t>Rabu, 11 Juni 2025</t>
  </si>
  <si>
    <t>Menindaklanjuti laporan warga perihal meminta bantuan evakuasi mobil yang mogok beralamat Jl. Jeruk Kel. Sungai Ulin Kec. Banjarbaru Utara. Mobil berhasil di evakuasi. Petugas mengerahkan 1 Unit Ops Damkar Truk Ton IV.</t>
  </si>
  <si>
    <t>Febri No Telp. 082254413789</t>
  </si>
  <si>
    <t>5 orang/1 unit
1. Agus Budianto
2. Ade Susanto
3. Misladin
4. M. Yoppie Wirwan
5. M. Dadang Kurniwan, S.H.</t>
  </si>
  <si>
    <t>14.06 s/d 14.30 Wita</t>
  </si>
  <si>
    <t>Menindaklanjuti laporan warga perihal meminta bantuan evakuasi ular yang terlihat di dapur beralamat Jl. R.O Ulin Komp. Radar Permai RT. 01 RW. 04 No. 11 Kel. Loktabat Selatan Kec. Banjarbaru Selatan. Ular berhasil di evakuasi dan di lepasliarkan. Petugas mengerahkan 1 Unit Ops Damkar Truk Ton IV.</t>
  </si>
  <si>
    <t>Wulanda No Telp. 081253831445</t>
  </si>
  <si>
    <t>Kamis, 12 Juni 2025</t>
  </si>
  <si>
    <t>09.53 s/d 10.10 Wita</t>
  </si>
  <si>
    <t>Menindaklanjuti laporan warga perihal meminta bantuan evakuasi pintu pagar yang terkunci beralamat Komp. Green Tasbih Regency Kel. Kemuning Kec. Banjarbaru Selatan. Pintu pagar berhasil di buka. Petugas mengerahkan 1 Unit Ops Damkar Mobil Hilux Kajama Rescue.</t>
  </si>
  <si>
    <t>Yeni No Telp. 081717339337</t>
  </si>
  <si>
    <t>8 orang/1 unit
1. Syafrullah. S.Sos, M.Si
2. Nur Hidayah, SE
3. Ranu Wibowo
4. Imam Kastalani
5. M. Fikri Nisfuadi
6. Budi Adi
7. Muhammad Noor
8. Bambang Arry Arsono</t>
  </si>
  <si>
    <t>Pintu Pagar</t>
  </si>
  <si>
    <t>Jum`at, 13 Juni 2025</t>
  </si>
  <si>
    <t>10.25 s/d 11.20 Wita</t>
  </si>
  <si>
    <t>Menindaklanjuti laporan warga perihal meminta bantuan evakuasi pintu rumah yang terkunci beralamat Jl. Batu Piring No. 48 RT. 04 RW. 04 Kel. Loktabat Selatan Kec. Banjarbaru Selatan. Pintu Rumah berhasil dibuka melalui jendela kamar. Petugas mengerahkan 1 Unit Ops Damkar Mobil Hilux Kajama Rescue.</t>
  </si>
  <si>
    <t>Astrid Pratiwi No Telp. 089673545706</t>
  </si>
  <si>
    <t>8 orang/1 unit
1. Nur Hidayah, SE
2. Agus Budianto
3. Ade Susanto
4. Misladin
5. M. Yoppie Wirawan
6. Ranu Wibowo
7. Imam Kastalani
8. M. Fikri Nisfuadi</t>
  </si>
  <si>
    <t>Sabtu, 14 Juni 2025</t>
  </si>
  <si>
    <t>Menindaklanjuti laporan warga perihal meminta bantuan evakuasi ular di dapur beralamat Jl. Gotong Royong No. 40 Kel. Syamsudin Noor Kec. Landasan Ulin. Ular berhasil di evakuasi dan dilepasliarkan. Petugas mengerahkan 1 Unit Ops Damkar Mobil Hilux Kajama Rescue.</t>
  </si>
  <si>
    <t>Puji No Telp. 085822512419</t>
  </si>
  <si>
    <t>15.55 s/d 16.45 Wita</t>
  </si>
  <si>
    <t>Menindaklanjuti laporan warga perihal meminta bantuan evakuasi monyet yang mengganggu karyawan di lokasi kerja beralamat Lab. Pengolahan Air Minum (PDAM) Jl. Mentaos Timur RT. 03 RW. 04 Kel. Mentaos Kec. Banjarbaru Utara. Ular tidak berhasil di evakuasi. Petugas mengerahkan 1 Unit Ops Damkar Mobil Hilux Kajama Rescue.</t>
  </si>
  <si>
    <t>Indra  No Telp. 085705824549</t>
  </si>
  <si>
    <t>Minggu, 15 Juni 2025</t>
  </si>
  <si>
    <t>08.40 s/d 09.50 Wita</t>
  </si>
  <si>
    <t>Menindaklanjuti laporan warga perihal meminta bantuan evakuasi ular yang berada di dapur rumah pelapor beralamat Jl. Tambak Langsat Komp. Pelangi Kasturi II RT. 13 RW. 03 Kel. Syamsudin Noor Kec. Landasan Ulin. Ular tidak berhasil ditemukan. Petugas mengerahkan 1 Unit Ops Damkar Mobil Hilux Kajama Rescue.</t>
  </si>
  <si>
    <t>Helda No Telp. 081253982239</t>
  </si>
  <si>
    <t>8 orang/1 unit
1. Ranu Wibowo
2. Imam Kastalani
3. M. Fikri Nisfuadi
4. Ade Susanto
5. Misladin
6. Budi Adi
7. Muhammad Noor
8. Bambang Arry Arsono</t>
  </si>
  <si>
    <t>Senin, 16 Juni 2025</t>
  </si>
  <si>
    <t>05.49 s/d 06.20 Wita</t>
  </si>
  <si>
    <t>Menindaklanjuti laporan warga perihal meminta bantuan evakuasi ular yang berada di dapur rumah pelapor beralamat Jl. Batas Kota RT. 02 RW. 05 Kel. Sungai Ulin Kec. Banjarbaru Utara. Ular tidak berhasil ditemukan. Petugas mengerahkan 1 Unit Ops Damkar Truk Ton III.</t>
  </si>
  <si>
    <t>Risna No Telp. 089693179469</t>
  </si>
  <si>
    <t>08.39 s/d 09.45 Wita</t>
  </si>
  <si>
    <t>Menindaklanjuti laporan warga perihal meminta bantuan evakuasi ular yang terlihat di dapur rumah pelapor beralamat Jl. Pondok Bambu Kel. Loktabat Utara Kec. Banjarbaru Utara. Petugas melakukan pencarian dan ular tidak dapat ditemukan. Petugas mengerahkan 1 Unit Ops Damkar Mobil Hilux Kajama Rescue.</t>
  </si>
  <si>
    <t>Aisyah No Telp. 083841863438</t>
  </si>
  <si>
    <t>Selasa, 17 Juni 2025</t>
  </si>
  <si>
    <t>05.36 s/d 06.20 Wita</t>
  </si>
  <si>
    <t>Menindaklanjuti laporan warga perihal meminta bantuan evakuasi ular yang berada di samping rumah pelapor beralamat Jl. Al- Jafrie Komp. Griya Indah II Blok. C No. 14 RT. 27 RW. 03 Kel. Kemuning Kec. Banjarbaru Selatan. Ular berhasil di evakuasi dan dilepasliarkan. Petugas mengerahkan 1 Unit Ops Damkar Mobil Hilux Kajama Rescue.</t>
  </si>
  <si>
    <t>Ayu No Telp. 08225631881</t>
  </si>
  <si>
    <t>12.45 s/d 13.10 Wita</t>
  </si>
  <si>
    <t>Menindaklanjuti laporan warga perihal meminta bantuan evakuasi ular yang berada di depan rumah beralamat Jl. Al-Jafrie Komp. Puri Al-Jafrie RT. 13 RW. 03 Kel. Kemuning Kec. Banjarbaru Selatan. Ular berhasil di evakuasi dan dilepasliarkan. Petugas mengerahkan 1 Unit Ops Damkar Mobil Hilux Kajama Rescue.</t>
  </si>
  <si>
    <t>Olga No Telp. 081374316293</t>
  </si>
  <si>
    <t>7 orang/1 unit
1. Nur Hidayah, SE
2. Budi Adi
3. Muhammad Noor
4. Bambang Arry Arsono
5. Ranu Wibowo
6. Imam Kastalani
7. M. Fikri Nisfuadi</t>
  </si>
  <si>
    <t>Rabu, 18 Juni 2025</t>
  </si>
  <si>
    <t>06.10 s/d 06.30 Wita</t>
  </si>
  <si>
    <t>Menindaklanjuti laporan warga perihal meminta bantuan evakuasi ular yang berada di dalam kamar toilet beralamat Jl. Kasturi 2 Komp. Kurnia Indah 3 Blok A1 No. 10 Kel. Syamsudin Noor Kec. Landasan Ulin. Ular berhasil di evakuasi dan dilepasliarkan. Petugas mengerahkan 1 Unit Ops Damkar Mobil Hilux Kajama Rescue.</t>
  </si>
  <si>
    <t>Yudi Rabbani No Telp. 082253471979</t>
  </si>
  <si>
    <t>22.30 s/d 23.35 Wita</t>
  </si>
  <si>
    <t>Menindaklanjuti laporan warga  perihal anak kecil terjepit di celah tembok siring sungai kemuning saat mencari ikan beralamat Jl. Mufakat No. 03 C RT. 03 RW. 03 Kel. Guntung Paikat Kec. Banjarbaru Selatan. Korban berhasil di evakuasi dengan selamat. Korban an. Rahman Umur 14 Tahun alamat Komp. Bumi Trikora. Petugas mengerahkan 1 Unit Ops Damkar Mobil Hilux Kajama Rescue.</t>
  </si>
  <si>
    <t>Call Center 112 Kota Banjarbaru</t>
  </si>
  <si>
    <t>Anak Terjepit</t>
  </si>
  <si>
    <t>8 orang/1 unit
1. Ranu Wibowo
2. Imam Kastalani
3. M. FikriNisfuadi
4. Agus Budianto
5. Ade Susanto
6. Misladin
7. M. Yoppie Wirawan
8. M. Dadang Kurniwan, S.H.</t>
  </si>
  <si>
    <t>Kamis, 19 Juni 2025</t>
  </si>
  <si>
    <t>02.02 s/d 02.30 Wita</t>
  </si>
  <si>
    <t>Menindaklanjuti laporan warga perihal meminta bantuan evakuasi ular yang berada di bawah meja ruang tamu beralamat Jl. Bumi Berkat V kel. Sungai Besar Kec. Banjarbaru Selatan. Ular berhasil di evakuasi dan di lepasliarkan. Petugas mengerahkan 1 Unit Ops Damkar Mobil Hilux Kajama Rescue.</t>
  </si>
  <si>
    <t>Fajar No Telp. 085245006042</t>
  </si>
  <si>
    <t>12.36 s/d 13.27 Wita</t>
  </si>
  <si>
    <t>Menindaklanjuti laporan warga perihal meminta bantuan evakuasi kucing mati di dalam drainase depan rumah beralamat Komp. Bamega III Jl. Imbransyah No. 05 RT. 07 RW. 02 Kel. Sungai Ulin Kec. Banjarbaru Utara. Kucing berhasil di evakuasi. Petugas mengerahkan 1 Unit Ops Damkar Truk Ton IV.</t>
  </si>
  <si>
    <t>Andreze No Telp. 082256810380</t>
  </si>
  <si>
    <t>Jum`at, 20 Juni 2025</t>
  </si>
  <si>
    <t>11.05 s/d 12.30 Wita</t>
  </si>
  <si>
    <t>Menindaklanjuti laporan warga perihal meminta bantuan ada suara anak kucing yang berada di atas plafon rumah beralamat Komp. Griya Mawar Asri RT. 07 RW. 04 Kel. Kemuning Kec. Banjarbaru Selatan. Kucing berhasil di evakuasi. Petugas mengerahkan 1 Unit Ops Damkar Truk Ton IV.</t>
  </si>
  <si>
    <t>Tya No Telp. 081233355588</t>
  </si>
  <si>
    <t>8 orang/1 unit
1. Nur Hidayah, SE
2. Budi Adi
3. Muhammad Noor
4. Bambang Arry Arsono
5. Agus Budianto
6. Misladin
7. M. Yoppie Wirawan
8. M. Dadang Kurniwan, S.H.</t>
  </si>
  <si>
    <t>Sabtu, 21 Juni 2025</t>
  </si>
  <si>
    <t>07.05 s/d 07.45 Wita</t>
  </si>
  <si>
    <t>Menindaklanjuti laporan warga perihal meminta bantuan evakuasi ular yang terlihat di selokan pembuangan air dari kamar mandi beralamat Komp. Pesona Gading Indah Jl. London RT. 03 RW. 02 No. B12 Kel. Sungai Besar Kec. Banjarbaru Selatan. Ular tidak berhasil di temukan. Petugas mengerahkan 1 Unit Ops Damkar Mobil Hilux Kajama Rescue.</t>
  </si>
  <si>
    <t>Mega Aisyah No Telp. 082251933491</t>
  </si>
  <si>
    <t>4 orang/1 unit
1. Budi Adi
2. Muhammad Noor
3. Bambang Arry Arsono
4. M. Dadang Kurniwan, S.H.</t>
  </si>
  <si>
    <t>13.56 s/d 14.12 Wita</t>
  </si>
  <si>
    <t>Menindaklanjuti laporan warga perihal meminta bantuan evakuasi ular yang berada di dapur rumah pelapor beralamat Komp. Pesona Gading Indah No B42 RT. 03 RW. 01 Kel. Sungai Besar Kec. Banjarbaru Selatan. Ular berhasil di evakuasi dan dilepasliarkan. Petugas mengerahkan 1 Unit Ops Damkar Mobil Hilux Kajama Rescue.</t>
  </si>
  <si>
    <t>Febry No Telp. 081317247273</t>
  </si>
  <si>
    <t>Minggu, 22 Juni 2025</t>
  </si>
  <si>
    <t>18.11 s/d 19.06 Wita</t>
  </si>
  <si>
    <t>Menindaklanjuti laporan warga perihal meminta bantuan evakuasi ular yang berada dirumah pelapor beralamat Jl. Pinus II No. 123/D11 Kel. Mentaos Kec. Banjarbaru Utara. Ular berhasil di evakuasi dan dilepasliarkan. Petugas mengerahkan 1 Unit Ops Damkar Mobil Hilux Kajama Rescue.</t>
  </si>
  <si>
    <t>Tsaqif Laksamana</t>
  </si>
  <si>
    <t>Senin, 23 Juni 2025</t>
  </si>
  <si>
    <t>12.51 s/d 13.45 Wita</t>
  </si>
  <si>
    <t>Menindaklanjuti laporan warga perihal meminta bantuan adanya suara di atas plafon rumah yang membuat takut beralamat Perum. Gunung Sari 2 Jl. Transmigrasi Gunung Kupang RT. 36 RW. 01 No. 07 Kel. Cempaka Kec. Cempaka. Petugas melakukan pengecekan di atas plafon dan tidak ditemukan apapun. Petugas mengerahkan 1 Unit Ops Damkar Mobil Hilux Kajama Rescue.</t>
  </si>
  <si>
    <t>Sofia No Telp. 081233141524</t>
  </si>
  <si>
    <t>Suara di plafon</t>
  </si>
  <si>
    <t>8 orang/1 unit
1. Budi Adi
2. Muhammad Noor
3. Bambang Arry Arsono
4. Agus Budianto
5. Ade Susanto
6. Misladin
7. M. Yoppie Wirawan
8. M. Dadang Kurniwan, S.H.</t>
  </si>
  <si>
    <t>Selasa, 24 Juni 2025</t>
  </si>
  <si>
    <t>10.53 s/d 11.40 Wita</t>
  </si>
  <si>
    <t>Menindaklanjuti laporan warga  perihal meminta bantuan evakuasi ular yang berada di rumah pelapor beralamat Jl. Gajebo Villa Idaman 2 RT. 49 RW. 01 Kel. Sungai Besar Kec. Banjarbaru Selatan. Ular tidak berhasil ditemukan, petugaspun memberikan edukasi terhadap pelapor dalam penanganan awal terhadap ular. Petugas mengerahkan 1 Unit Ops Damkar Mobil Hilux Kajama Rescue.</t>
  </si>
  <si>
    <t>8 orang/1 unit
1. Syafrullah, S.Sos, M.Si
2. Nur Hidayah, SE
3. Ranu Wibowo
4. Imam Kastalani
5. M. Fikri Nisfuadi
6. Budi Adi
7. Muhammad Noor
8. Bambang Arry Arsono</t>
  </si>
  <si>
    <t>Rabu, 25 Juni 2025</t>
  </si>
  <si>
    <t>17.30 s/d 18.31 Wita</t>
  </si>
  <si>
    <t>Menindaklanjuti laporan warga perihal meminta bantuan evakuasi mobil yang ambalas berfalamat Jl. Tambak Tarap RT. 40 RW. 06 Kel. Syamsudin Noor Kec. Landasan Ulin. Mobil berhasil di evakuasi. Petugas mengerahkan 1 Unit Ops Damkar Mobil Hilux Kajama Rescue.</t>
  </si>
  <si>
    <t>Umi Pertiwi No Telp. 082159295748</t>
  </si>
  <si>
    <t>8 orang/1 unit
1. Syafrullah, S.Sos, M.Si
2. Agus Budianto
3. Ade Susanto
4. Misladin
5. M. Yoppie Wirawan
6. Ranu Wibowo
7. Imam Kastalani
8. M. Fikri Nisfuadi</t>
  </si>
  <si>
    <t>Kamis, 26 Juni 2025</t>
  </si>
  <si>
    <t>10.44 s/d 11.30 Wita</t>
  </si>
  <si>
    <t>Menindaklanjuti laporan warga perihal meminta bantuan evakuasi orang berprofesi sebagai tukang bangunan yang pingsan di atas atap pada saat kerja beralamat Komp. Galuh Marindu 2 Blok G No. 22 RT. 33 RW. 27 Kel. Sungai Besar Kec. Banjarbaru Selatan. Petugas Damkar Kota Banjarbaru bersama Damkar Prov Kalsel berhasil mengevakuasi orang tersebut dan langsung di bawa ke rumah sakit menggunakan ambulance Puskesmas Sungai Besar. Petugas mengerahkan 1 Unit Ops Damkar Mobil Hilux Kajama Rescue.</t>
  </si>
  <si>
    <t>Azmi  No telp. 082352416581</t>
  </si>
  <si>
    <t>Orang Pingsan</t>
  </si>
  <si>
    <t>8 orang/1 unit
1. Nur Hidayah, SE
2. Budi Adi
3. Muhammad Noor
4. Bambang Arry Arsono
5. Agus Budianto
6. Ade Susanto
7. Misladin
8. M. Yoppie Wirawan</t>
  </si>
  <si>
    <t>Jum`at, 27 Juni 2025</t>
  </si>
  <si>
    <t>08.25 s/d 08.50 Wita</t>
  </si>
  <si>
    <t>Menindaklanjuti laporan warga perihal meminta bantuan mobil yang mogok beralamat Jl. A. Yani Parkiran Q Mall Banjarbaru Kel. Sungai Ulin Kec. Banjarbaru Utara. Mobil berhasil hidup kembali dengan cara aki di jumper. Petugas mengerahkan 1 Unit Ops Damkar Truk Ton III.</t>
  </si>
  <si>
    <t>Dadang No Telp. 082258885743</t>
  </si>
  <si>
    <t>Minggu, 29 Juni 2025</t>
  </si>
  <si>
    <t>14.46 s/d 15.45 Wita</t>
  </si>
  <si>
    <t>Menindaklanjuti laporan warga  perihal meminta bantuan evakuasi kucing yang melahirkan dalam mesin mobil beralamat Jl. SMA 3 RT. 039 RW. 011 Kel. Cempaka Kec. Cempaka. Kucing berhasil di evakuasi. Petugas menegerahkan 1 Unit Ops Damkar Truk Tangki Kajama 3500 Liter</t>
  </si>
  <si>
    <t>Ainun No Telp. 082154786654</t>
  </si>
  <si>
    <t>8 orang/1 unit
1. Budi Adi
2. Muhammad Noor
3. Bambang Arry Arsono
4. Ranu Wibowo
5. Imam Kastalani
6. M. Fikri Nisfuadi
7. Agus Budianto
8. M. Yoppie Wirawan</t>
  </si>
  <si>
    <t>Selasa, 1 Juli 2025</t>
  </si>
  <si>
    <t>12.16 s/d 14.06 Wita</t>
  </si>
  <si>
    <t>Menindaklanjuti laporan warga perihal meminta bantuan evakuasi hewan biawak yang berada di dalam sumur beralamat Jl. Karang Anyar 1 Gang Karang Nusa RT. 20 RW. 11 Kel. Loktabat Utara Kec. Banjarbaru Utara. Biawak berhasil di evakuasi dan dilpesliarkan. Petugas mengerahkan 1 Unit Ops Damkar Truk Ton IV.</t>
  </si>
  <si>
    <t>Midah No Telp. 083841672310</t>
  </si>
  <si>
    <t>Rabu, 2 Juli 2025</t>
  </si>
  <si>
    <t>10.43 s/d 14.30 Wita</t>
  </si>
  <si>
    <t>Menindaklanjuti laporan warga  Usia : 34 Tahun Jenis Kelamin : Laki-Laki Pendidikan Terakhir : SMP Pekerjaan : Wiraswasta No Telp. 081333350180 perihal evakuasi ular yang berada di dalam rumah beralamat Jl. Sungai Sumba RT. 10 RW. 01 No. 23 Kel. Guntung Manggis Kec. Landasan Ulin. Ular berhasil di evakuasi dan dilepasliarkan. Petugas mengerahkan 1 Unit Ops Damkar Truk Tangki Kajama 4000 Liter.</t>
  </si>
  <si>
    <t>Dimas Guruh Prasetyo</t>
  </si>
  <si>
    <t>8 orang/1 unit
1. Syafrullah, S.Sos, M.Si
2. Nur Hidayah, SE
3. Budi Adi
4. Muhammad Noor
5. Bambanf Arry Arsono
6. Imam Kastalani
7. M. Fikri Nisfuadi
8. M. Dadang Kurniwan, S.H</t>
  </si>
  <si>
    <t>Kamis, 3 Juli 2025</t>
  </si>
  <si>
    <t>Menindaklanjuti laporan warga Umur : 43 Tahun Jenis Kelamin : Perempuan Pendidikan terakhir: S2 Pekerjaan : Wiraswasta  perihal meminta bantuan evakuasi pagar rumah dan pintu ruang tamu yang terkunci beralamat Jl. Pondok Bambu RT. 19 No. 01 Kel. Loktabat Utara Kec. Banjarbaru Utara. Pagar dan pintu berhasil di buka oleh petugas. Petugas mengerahkan 1 Unit Ops Damkar Mobil Hilux Kajama Rescue.</t>
  </si>
  <si>
    <t xml:space="preserve">Putri No Telp. 08115139690 </t>
  </si>
  <si>
    <t>pagar dan pintu rumah</t>
  </si>
  <si>
    <t>20.43 s/d 21.30 Wita</t>
  </si>
  <si>
    <t>Menindaklanjuti laporan warga  Usia : 42 Tahun Jenis Kelamin : Laki-Laki Pendidikan Terakhir S1 Pekerjaan : PPPK Guru  perihal meminta bantuan evakuasi ular di gelagar dapur beralamat Jl. Akhlak Mulia RT. 37 RW. 05 Kel. Guntung Manggis Kec. Landasan Ulin. Ular berhasil di evakuasi dan dilepasliarkan. Petugas mengerahkan 1 Unit Ops Damkar Mobil Hilux Kajama Rescue.</t>
  </si>
  <si>
    <t>Iswahyudi No Telp. 089691084816</t>
  </si>
  <si>
    <t>8 orang/1 unit
1. Syafrullah, S.Sos
2. Ranu Wibowo
3. Imam Kastalani
4. M. Fikri Nisfuadi
5. Agus Budianto
6. Ade Susanto
7. Misladin
8. M. Yoppie Wirawan</t>
  </si>
  <si>
    <t>Jum`at, 4 Juli 2025</t>
  </si>
  <si>
    <t>06.50 s/d 07.45 Wita</t>
  </si>
  <si>
    <t>Menindaklanjuti laporan warga Usia : 40 Tahun Jenis Kelamin : Laki-Laki Pendidikan Terakhir : SMA Pekerjaan : Wiraswasta perihal meminta bantuan evakuasi ular yang berada di pekarangan rumah beralamat Jl. Taman Gembira Barat Kel. Guntung Paikat Kec. Banjarbaru Selatan. Ular tidak berhasil ditemukan. Petugas mengerahkan 1 Unit Ops Damkar Mobil Hilux Kajama Rescue.</t>
  </si>
  <si>
    <t>Amar</t>
  </si>
  <si>
    <t>08.19 s/d 09.00 Wita</t>
  </si>
  <si>
    <t>Menindaklanjuti laporan warga  perihal meminta bantuan evakuasi musang dirumah pelapor beralamat Jl. Kenanga RT. 04 RW. 03 Kel. Komet Kec. Banjarbaru Utara. Musang berhasil di evakuasi dan dilepasliarkan. Petugas mengerahkan 1 Unit Ops Damkar Mobil Hilux Kajama Rescue.</t>
  </si>
  <si>
    <t>Bapak Aliansyah No Telp. 08125018464</t>
  </si>
  <si>
    <t>8 orang/1 unit
1. Nur Hidayah, SE
2. Agus Budianto
3. Ade Susanto
4. Misladin
5. M. Yoppie Wirwan
6. Budi Adi
7. Muhammad Noor
8. Bambang Arry Arsono</t>
  </si>
  <si>
    <t>Sabtu, 5 Juli 2025</t>
  </si>
  <si>
    <t>09.31 s/d 10.45 Wita</t>
  </si>
  <si>
    <t>Menindaklanjuti laporan warga Usia : 27 Tahun Jenis Kelamin : Perempuan Pendidikan Terakhir : S1 Pekerjaan : Ibu Rumah Tangga perihal meminta bantuan evakuasi sarang lebah di depan rumah pelapor beralamat Jl. H. Mistarcokrokusumo Komp. Pesona Cempaka Indah Blok G27 RT. 29 RW. 02 Kel. Cempaka Kec. Cempaka. Sarang lebah berhasil di evakuasi dengan cara dibakar. Petugas mengerahkan 1 Unit Ops Damkar Truk Tangki Kajama 3500 Liter.</t>
  </si>
  <si>
    <t>Norlia Rahma No Telp. 085933792999</t>
  </si>
  <si>
    <t>6 orang/1 unit
1. Syafrullah, S.Sos, M.Si
2. Nur Hidayah, SE
3. Budi Adi
4. Muhammad Noor
5. Bambang Arry Arsono
6. M. Dadang Kurniwan, S.H.</t>
  </si>
  <si>
    <t>Minggu, 6 Juli 2025</t>
  </si>
  <si>
    <t>06.45 s/d 08.00 Wita</t>
  </si>
  <si>
    <t>Menindaklanjuti laporan warga  Umur : 50 Tahun Pendidikan Terakhir : SMA Pekerjaan : Ibu Rumah Tangga perihal meminta bantuan evakuasi ular dikamar mandi beralamat Jl. Kasturi 2 Komp. Perumahan Sumber Cahaya Indah No. F5 RT. 38 No. 06 Kel. Syamsudin Noor Kec. Landasan Ulin. Ular tidak berhasil ditemukan. Petugas mengerahkan 1 Unit Ops Damkar Mobil Hilux Kajama Rescue.</t>
  </si>
  <si>
    <t>Rosidah No Telp. 082177412238</t>
  </si>
  <si>
    <t>14.58 s/d 15.40 Wita</t>
  </si>
  <si>
    <t>Menindaklanjuti laporan warga  Usia : 18 Tahun Pendidikan Terakhir : SMA Pekerjaan : Wirausaha perihal meminta bantuan evakuasi kucing yang berada di pipa pembuangan rumah beralamat Jl. Gotong Royong RT. 11 RW. 03 Kel. Syamsudin Noor Kec. Landasan Ulin. Kucing berhasil di evakuasi. Petugas mengerahkan 1 Unit Ops Damkar Truk Ton III.</t>
  </si>
  <si>
    <t>Inas No Telp. 083171497361</t>
  </si>
  <si>
    <t>Senin, 7 Juli 2025</t>
  </si>
  <si>
    <t>06.48 s/d 07.50 Wita</t>
  </si>
  <si>
    <t>Menindaklanjuti laporan warga Usia : 42 Tahun Pendidikan Terakhir :S1 Pekerjaan : Wirausaha  perihal meminta bantuan evakuasi ular yang berada di dalam kandang ayam beralamat Jl. Mentaos Timur (seberang PDAM Pinus) Kel. Mentaos Kec. Banjarbaru Utara. Ular berhasil di evakuasi dan dilepasliarkan. Petugas mengerahkan 1 Unit Ops Damkar Truk Ton III.</t>
  </si>
  <si>
    <t>Ferdi Marais No Telp. 081351873756</t>
  </si>
  <si>
    <t>10.59 s/d 11.30 Wita</t>
  </si>
  <si>
    <t>Menindaklanjuti laporan warga  perihal meminta bantuan evakuasi ular di dalam kamar beralamat Jl. Cempaka Baru No. 07 RT. 03 Kel. Cempaka Kec. Cempaka. Ular berhasil di evakuasi dan dilepasliarkan. Petugas mengerahkan 1 Unit Ops Damkar Mobil Hilux Kajama Rescue.</t>
  </si>
  <si>
    <t>Zenitha Sarah Reiska Aidil No Telp. 081213452853</t>
  </si>
  <si>
    <t>Selasa, 8 Juli 2025</t>
  </si>
  <si>
    <t>05.40 s/d 07.40 Wita</t>
  </si>
  <si>
    <t>Menindaklanjuti laporan warga  Umur : 35 Tahun Pekerjaan : Swasta  perihal meminta bantuan evakuasi ular yang berada di dapur beralamat Komp. Pesona Harmoni No. 6 D RT. 13 RW. 09 Kel. Guntung Manggis Kec. Landasan Ulin. Ular berhasil di evakuasi dan dilepasliarkan. Petugas mengerahkan 1 Unit Ops Damkar Mobil Hilux Kajama Rescue.</t>
  </si>
  <si>
    <t>Jali No Telp. 082249086149</t>
  </si>
  <si>
    <t>13.15 s/d 14.00 Wita</t>
  </si>
  <si>
    <t>Menindaklanjuti laporan warga  Usia : 37 Tahun Jenisa Kelamin : Perempuan Pendidikan Terakhir : SMA Pekerjaan : Ibu Rumah Tangga  perihal meminta bantuan evakuasi ular yang terlihat dibelakang rumah beralamat Jl. Caraka Jaya Gg. Family RT. 02 RW. 01 Kel. Landasan Ulin Utara Kec. Liang Anggang. Ular tidak berhasil ditemukan. Petugas mengerahkan 1 Unit Ops Damkar Mobil hilux Kajama Rescue.</t>
  </si>
  <si>
    <t>Ernawati No Telp. 081254699224</t>
  </si>
  <si>
    <t>8 orang/1 unit
1. Syafrullah, S.Sos, M.Si
2. Nur Hidayah, SE
3. Budi Adi
4. Muhammad Norr
5. Bambang Arry Arsono
6. Ranu Wibowo
7. M. Fikri Nisfuadi
8. M. Dadang Kurniwan, S.H.</t>
  </si>
  <si>
    <t>Rabu, 9 Juli 2025</t>
  </si>
  <si>
    <t>06.26 s/d 07.15 Wita</t>
  </si>
  <si>
    <t>Menindaklanjuti laporan warga  Usia : 40 Tahun Jenis Kelamin : Perempuan Pendidikan Terakhir SMP Pekerjaan : Ibu Rumah Tangga. Perihal meminta bantuan evakuasi kucing yang masuk ke dalam sumur beralamat Komp. Cempaka Sari Blok C1 No. 01 RT. 44 RW. 11 Kel. Cempaka Kec. Cempaka. Kucing berhasil di evakuasi. Petugas mengerahkan 1 Unit Ops Damkar Mobil Hilux Kajama Rescue.</t>
  </si>
  <si>
    <t>Nani Handayani No Telp. 0895327111899</t>
  </si>
  <si>
    <t>22.34 s/d 23.36 Wita</t>
  </si>
  <si>
    <t>Menindaklanjuti laporan warga Usia : 40 Tahun Pendidikan : SMA Pekerjaan : Wirausaha perihal meminta bantuan evakuasi mobil yang mogok dan kempes beralamat Jl. Mistar Cokrokusumo (halaman indomart) Kel. Cempaka Kec. Cempaka. Mobil berhasil di evakuasi dan jalan kembali. Petugas mengerahkan 1 Unit Ops Damkar Mobil Hilux Kajama Rescue.</t>
  </si>
  <si>
    <t xml:space="preserve">Ricky No Telp. 082350154445 </t>
  </si>
  <si>
    <t xml:space="preserve"> 8 orang/1 unit
1. Syafrullah, S.Sos, M.Si
2. Nur Hidayah, SE
3. Ranu Wibowo
4. Imam Kastalani
5. M. Fikri Nisfuadi
6. Agus Budianto
7. Ade Susanto
8. M. Dadang Kurniwan, S.H.</t>
  </si>
  <si>
    <t>Kamis, 10 Juli 2025</t>
  </si>
  <si>
    <t>07.05 s/d 07.40 Wita</t>
  </si>
  <si>
    <t>Menindaklanjuti laporan warga Usia : 16 Tahun Jenis Kelamin : Perempuan Pendididan Terakhir : SMA Pekerjaan : Pelajar  perihal meminta bantuan evakuasi pintu yang terkunci beralamat Jl. Pandu Kel. Guntung Paikat Kec. Banjarbaru Selatan. Evakuasi berhasil dan pintu dapat dibuka kembali. Petugas mengerahkan 1 Unit Ops Damkar Mobil Hilux Kajama Rescue.</t>
  </si>
  <si>
    <t xml:space="preserve"> Safa No Telp. 087874114188</t>
  </si>
  <si>
    <t>20.41 s/d 21.31 Wita</t>
  </si>
  <si>
    <t>Menindaklanjuti laporan warga Usia : 39 Tahun Jenis Kelamin : Laki-Laki Pendidikan Terakhir : S1 Pekerjaan : PNS  perihal meminta bantuan evakuasi sarang tawon beralamat Jl. Agatis No. 17 RT. 11 RW. 03 Kel. Kemuning Kec. Banjarbaru Selatan. Sarang tawon berhasil dimusnahkan dengan cara dibakar. Petugas mengerahkan 1 Unit Ops Damkar Truk Ton IV.</t>
  </si>
  <si>
    <t>M. Rasyid Ridha No Telp : 085251160506</t>
  </si>
  <si>
    <t>Tawon</t>
  </si>
  <si>
    <t>Jum`at, 11 Juli 2025</t>
  </si>
  <si>
    <t>05.51 s/d 06.58 Wita</t>
  </si>
  <si>
    <t>Menindaklanjuti laporan warga Usia : 31 Tahun Jenis Kelamin : Laki-Laki Pendidikan Terakhir : S1 Pekerjaan : Wirausaha  perihal meminta bantuan evakuasi ular yang berada di rumah warga beralamat Jl. Kasturi 2 Komp. CGR 2 Blok A11 RT. 26 RW. 06 Kel. Syamsudin Noor Kec. Landasan ulin. Ular berhasil di evakuasi dan dilepasliarkan. Petugas mengerahkan 1 Unit Ops Damkar Mobil Hilux Kajama Rescue.</t>
  </si>
  <si>
    <t>Candra Wisnu Aji No Telp : 082155411114</t>
  </si>
  <si>
    <t>19.57 s/d 20.30 Wita</t>
  </si>
  <si>
    <t>Menindaklanjuti laporan warga Usia : 31 Tahun Jenis Kelamin : Perempuan Pendidikan Terakhir : SMK Pekerjaan : Ibu Rumah Tangga  perihal meminta bantuan evakuasi mobil terperosok ke dalam drainase beralamat Jl. Kebun Karet RT. 17 RW. 07 Kel. Loktabat Utara Kec. Banjarbaru Utara. Mobil berhasil di evakuasi. Petugas mengerahkan 1 Unit Ops Damkar Mobil Hilux Kajama Rescue.</t>
  </si>
  <si>
    <t>Noor Okta No Telp : 085648785804</t>
  </si>
  <si>
    <t>Sabtu, 12 Juli 2025</t>
  </si>
  <si>
    <t>01.11 s/d 01.30 Wita</t>
  </si>
  <si>
    <t>Menindaklanjuti laporan warga h Usia : 20 Tahun Jenis Kelamin Perempuan Pendidikan Terakhir SMA Pekerjaan : Wiraswasta. Perihal meminta bantuan evakuasi korban yang kakinya terjepit di lubang drainase beralamat Jl. A. Yani Km. 35 (seberang Polres Banjarbaru) Kel. Komet Kec. Banjarabaru Utara. Petugas berhasil mengevakuasi korban. Petugas mengerahkan 1 Unit Ops Damkar Mobil Hilux Kajama Rescue.</t>
  </si>
  <si>
    <t>Rifka Hasana No Telp. 082154250225</t>
  </si>
  <si>
    <t>Orang Terjepit</t>
  </si>
  <si>
    <t>12.25 s/d 13.20 Wita</t>
  </si>
  <si>
    <t>Menindaklanjuti laporan warga  Usia : 56 : Tahun Jenis Kelamin : Perempuan Pendidikan terakhir : SMA Pekerjaan : Ibu Rumah Tangga  perihal meminta bantuan evakuasi ular yang berada di dalam pipa pembuangan air dapur beralamat Jl. Dahlina Raya No. 20 RT. 22 Kel. Sungai Besar Kec. Banjarbaru Selatan. Ullar tidak berhasil ditemukan. Petugas mengerahkan 1 Unit Ops Damkar Truk Ton III.</t>
  </si>
  <si>
    <t>Ita No Telp : 081350076767</t>
  </si>
  <si>
    <t>6 orang/1 unit
1. Syafrullah, S.Sos, M.Si
2. Nur Hidayah, SE
3. Ranu Wibowo
4. Imam Kastalani
5. M. Fikri Nisfuadi
6. M. Dadang Kurniwan, S.H.</t>
  </si>
  <si>
    <t>Minggu, 13 Juli 2025</t>
  </si>
  <si>
    <t>Menindaklanjuti laporan warga Usia : 26 Tahun Jenis Kelamin : Laki-Laki Pendidikan Terakhir : SMA Pekerjaan : Karyawan Swasta. Perihal meminta bantuan evakuasi mobil yang terperosok dan mogok beralamat  Komp. Benawa Raya RT. 46 RW. 03 Kel. Guntung Manggis Kec. Landasan Ulin. Mobil berhasil di evakuasi. Petugas mengerahkan 1 Unit Ops Damkar Truk Ton III</t>
  </si>
  <si>
    <t xml:space="preserve">Rizky </t>
  </si>
  <si>
    <t>22.05 s/d 22.58 Wita</t>
  </si>
  <si>
    <t>Menindaklanjuti laporan warga  Usia : 29 Tahun Pendidikan Terakhir : S1  perihal meminta bantuan evakuasi ular dalam rumah beliau beralamat Komp. Beringin Gg. Rambai No. 05 Kel. Sungai Besar Kec. Banjarbaru Selatan. Ular berhasil di evakuasi dan dilepasliarkan. Petugas mengerahkan 1 Unit Ops Damkar Truk Ton III.</t>
  </si>
  <si>
    <t>Muhammad Helmi No Telp : 085390914699</t>
  </si>
  <si>
    <t xml:space="preserve">8 orang/1 unit
1. Agus Budianto
2. Ade Susanto
3. Misladin
4. M. Yoppie Wirawan
5. Budi
6. Muhammad Noor
7. Bambang Arry Arsono
8. M. Dadang Kurniwan, S.H.
</t>
  </si>
  <si>
    <t>Senin, 14 Juli 2025</t>
  </si>
  <si>
    <t>Menindaklanjuti laporan warga Usia : 35 Tahun Jenis Kelamin : Laki-Laki Pendidikan Terakhir : S1 Pekerjaan : Wirausaha perihal meminta bantuan evakuasi ular yang berada di dalam sumur beralamat Komp. Griya Manggis 2 Wira Agung Trikora No. 9 Kel. Landasan Ulin Tengah Kec. Liang Anggang. Ular berhasil di evakuasi dan dilepasliarkan. Petugas mengerahkan 1 Unit Ops Damkar Truk Ton III.</t>
  </si>
  <si>
    <t>Eko No Tep : 081254000201</t>
  </si>
  <si>
    <t>21.40 s/d 23.00 Wita</t>
  </si>
  <si>
    <t>Menindaklanjuti laporan warga Usia : 27 Tahun Jenis Kelamin : Laki-Laki Pendidikan Terakhir : SMA Pekerjaan : Anggota Polri perihal meminta bantuan evakuasi sarang tawon ndas beralamat Komp. Asrama Brimob Jl. A. Yani Km. 31 RT. 01 Kel. Guntung Payung Kec. Landasan Ulin. Sarang tawon berhasil dimusnahkan dengan cara dibakar. Petugas mengerahkan 1 Unit Ops Damkar Truk Tangki Kajama 4000 Liter.</t>
  </si>
  <si>
    <t>M. Ryan No Telp : 082148087909</t>
  </si>
  <si>
    <t>Selasa, 15 Juli 2025</t>
  </si>
  <si>
    <t>07.05 s/d 07.55 Wita</t>
  </si>
  <si>
    <t xml:space="preserve">Menindaklanjuti laporah warga  Usia : 32 Tahun Jenis Kelamin : Laki-Laki Pendidikan Terakhir : SMK Pekerjaan : Wiraswasta perihal meminta bantuan evakuasi ular yang berada di dapur beralamat Jl. Trikora Komp Halim RT. 05 RW. 05 Kel. Guntung Paikat Kec. Banjarbaru Selatan. Ular berhasil di evakuasi dan dilepasliarkan. Petugas mengerahkan 1 Unit Ops Damkar Truk Ton III. </t>
  </si>
  <si>
    <t>Muhammad Ridha No Telp : 087797112393</t>
  </si>
  <si>
    <t>18.24 s/d 19.30 Wita</t>
  </si>
  <si>
    <t>Menindaklanjuti laporan warga Usia : 37 Tahun Jenis Kelamin : Laki-Laki pendidikan Terakhir : SMA Pekerjaan : Karyawan Swasta perihal meminta bantuan evakuasi ular yang terlihat dibawah mesin cuci beralamat Jl. Sukamara RT. 06 RW. 02 Kel. Landasan Ulin Utara Kec. Kec. Liang Anggang. Ular tidak berhasil ditemukan. Petugas mengerahkan 1 Unit Ops Damkar Truk Ton III.</t>
  </si>
  <si>
    <t>Gusti Ade No Telp : 0822020732659</t>
  </si>
  <si>
    <t>8 orang/1 unit
1. Syafrullah, S.Sos, M.Si
2. Nur Hidayah, SE
3. Ranu Wibowo
4. Imam Kastalani
5. M. Fikri Nisfuadi
6. Misladin
7. M. Yoppie Wirawan
8. M. Dadang Kurniwan, S.H.</t>
  </si>
  <si>
    <t>Rabu, 16 Juli 2025</t>
  </si>
  <si>
    <t>00.15 s/d 01.35 Wita</t>
  </si>
  <si>
    <t>Menindaklanjuti laporan warga  Jenis Kelamin : Laki-Laki Umur : 26 Tahun Pendidikan Terakhir : S1 Pekerjaan : Swasta  perihal meminta bantuan evakuasi pintu rolling door yang macet tidak bisa ditutup beralamat Jl. Trikora (Seberang Kantor Dinas Lingkungan Hidup Kota Banjarbaru) Kel. Loktabat Selatan Kec. Banjarbaru Selatan. Pintu rolling door berhasil diperbaiki dan ditutup kembali. Petugas mengerahkan 1 Unit Ops Damkar Truk Ton III.</t>
  </si>
  <si>
    <t>Zain No Telp. 082327977042</t>
  </si>
  <si>
    <t>Pintu Rolling Door</t>
  </si>
  <si>
    <t>20.15 s/d 21.20 Wita</t>
  </si>
  <si>
    <t>Menindaklanjuti laporan warga  Jenis Kelamin : Laki-Laki Pekerjaan : Swasta Pendidikan Terakhir : SMA  perihal meminta bantuan evakuasi sarang lebah yang berada di atas plafon rumah wargaberalamat Komp. Berlina Jaya III No. H12  RT. 17 RW. 11 Kel. Guntung Manggis Kec. Landasan Ulin. Sarang lebah berhasil dimusnahkan. Petugas mengerahkan 1 Unit Ops Damkar Mobil Hilux Kajama Rescue.</t>
  </si>
  <si>
    <t>Ikhsan No Telp. 081346581370</t>
  </si>
  <si>
    <t>Kamis, 17 Juli 2025</t>
  </si>
  <si>
    <t>Menindaklanjuti laporan warga Umur : 47 Tahun Pekerjaan : Wirausaha Pendidikan Terakhir : S1  perihal meminta bantuan evakuasi ular yang berada di dalam rumah beralamat Komp. Pesona Gading Indah 8 No. 41 RT. 03 RW. 01 Kel. Sungai Besar Kec. Banjarbaru Selatan. Ular berhasil di evakuasi dan dilepasliarkan. Petugas mengerahkan 1 Unit Ops Damkar Truk Ton III.</t>
  </si>
  <si>
    <t>Dedy Heryadi No Telp. 08125111911</t>
  </si>
  <si>
    <t>09.27 s/d 10.30 Wita</t>
  </si>
  <si>
    <t>Menindaklanjuti laporan warga  Umur : 54 Tahun Jenis Kelamin : Laki-Laki Pendidikan Terakhir : SMA  beralamat Jl. Karang Rejo Komp. Citra Palam Permai RT. 43 RW. 06 No. 02 Kec. Guntung Manggis Kec. Landasan Ulin. perihal meminta bantuan evakuasi monyet liar yang meresahkan warga disekitar. Monyet liar berhasil dilumpuhkan. Petugas mengerahkan 1 Unit Ops Damkat Truk Ton III.</t>
  </si>
  <si>
    <t>Mahyuni No Telp. 0812932554609</t>
  </si>
  <si>
    <t>Jum`at, 18 Juli 2025</t>
  </si>
  <si>
    <t>10.46 s/d 12.10 Wita</t>
  </si>
  <si>
    <t>Menindaklanjuti laporan warga Setiani Umur : 30 Tahun Perkerjaan : Ibu Rumah Tangga Pendidikan Terakhir : S1  perihal meminta bantuan evakuasi ular yang berada dibelakang pintu garasi beralamat Jl. Karya Manuntung RT. 01 RW. 01 Kel. Landasan Ulin Barat Kec. Liang Anggang. Ular berhasil di evakuasi dan dilepasliarkan. Petugas mengerahkan 1 Unit Ops Damkar Mobil Hilux Kajama Rescue.</t>
  </si>
  <si>
    <t>Ratna No Telp. 081348603813</t>
  </si>
  <si>
    <t>Sabtu, 19 Juli 2025</t>
  </si>
  <si>
    <t>Menindaklanjuti laporan warga  Umur : 23 Tahun Pendidikan Terakhir : D3 Pekerjaan : Karyawan PLN perihal meminta bantuan evakuasi musang yang masuk dalam bak mandi beralamat Jl. Karang Anyar I Komp. Balitan III No. 96 RT. 40 RW. 11 Kel. Loktabat Utara Kec. Banjarbaru Utara. Musang berhasil di evakuasi dan dilepasliarkan. Petugas mengerahkan 1 Unit Ops Damkar Truk Ton III.</t>
  </si>
  <si>
    <t>Aldy No Telp. 089620149550</t>
  </si>
  <si>
    <t>11.00 s/d 12.10 Wita</t>
  </si>
  <si>
    <t>Menindaklanjuti warga Umur : 57 Tahun Pekerjaan : Satpam Pendidikan Terakhir : S1  perihal meminta bantuan evakuasi ular ditumpukan batu belakang rumah beralamat Jl. Sapta Marga Blok B19 RT. 10 RW. 03 Kel. Guntung Payung Kec. Landasan Ulin. Ular berhasil dievakuasi dan dilepasliarkan. Petugas mengerahkan 1 Unit Ops Damkar Mobil Hilux Kajama Rescue.</t>
  </si>
  <si>
    <t>Sarkawi No Telp. 0895621075398</t>
  </si>
  <si>
    <t>6 orang/1 unit
1. Nur Hidayah, SE
2. Agus Budianto
3. Ade Susanto
4. Misladin
5. M. Yoppie Wirawan
6. M. Dadang Kurniwan, S.H.</t>
  </si>
  <si>
    <t>Minggu, 20 Juli 2025</t>
  </si>
  <si>
    <t>Minindaklanjuti laporan warga Umur : 21 Tahun Pekerjaan : Mahasiswa Pendidikan Terakhir : SMA  perihal meminta bantuan evakuasi kucing yang tercebur kedalam sumur beralamat Komp. Kirana Persada Raya Blok A 10 RT. 04 RW. 10 Kel. Landasan Ulin Timur Kec. Landasan Ulin. Kucing berhasil di evakuasi. Petugas mengerahkan 1 Unit Ops Damkar Mobil Hilux Kajama Rescue.</t>
  </si>
  <si>
    <t>Muhammad Riski No Telp. 085147527294</t>
  </si>
  <si>
    <t>12.10 s/d 12.45 Wita</t>
  </si>
  <si>
    <t>Menindaklanjuti laporan warga  Umur : 37 Tahun Pendidikan Terakhir : SMA Pekerjaan : Swasta  perihal meminta bantuan evakuasi ular di ruang keluarga bearalamat Jl. Karang Rejo RT. 05 RW. 01 No. 63 Kel. Guntung Manggis Kec. Landasan Ulin. Ular berhasil di evakuasi dan dilepasliarkan. Petugas mengerahkan 1 Unit Ops Damkar Truk Tangki Kajama 4000 Liter.</t>
  </si>
  <si>
    <t>Ari Dwi Nugroho No Telp. 082357507998</t>
  </si>
  <si>
    <t>Senin, 21 Juli 2025</t>
  </si>
  <si>
    <t>19.32 s/d 21.20 Wita</t>
  </si>
  <si>
    <t>Menindaklanjuti laporan warga  Umur : 35 Tahun Pendidikan Terakhir : D3 Pekerjaan : Swasta  perihal meminta bantuan evakuasi sarang tawon dibawah atap rumah beralamat Komp. Borneo No H15 RT. 01 RW. 01 Kel. Landasan Ulin Tengah Kec. Liang Anggang. Sarang Tawon berhasil di evakuasi dan dimusnahkan. Petugas mengerahkan 1 Unit Ops Damkar Truk Ton III.</t>
  </si>
  <si>
    <t>Amel No Telp. 081348442105</t>
  </si>
  <si>
    <t>Rabu, 23 Juli 2025</t>
  </si>
  <si>
    <t>09.05 s/d 09.45 Wita</t>
  </si>
  <si>
    <t>Gustiana Berliati Sari No Telp. 08115121114</t>
  </si>
  <si>
    <t>Menindaklanjuti laporan warga Umur : 37 Tahun Pendidikan Terakhir : SMA Pekerjaan : Swasta  perihal meminta bantuan evakuasi ular yang masuk ruang gudang rumah beralamat Jl. Tambak Langsat Komp. Langsat Asri RT. 29 RW. 06 Kel. Syamsudin Noor Kec. Landasan Ulin. Ular berhasil di evakuasi dan dilepasliarkan. Petugas mengerahkan 1 Unit Ops Damkar Mobil Hilux Kajama Rescue</t>
  </si>
  <si>
    <t>8 orang/1 unit
1. Nur Hidayah, SE
2. Budi Adi
3. Muhammad Noor
4. Bambang Arry Arsono
5. Ranu Wibowo
6. Imam Kastalani
7. M. Fikri Nisfuadi
8. M. Dadang Kurniwan, S.H.</t>
  </si>
  <si>
    <t>Kamis, 24 Juli 2025</t>
  </si>
  <si>
    <t>07.25 s/d 08.45 Wita</t>
  </si>
  <si>
    <t>Menindaklanjuti laporan warga  Umur : 23 Tahun Pendididkan Terakhir : S1 Pekerjaan : Swasta perihal meminta bantuan evakuasi kucing yang tercebur di dalam sumur beralamat Komp.  Surya Indah 2 Blok I No. 11 RT. 03 RW. 06 Kel. Guntung Manggis Kec. Landasan Ulin. Kucing berhasil di evakuasi. Petugas mengerahkan 1 Unit Ops Damkar Mobil Hilux Kajama Rescue.</t>
  </si>
  <si>
    <t>Nadya No Telp. 081645477250</t>
  </si>
  <si>
    <t>22.38 s/d 23.40 Wita</t>
  </si>
  <si>
    <t>Menindaklanjuti laporan warga  Umur : 52 Tahun Pendidikan Terakhir : S1 Pekerjaan : Ibu Rumah Tangga  perihal meminta bantuan evakuasi ular yang berada dibelakang kulkas dapur beralamat Jl. Sukarelawan Permai 1 RT. 45 RW. 01 No. 7 Kel. Loktabat Utara Kec. Banjarbaru Utara. Ular berhasil dievakuasi dan dilepasliarkan. Petugas mengerahkan 1 Unit Ops Damkar Truk Ton III.</t>
  </si>
  <si>
    <t>Hani No Telp. 08125016789</t>
  </si>
  <si>
    <t>Jum`at, 25 Juli 2025</t>
  </si>
  <si>
    <t>07.35 s/d 08.40 Wita</t>
  </si>
  <si>
    <t>Menindaklanjuti laporan warga  Umur : 60 Tahun Pendidikan : S1 Pekerjaan : Pensiunan PNS  perihal meminta bantuan evakuasi ular yang berada di kandang ayam beralamat Jl. A. Yani Km. 31.5 No. 01 RT. 01 RW. 01 Kel. Guntung Manggis Kec. Landasan Ulin. Ular berhasil di evakuasi dan dilepasliarkan. Petugas mengerahkan 1 Unit Ops Damkar Truk Ton III.</t>
  </si>
  <si>
    <t>Ibu Tati No Telp. 081364608986</t>
  </si>
  <si>
    <t>Sabtu, 26 Juli 2025</t>
  </si>
  <si>
    <t>10.30 s/d 11.45 Wita</t>
  </si>
  <si>
    <t>Menindaklanjuti laporan warga Umur : 48 Tahun Pendidikan Terakhir : D3 Pekerjaan : ASN Prov. Kalsel perihal meminta bantuan evakuasi sarang lebah madu yang berada di depan rumah beralamat Jl. Perambaian 2 Komp. Kastela 7 RT. 30 RW. 07 Kel. Sungai Ulin Kec. Banjarbaru Utara. Sarang lebah berhasil di evakuasi dan dimusnahkan. Petuga mengerahkan 1 Unit Ops Damkar Truk Tangki Kajama 3500 Liter.</t>
  </si>
  <si>
    <t>Rahmadian No Telp. 08115003426</t>
  </si>
  <si>
    <t>Minggu, 27 Juli 2025</t>
  </si>
  <si>
    <t>07.12 s/d 08.00 Wita</t>
  </si>
  <si>
    <t>Menindaklanjuti laporan warga  Umur : 19 Tahun Pendidikan Terakhir : SMA Pekerjaan : Swasta  perihal meminta bantuan evakuasi ular berjenis Phyton di antara celah rumah pelapor dengan tetangga beralamat Jl. Murai Komp. Sumber Indah RT. 02 RW. 02 No. 44 Kel. Mentaos Kec. Banjarabaru Utara. Ular berhasil di evakuasi dan dilepasliarkan. Petugas mengerahkan 1 Unit Ops Damkar Mobil Hilux Kajama Rescue.</t>
  </si>
  <si>
    <t>Muhammad Nizar No Telp. 089692020749</t>
  </si>
  <si>
    <t>14.36 s/d 15.10 Wita</t>
  </si>
  <si>
    <t>Menindaklanjuti laporan warga  Umur : 25 Tahun Pendidikan Terakhir : S1 Pekerjaan : Ibu Rumah Tangga perihal meminta bantuan evakuasi ular yang berada di atas plafon rumah beralamat Komp. Griya Indah 2 RT. 27 RW. 03 Kel. Kemuning Kec. Banjarbaru Selatan. Ular tidak berhasil ditemukan. Petugas mengerahkan 1 Unit Ops Damkar Truk Ton III.</t>
  </si>
  <si>
    <t>Meilysa No Telp. 082154029866</t>
  </si>
  <si>
    <t>Senin, 28 Juli 2025</t>
  </si>
  <si>
    <t>00.35 s/d 01.45 Wita</t>
  </si>
  <si>
    <t>Menindalanjuti laporan warga Umur : 34 Tahun Pendidikan Terakhir S1 Pekerjaan : Karyawan Swasta perihal meminta bantuan evakuasi ular yang dibawah tumpukan baja ringan yang adasamping dapur beralamat Komp. Pesona Bhayangkara Kel. Guntung Manggis Kec. Landasan Ulin. Ular tidak berhasil ditemukan. Petugas mengerahkan 1 Unit Ops Damkar Truk Ton III.</t>
  </si>
  <si>
    <t>Bobby No Telp. 0895605327269</t>
  </si>
  <si>
    <t>17.22 s/d 18.40 Wita</t>
  </si>
  <si>
    <t>Menindaklanjuti laporan warga Umur : 39 Tahun Pendidikan Terakhir : SMA Pekerjaan : Ibu Rumah Tangga perihal meminta bantuan evakuasi ular yang berada di dalam rumah beralamat Jl. Komp. Griya Pesona Bhayangkara No. 420 RT. 51 RW. 05 Kel. Guntung Manggis Kec. Landasan Ulin. Ular berhasil di evakuasi dan dilepasliarkan. Petuga mengerahkan 1 Unit Ops Damkar Mobil Hilux Kajama Rescue.</t>
  </si>
  <si>
    <t>Yeni No Telp. 082150843165</t>
  </si>
  <si>
    <t>Selasa, 29 Juli 2025</t>
  </si>
  <si>
    <t>08.55 s/d 09.15 Wita</t>
  </si>
  <si>
    <t>Muhammad Sahib Al Anwar No Telp. 085754832836</t>
  </si>
  <si>
    <t>Menindaklanjuti laporan warga  Umur : 20 Tahun Pendidikan Terakhir : SMA Pekerjaan : Swasta perihal meminta bantuan evakuasi ular dibelakang Mess L beralamat Mess L Banjarbaru Jl. Garuda RT. 03 RW. 04 Kel. Komet Kec. Banjarbaru Utara. Ular berhasil di evakuasi dan dilepasliarkan. Petuga mengerahkan 1 Unit Ops Damkar Mobil Hiux Kajama Rescue.</t>
  </si>
  <si>
    <t>Rabu, 30 Juli 2025</t>
  </si>
  <si>
    <t>20.09 s/d 20.40 Wita</t>
  </si>
  <si>
    <t xml:space="preserve">Menidaklanjuti laporan warga  Umur : 27 Tahun Pendidikan Terakhir : SMA Pekerjaan : Karyawan Swasta perihal meminta bantuan evakuasi lebah yang bersarang di pohon depa rumah beralamat Jl. Hidayah Kel. Kemuning Kec. Banjarbaru Selatan. Sarang lebah berhasil di evakuasi dan dimusnahkan. Petugas mengerahkan 1 Unit Ops Damkar Truk Ton III. </t>
  </si>
  <si>
    <t>Bintang No Telp. 081255766770</t>
  </si>
  <si>
    <t>Kamis, 31 Juli 2025</t>
  </si>
  <si>
    <t>05.25 s/d 06.00 Wita</t>
  </si>
  <si>
    <t>Menindalanjuti laporan warga  Umur : 26 Tahun Pendidikan Terakhir : SMA Pekerjaan : Karyawan Swasta  perihal meminta bantuan evakuasi mobil yang tersangkut di paving block sekaligus tarik hidup akibat aki drop beralamat Jl. A. Yani Km. 33 ( Ruko Papa  Cookies) Kel. Loktabat Utara Kec. Banjarbaru Utara. Mobil berhasil di evakuasi. Petugas mengerahkan 1 Unit Ops Damkar Truk Ton III.</t>
  </si>
  <si>
    <t>Ilham wahyudi No Telp. 0895417402490</t>
  </si>
  <si>
    <t>6 orang/1 unit
1. Ranu Wibowo
2. Imam Kastalani
3. M. Fikri Nisfuadi
4. Budi Adi
5. Muhammad Noor
6. Bambang Arry Arsono</t>
  </si>
  <si>
    <t>16.25 s/d 17.50 Wita</t>
  </si>
  <si>
    <t>Menindaklanjuti laporan warga  Umur : 45 Tahun Pendidikan Terakhir : SMA Pekerjaan : Swasta  perihal meminta bantuan evakuasi ular yang berada didalam sumur beralamat Jl. HM. Mistar Cokrokusumo RT. 04 RW. 02 Kel. Bangkal Kec. Cempaka. Ular berhasil di evakuasi dan dilepasliarkan. Petugas mengerahkan 1 Unit Ops Damkar Mobil Hilux Kajama Rescue.</t>
  </si>
  <si>
    <t>Samani No Telp. 081250708196</t>
  </si>
  <si>
    <t>7 orang/1 unit
1. Syafrullah, S.Sos, M.Si
2. Nur Hidayah, SE
3. Agus Budianto
4. Ade Susanto
5. Misladin
6. M. Yoppie Wirawan
7. M. Dadang Kurniwan, S.H.</t>
  </si>
  <si>
    <t>Jum`at, 1 Agustus 2025</t>
  </si>
  <si>
    <t>10.50 s/d 11.30 Wita</t>
  </si>
  <si>
    <t>Menindaklanjuti laporan warga  Usia : 46 Tahun Pendidikan Terakhir : SMA Pekerjaan : Wiraswasta perihal meminta bantuan evakuasi ular yang terlihat masuk kedalam rumah beraamat Jl. Sungai Sumba RT. 10 RW. 01 No. 42 Kel. Guntung Manggis Kec. Landasan Ulin. Ular tidak berhasil ditemukan. Petugas mengerahkan 1 Unit Ops Damkar Mobil Hilux Kajama Rescue.</t>
  </si>
  <si>
    <t>Masriani No Telp. 085822931907</t>
  </si>
  <si>
    <t>Sabtu, 2 Agustus 2025</t>
  </si>
  <si>
    <t>00.50 s/d 01.30 Wita</t>
  </si>
  <si>
    <t xml:space="preserve">Menindaklanjuti laporan warga  Usia : 23 Tahun Pendidikan Terakhir : SMA Pekerjaan : Wiraswasta perihal meminta bantuan evakuasi mobil yang terperosok kedalam drainase beralamat Jl. Golf Ujung (Perum Griya Sulung) RT. 06 RW. 03 Kel. Syamsudin Noor Kec. Landasan Ulin. Mobil berhasil di evakuasi. Petugas mengerahkan 1 Unit Ops Damkar Mobil Hilux Kajama Rescue. </t>
  </si>
  <si>
    <t>Abdul Malik No Telp. 08562033316</t>
  </si>
  <si>
    <t>5 orang/1 unit
1. Syafrullah, S.Sos, M.Si
2. Budi Adi
3. Muhammad Noor
4. Bambaang Arry Arsono
5. M. Dadang Kurniwan, S.H.</t>
  </si>
  <si>
    <t>13.54 s/d 14.40 Wita</t>
  </si>
  <si>
    <t>Menindaklanjuti laporan warga  Usia : 21 Tahun Pendidikan Terakhir : SD Pekerjaan : Supir Travel  perihal meminta bantuan evakuasi musang yang berada dalam mobil beralamat Jl. Sungai Sumba (belakang RS Idaman) Kel. Guntung Manggis kec. Landasan Ulin. Musang berhasil di evakuasi dan dilepasliarkan. Petugas mengerahkan 1 Unit Ops Damkar Truk Ton III.</t>
  </si>
  <si>
    <t>Adit No Telp. 087783257658</t>
  </si>
  <si>
    <t>Minggu, 3 Agustus 2025</t>
  </si>
  <si>
    <t>19.49 s/d 21.25 Wita</t>
  </si>
  <si>
    <t>Menindaklanjuti laporan warga  Usia : 51 Tahun Pendidikan Terakhir S1 Pekerjaan : Wirausaha perihal meminta bantuan evakuasi lebah yang bersarang di atas plafon rumah beralamat Komp. Azzahra Abadi III RT. 07 RW. 06 Kel. Guntung Manggis Kec. Landasan Ulin. Sarang lebah berhasil di evakuasi dan dimusnahkan. Petugas mengerahkan 1 Unit Ops Damkar Truk Ton III.</t>
  </si>
  <si>
    <t>Mustafa No Telp. 081353666686</t>
  </si>
  <si>
    <t>Senin, 4 Agustus 2025</t>
  </si>
  <si>
    <t>Menindaklanjuti laporan warga Usia : 30 Tahun Pendidikan Terakhir : SMA Pekerjaan : Swasta perihal meminta bantuan evakuasi ular yang berada di gudang rumah beralamat Gg. Amanah RT. 004 RW. 002 Kel. Loktabat Selatan Kec. Banjarbaru Selatan. Ular berhasil di evakuasi dan dilepasliarkan. Petugas mengerahkan 1 Unit Ops Damkar Mobil Hilux Kajama Rescue.</t>
  </si>
  <si>
    <t>Syahrani No Telp. 081545134200</t>
  </si>
  <si>
    <t>Menindaklanjuti laporan warga  Usia : 37 Tahun Pendidkan Terakhir : S3 Pekerjaan : Dosen  perihal meminta bantuan evakuasi ular yang terlihat di pekarangan rumah beralamat Jl. Karang Anyar 2 (Perum Pondok Huni Ibunda 2) Blok A RT. 19 RW. 08 No. 21 Kel. Loktabat Utara Kec. Banjarbaru Utara. Ular tidak berhasil ditemukan. Petugas mengerahkan 1 Unit Ops Damkar Truk Tangki Kajama 3500 Liter.</t>
  </si>
  <si>
    <t>Anshori No Telp. 085252781114</t>
  </si>
  <si>
    <t>Selasa, 5 Agustus 2025</t>
  </si>
  <si>
    <t>03.57 s/d 04.36 Wita</t>
  </si>
  <si>
    <t>Menindaklanjuti laporan warga  Usia : 16 Tahun Pendidikan Terakhir : SMA Pekerjaan : Pelajar  perihal meminta bantuan evakuasi ular berjenis phyton berada di dapur beralamat Jl. Golf (Komp. Wella Mandiri) Blok B1 No. 61 RT. 15 RW. 02 Kel. Syamsudin Noor Kec. Landasan Ulin. Ular berhasil di evakuasi dan dilepasliarkan. Petugas mengerahkan 1 Unit Ops Damkar Mobil Hilux Kajama Rescue.</t>
  </si>
  <si>
    <t>Nadzwa Hasanah No Telp. 083114850288</t>
  </si>
  <si>
    <t>Rabu, 6 Agustus 2025</t>
  </si>
  <si>
    <t>01.04 s/d 02.30 Wita</t>
  </si>
  <si>
    <t>Menindaklanjuti laporan warga  Usia : 27 Tahun Pendidikan Terakhir : S1 Pekerjaan Swasta  perihal meminta bantuan evakuasi tikus yang berada dalam mobil beralamat Jl. Garuda Kel. Komet Kec.Banjarbaru Utara. Petugas tidak menemukan tikus tersebut. Petugas mengerahkan 1 Unit Ops Damkar Mobil Hilux Kajama Rescue.</t>
  </si>
  <si>
    <t>Salma No Telp. 082149165374</t>
  </si>
  <si>
    <t>Kamis, 7 Agustus 2025</t>
  </si>
  <si>
    <t>Menindaklanjuti laporan warga  Usia : 49 Tahun Pendidikan Terakhir : S1 Pekerajaan : PNS perihal meminta bantuan evakuasi ular dihalaman Taman beralamat Jl. Trikora (Taman Mesjid Agung Banjarbaru) Kel. Kemuning Kec. Banjarbaru Selatan. Ular berhasil di evakuasi dan dilepasliarkan. Petugas mengerahkan 1 Unit Ops Damkar Mobil Hilux Kajama Rescue.</t>
  </si>
  <si>
    <t>Zain Taranie</t>
  </si>
  <si>
    <t>11.40 s/d 12.15 Wita</t>
  </si>
  <si>
    <t>Menindaklanjuti laporan warga  Usia : 22 Tahun Pendidikan terakhir : SMA Pekerjaan : Mahasiswi perihal meminta bantuan evakuasi cincin yang tidak bisa dilepas dan mengakibatkan jari bengkak beralamat Jl. Sidomulyo Raya RT. 03 RW. 09 Gg. Mufakat Kel. Landasan Ulin Timur Kec. Landasan Ulin. cincin berhasil di evakuasi dengan cara dipotong. Petugas mengerahkan 1 Unit Ops Damkar Truk Tangki Kajama 4000 Liter.</t>
  </si>
  <si>
    <t>Nor Hayatul Afifah No Telp. 083141821706</t>
  </si>
  <si>
    <t>Jum`at, 8 Agustus 2025</t>
  </si>
  <si>
    <t>05.45 s/d 07.00 Wita</t>
  </si>
  <si>
    <t>Menindaklanjuti laporan warga Usia : 45 Tahun Pendidikan Terakhir : D3 Pekerjaan : Wiraswasta perihal meminta bantuan evakuasi ular yang berada di dalam kandang ternak beralamat Jl. Unjung Pandang RT. 04 RW. 01 No. H 03 Kel. Sungai Besar Kec. Banjarbaru Selatan. Ular berhasil di evakuasi dan dilepasliarkan. Petugas mengerahkan 1 Unit Ops Damkar Mobil Hilux Kajama Rescue.</t>
  </si>
  <si>
    <t xml:space="preserve">Hanarul No Telp. 085248187071 </t>
  </si>
  <si>
    <t>4 orang/1 unit
1. Syafrullah, S.Sos, M.Si
2. Budi Adi
3. Muhammad Noor
4. Bambang Arry Arsono</t>
  </si>
  <si>
    <t>08.59 s/d 09.30 Wita</t>
  </si>
  <si>
    <t>Menindaklanjuti laporan warga Usia : 57 Tahun Pendidikan Terakhir : D3 Pekerjaan : ASN perihal meminta bantuan evakuasi ular yang berada dalam Pos Gerbang Kantor UPT Balai Benih Banjarbaru beralamat Jl. Banua Praja Barat (Kantor UPT Balai Benih) Kel. Palam Kec. Cempaka. Ular berhasil di evakuasi dan dilepasliarkan. Petugas mengerahkan 1 Unit Ops Damkar Truk Tangki Kajama 4000 Liter.</t>
  </si>
  <si>
    <t>Asriadi No Telp. 085248439894</t>
  </si>
  <si>
    <t>Minggu, 10 Agustus 2025</t>
  </si>
  <si>
    <t>04.52 s/d 05.40 Wita</t>
  </si>
  <si>
    <t>Menindaklanjuti laporan warga  Usia : 49 Tahun Pendidikan Terakhir SMA Pekerjaan : Swasta perihal meminta bantuan evakuasi ular yang berada didalam kandang ayam beralamat Jl. Komp. Griya Utama Trikora III No. C 09 Kel. Guntung Manggis Kec. Landasan Ulin. Ular berhasil di evakuasi dan dilepasliarkan. Petugas mengerahkan 1 Unit Ops Damkar Mobil Hilux Kajama Rescue.</t>
  </si>
  <si>
    <t>Angliman No Telp. 085245021841</t>
  </si>
  <si>
    <t>13.05 s/d 14.30 Wita</t>
  </si>
  <si>
    <t>Menindaklanjuti laporan warga Usia : 35 Tahun Pendidikan Terakhir : SMA Pekerjaan : Damkar Kab. Banjar perihal meminta bantuan evakuasi cincin yang tidak bisa dilepas pada anak balita beralamat Komp. Perumahan Putih Jl. Karang Anyar I RT. 19 RW. 02 No. 07 Kel. Loktabat Utara Kec. Banjarbaru Utara. Cincin berhasil di evakuasi dengan cara dipotong. Petugas mengerahkan 1 Unit Ops Damkar Truk Tangki Kajama 3500 Liter.</t>
  </si>
  <si>
    <t>Wira Permadi No Telp. 085250293693</t>
  </si>
  <si>
    <t>Senin, 11 Agustus 2025</t>
  </si>
  <si>
    <t>05.33 s/d 06.15 Wita</t>
  </si>
  <si>
    <t>Menindaklanjuti laporan warga Usia : 20 Tahun Pendidikan Terakhir : SMA Pekerjaan : Mahasiswa perihal meminta bantuan evakuasi orang yang terkunci dalam kamar mandi beralamat Jl. Pondok 4 Gg. Pandawa RT. 19 RW. 08 Kel. Loktabat Utara Kec. Banjarbaru Utara. Pintu berhasil dibuka dan orang behasil diselamatkan. Petugas mengerahkan 1 Unit Ops Damkar Truk Tangki 4000 Liter.</t>
  </si>
  <si>
    <t>Rafly No Telp. 085753461426</t>
  </si>
  <si>
    <t>Orang Terkunci</t>
  </si>
  <si>
    <t>Menindaklanjuti laporan warga  Usia : 25 Tahun Pendidikan Terakhir : S1 Pekerjaan : PNS perihal meminta bantuan evakuasi ular yang berada dalam rumah beralamat Gg. Almadaniah RT. 19 RW. 08 Kel. Loktabat Utara Kec. Banjarbaru Utara. Ular berhasil di evakuasi dan dilepasliarkan. Petugas mengerahkan 1 Unit Ops Damkar Mobil Hilux Kajama Rescue.</t>
  </si>
  <si>
    <t>Rivaldi No Telp. 083140460702</t>
  </si>
  <si>
    <t>Selasa, 12 Agustus 2025</t>
  </si>
  <si>
    <t>20.13 s/d 21.40 Wita</t>
  </si>
  <si>
    <t>Menindaklanjuti laporan warga  Usia : 31 Tahun Pendidikan Terakhir : SMA perihal meminta bantuan evakuasi lebah yang bersarang di area parkir Hoel Aeris beralamat Jl. Panglima Batur RT. 02 (area parkir Hotel Aeris) Kel. Komet Kec. Banjarbaru Utara. Sarang lebah berhasil di evakuasi dengan cara dibakar. Petugas mengerahkan 1 Unit Ops Damkar Mobil Hilux Kajama Rescue.</t>
  </si>
  <si>
    <t>Novianti No Telp. 081289672271</t>
  </si>
  <si>
    <t>8 orang/1 unit
1. Agus Budianto
2. Ade Susanto
3. Misladin
4. M. Yoppie Wirawan
5. Ranu  Wibowo
6. Imam Kastalani
7. M. Fikri Nisfuadi
8. M. Dadang Kurniwan, S.H.</t>
  </si>
  <si>
    <t>Rabu, 13 Agustus 2025</t>
  </si>
  <si>
    <t>01.12 s/d 02.10 Wita</t>
  </si>
  <si>
    <t>Menindaklanjuti laporan warga Usia : 22 Tahun Pendidikan Terakhir : SMA Pekerjaan : Mahasiswa perihal meminta bantuan evakuasi ular yang berada dalam rumah beralamat Komp. Nuansa Fitria Mandiri No. F13 Kel. Cempaka Kec. Cempaka. Ular berhasil di evakuasi dan dilepasliarkan. Petugas mengerahkan 1 Unit Ops Damkar Mobil Hilux Kajama Rescue.</t>
  </si>
  <si>
    <t>Rio Yussi Aldani No Telp. 085821676535</t>
  </si>
  <si>
    <t>19.23 s/d 19.55 Wita</t>
  </si>
  <si>
    <t>Menindaklanjuti laporan warga Usia : 49 Tahun Pendidikan Terakhir : S1 Pekerjaan : Swasta perihal meminta bantuan evakuasi ular yang berada dibelakang lemari ruang tengah beralamat Komp. Griya Utama Trikora RT. 034 RW. 005 No. C1 Kel. Guntung Manggis Kec. Landasan Ulin. Ular berhasil di evakuasi dan dilepasliarkan. Petugas mengerahkan 1 Unit Ops Damkar Mobil Hilux Kajama Rescue.</t>
  </si>
  <si>
    <t>Mahyudin</t>
  </si>
  <si>
    <t>Kamis, 14 Agustus 2025</t>
  </si>
  <si>
    <t>07.35 s/d 08.00 Wita</t>
  </si>
  <si>
    <t>Menindaklanjuti laporan warga  Usia : 32 Tahun Pendidikan Terakhir : S1 Pekerjaan : Karyawan Swasta perihal meminta bantuan evakuasi pintu ruko yang terkunci dari dalam beralamat Jl. Trikora RT. 006 RW. 004 (kantor penerbit erlangga) Kel. Loktabat Selatan Kec. Banjarbaru Selatan. Pintu berhasil dibuka. Petugas mengerahkan 1 Uni Ops Damkar Truk Tangki Kajama 3500 Liter.</t>
  </si>
  <si>
    <t>Khairul Ihsan No Telp. 081356427851</t>
  </si>
  <si>
    <t>Pintu Ruko</t>
  </si>
  <si>
    <t>19.07 s/d 20.00 Wita</t>
  </si>
  <si>
    <t>Menindaklanjuti laporan warga  Usia : 23 Tahun Pendidikan Terakhir : SD Pekerjaan : Ibu Rumah Tangga perihal meminta bantuan evakuasi tabung gas 3kg yang mengeluarkan bunyi desis beralamat Jl. Batu Besi Komp. Griya Sosial 2 Blok A No. 9 RT. 34 RW. 05 Kel. Guntung Manggis Kec. Landasan Ulin. Tabung gas dapat diamankan petugas dan tidak mengeluarkan bunyi desis lagi. Petugas mengerahkan 1 Unit Ops Damkar Mobil Hilux Kajama Rescue.</t>
  </si>
  <si>
    <t>Mila No Telp. 081545134336</t>
  </si>
  <si>
    <t>Tabung Gas Bocor</t>
  </si>
  <si>
    <t>Jum`at, 15 Agustus 2025</t>
  </si>
  <si>
    <t>08.57 s/d 09.51 Wita</t>
  </si>
  <si>
    <t>Menindaklanjuti laporan warga  Usia : 35 Tahun Pendidikan Terakhir : SMA Pekerjaan : Swasta perihal meminta bantuan evakuasi anjing yang tercebur ke dalam sumur beralamat Komp. Exs ADB Peternakan No. 48 RT. 03 RW, 04 Kel. Loktabat Selatan Kec. Banjarbaru Selatan. Anjing berhasil di evakuasi. Petugas mengerahkan 1 Unit Ops Damkar Mobil Hilux Kajama Rescue.</t>
  </si>
  <si>
    <t>Karens Caroline No Telp. 081256795972</t>
  </si>
  <si>
    <t>8 orang/1 unit
1. Agus Budianto
2. Ade Susanto
3. Misladin
4. M. Yoppie Wirawan
5. Ranu Wibowo
6. Imam Kastalani
7. M. Fikri Nisfuadi
8. M. Dadang Kurniwan</t>
  </si>
  <si>
    <t>Sabtu, 16 Agustus 2025</t>
  </si>
  <si>
    <t>07.02 s/d 07.50 Wita</t>
  </si>
  <si>
    <t>Menindaklanjuti laporan warga  Usia : 25 Tahun Pendidikan Terakhir : S1 Pekerjaan : Swasta perihal meminta bantuan evakuasi HP yang tercebur ke dalam drainase beralamat Jl. P. Suriansyah Ujung Kel. Mentaos Kec. Banjarbaru Utara. HP berhasil di evakuasi. Petugas mengerahkan 1 Unit Ops Da,mkar Mobil Hilux Kajama Rescue.</t>
  </si>
  <si>
    <t>Ismilia No Telp. 081251225665</t>
  </si>
  <si>
    <t>HP</t>
  </si>
  <si>
    <t>10.00 s/d 11.15 Wita</t>
  </si>
  <si>
    <t>Menindaklanjuti laporan warga Usia : 28 Tahun Pendidikan Terakhir : S1 Pekerjaan : Swasta perihal meminta bantuan evakuasi mobil yang terperosok kedalam selokan beralamat Jl. A. Yani Km. 23.5 alamat pelapor Jl. Golf Komp. Golf Regency RT. 05 RW. 01 Kel. Landasan Ulin Utara Kec. Liang Anggang. Mobil berhasil di evakuasi. Petugas mengerahkan 1 Unit Ops Damkar Truk Tangki Kajama 3500 Liter.</t>
  </si>
  <si>
    <t>Yusia No Telp. 082152317506</t>
  </si>
  <si>
    <t>Senin, 18 Agustus 2025</t>
  </si>
  <si>
    <t>20.43 s/d 21.57 Wita</t>
  </si>
  <si>
    <t>Menindaklanjuti laporan warga Usia : 48 Tahun Pendidikan Terakhir : S1 Pekerjaan : Wiraswasta perihal meminta bantuan evakuasi sarang tawon di tower tandon beralamat Jl. Kemuning no. 24 Kel. Kemunig Kec. Banjarbaru Selatan. Sarang tawon berhasil dimusnahkan dengan cara dibakar. Petugas mengerahkan 1 Unit Ops Damkar Truk Tangki Kajama 3500 Liter.</t>
  </si>
  <si>
    <t>Yudi Hartono No Telp. 085750926261</t>
  </si>
  <si>
    <t>Selasa, 19 Agustus 2025</t>
  </si>
  <si>
    <t>06.30 s/d 07.20 Wita</t>
  </si>
  <si>
    <t>Menindaklanjuti laporan warga  Usia : 29 Tahun Pendidikan Terakhir : S1 Perkerjaan : Ibu Rumah Tangga perihal meminta bantuan evakuasi ular yang berada di garasi beralamat Jl. Sukarelawan Gg. Al Aman No. 41 Kel. Loktabat Utara Kec. Banjarbaru Utara. Ular berhasil di evakuasi dan dilepasliarkan. Petugas mengerahkan 1 Unit Ops Damkar Mobil Hilux kajama Rescue.</t>
  </si>
  <si>
    <t>Nadya Farisa No Telp. 08981366196</t>
  </si>
  <si>
    <t>15.50 s/d 17.00 Wita</t>
  </si>
  <si>
    <t>Riska No Telp. 081250412229</t>
  </si>
  <si>
    <t>Menindaklanjuti laporan warga Usia : 44 Tahun Pendidikan Terakhir : S1 Pekerjaan : Wirausaha perihal meminta bantuan evakuasi kucing  yang melahirkan di atas plafon beralamat Komp. Pondok Papan Sejahtera Jl. Karang Anyar 2 RT. 04 RW. 06 Kel. Loktabat Utara Kec. Banjarbaru Utara. Kucing berhasil di evakuasi. Petugas mengerahkan 1 Unit Ops Damkar Truk Tangki Kajama 3500 Liter.</t>
  </si>
  <si>
    <t>7 orang/1 unit
1. Budi Adi
2. Muhammad Noor 
3. Bambang Arry Arsono
4. Ranu Wibowo
5. Imam Kastalani
6. M. Fikri Nisfuadi
7. M. Dadang Kurniwan, S.H.</t>
  </si>
  <si>
    <t>Rabu, 20 Agustus 2025</t>
  </si>
  <si>
    <t>19.44 s/d 20.45 Wita</t>
  </si>
  <si>
    <t>Menindaklanjuti laporan warga  Usia : 47 Tahun Pendidikan Terakhir : S1 Pekerjaan : Guru perihal meminta bantuan evakuasi kucing dalam sumur beralamat Jl. Pondok Bambu Komp. Darul Hijrah No. A7 RT. 50 RW. 08 Kel. Loktabat Utara Kec. Banjarbaru Utara. Kucing berhasil di evakuasi. Petugas mengerahkan 1 Unit Ops Damkar Mobil Hilux Kajama Rescue.</t>
  </si>
  <si>
    <t>Laila No Telp. 082158296900</t>
  </si>
  <si>
    <t>Kamis, 21 Agustus 2025</t>
  </si>
  <si>
    <t>06.55 s/d 07.40 Wita</t>
  </si>
  <si>
    <t>Menindaklanjuti laporan warga  Usia : 28 Tahun Pendidikan Terakhir : SMA Pekerjaan : Ibu Rumah Tangga perihal meminta bantuan evakuasi ular yang berada di pekarangan rumah beralamat Jl. Cempaka Sari Kel. Cempaka Kec. Cempaka. Petugas tidak menemukan ular tersebut. Petugas mengerahkan 1 Unit Ops Damkar Mobil Hilux Kajama Rescue.</t>
  </si>
  <si>
    <t>Ana No. Telp. 082251584169</t>
  </si>
  <si>
    <t>20.30 s/d 21.35 Wita</t>
  </si>
  <si>
    <t>Menindaklanjuti laporan warga  Usia : 39 Tahun Pendidikan Terakhir : S1 Pekerjaan : Swasta perihal meminta bantuan evakuasi ular dihalaman rumah beralamat Komp. Wengga Tahap III Blok X4 No. 31 RT. 041 RW. 007 Kel. Guntung Manggis Kec. Landasan Ulin. Ular berhasil di evakuasi dan dilepasliarkan. Petugas mengerahkan 1 Unit Ops Damkar Mobil Hilux Kajama Rescue.</t>
  </si>
  <si>
    <t>Dwi Rianto No Telp. 081250093799</t>
  </si>
  <si>
    <t>Jum`at, 22 Agustus 2025</t>
  </si>
  <si>
    <t>00.50 s/d 01.45 Wita</t>
  </si>
  <si>
    <t>Menindaklanjuti laporan warga  Usia : 31 Tahun Pendidikan Terakhir : SMA Pekerjaan : Swasta perihal meminta bantuan evakuasi mobil yang mogok beralamat Jl. Trikora Kel. Guntung Manggis Kec. Landasan Ulin. Mobil berhasil hidup kembali dengan cara menjumper aki mobil. Petugas mengerahkan 1 Unit Ops Damkar Truk Ton III.</t>
  </si>
  <si>
    <t>Rania Safitri No Telp. 082154808914</t>
  </si>
  <si>
    <t>11.31 s/d 12.30 Wita</t>
  </si>
  <si>
    <t>Menindaklanjuti laporan warga Usia : 24 Tahun Pendidikan Terakhir : SMA Pekerjaan : Wirausaha periha meminta bantuan evakuasi ular yang berjenis Phyton berada di bawah rombong tempat usaha beralamat Jl. Karang Anyar I RT 11 RW. 10 Kel. Loktabat Utara Kec. Banjarbaru Utara. Ular berhasil di evakuasi dan dilepasliarkan. Petugas mengerahkan 1 Unit Ops Damkar Truk Tangki Kajama 4000 Liter.</t>
  </si>
  <si>
    <t>Khairunnisa No Telp. 087733559906</t>
  </si>
  <si>
    <t>Sabtu, 23 Agustus 2025</t>
  </si>
  <si>
    <t>04.46 s/d 06.15 Wita</t>
  </si>
  <si>
    <t>Menindaklanjuti laporan warga Usia : 26 Tahun Pendidikan Terakhir : S1 Pekerjaan : Wirausaha perihal meminta bantuan evakuasi mobil yang mogok untuk dibawa ke bengkel terdekat beralamat Jl. A. Yani Km. 21 Kel. Landasan Ulin Tengah Kec. Liang Anggang. Mobil berhasil di evakuasi. Petugas mengerahkan 1 Unit Ops Damkar Truk Tangki Ton VII.</t>
  </si>
  <si>
    <t>Angga Antoni No Telp. 085758177823</t>
  </si>
  <si>
    <t>10.53 s/d 12.10 Wita</t>
  </si>
  <si>
    <t xml:space="preserve">Menindaklanjuti laporan warga Usia : 21 Tahun Pendidikan Terakhir : SMA Pekerjaan : Mahasiswi perihal meminta bantuan evakuasi Musang yang berada di atas plafon rumah beralamat Jl. Kasturi 1 Gg. 2 Komp. Cahaya Abadi RT. 44 RW. 09 Kel. Syamsudin Noor Kec. Landasan Ulin. Petugas melakukan pencarian di atas plafon musang tidak dapat ditemukan. Petugas mengerahkan 1 Unit Ops Damkar Mobil Hilux Kajama Rescue. </t>
  </si>
  <si>
    <t>Zia No Telp. 082254978319</t>
  </si>
  <si>
    <t>8 orang/1 unit
1. Nur Hidayah, SE
2. Ranu Wibowo
3. Imam Kastalani
4. M. Fikri Nisfuadi
5. M. Dadang Kurniwan, S.H.</t>
  </si>
  <si>
    <t>Minggu, 24 Agustus 2025</t>
  </si>
  <si>
    <t>Menindaklanjuti laporan warga  Usia : 22 Tahun Pendidikan Terakhir : S1 Pekerjaan : Mahasiswi perihal meminta bantuan evakuasi ular yang berada didalam rumah beralamat Jl. Al Jafri Ujung RT. 13 RW. 03 Kel. Kemuning Kec. Banjarbaru Selatan. Ular berhasil di evakuasi dan dilepasliarkan. Petugas mengerahkan 1 Unit Ops Damkar Mobil Hilux Kajama Rescue.</t>
  </si>
  <si>
    <t>Aprilia Dwinta No Telp. 085218428069</t>
  </si>
  <si>
    <t>Senin, 25 Agustus 2025</t>
  </si>
  <si>
    <t>Menindaklanjuti laporan warga Usia : 32 Tahun Pendidikan Terakhir : S1 perihal meminta bantuan evakuasi ular di dalam kamar beralamat Jl. Bumi Berkat 5 Komp. Utama 2 Blok D No. 04 Kel. Cempaka Kec. Cempaka. Ular berhasil di evakuasi dan dilepasliarkan. Petugas mengerahkan 1 Unit Ops Damkar Mobil Hilux Kajama Rescue.</t>
  </si>
  <si>
    <t>Muhammad Rizal Ramadhan No Telp. 082299057373</t>
  </si>
  <si>
    <t>10.07 s/d 10.30 Wita</t>
  </si>
  <si>
    <t>Menindaklanjuti laporan warga Usia : 30 Tahun Pendidikan Terakhir : SMA Pekerjaan : Wirausaha perihal meminta bantuan evakuasi ular yang terlihat di teras rumah beralamat Cempaka Sari RT. 04 RW. 01 Kel. Sungai Besar Kec. Banjarbaru Selatan. Ular berhasil di evakuasi dan dilepasliarkan. Petugas mengerahkan 1 Unit Ops Damkar Mobil Hilux Kajama Rescue.</t>
  </si>
  <si>
    <t>M. Wildan No Telp. 082251584169</t>
  </si>
  <si>
    <t>Selasa, 26 Agustus 2025</t>
  </si>
  <si>
    <t>06.01 s/d 06.30 Wita</t>
  </si>
  <si>
    <t>Menindaklanjuti laporan warga Usia : 35 Tahun Pendidikan Terakhir : S1 Pekerjaan : ASN perihal meminta bantuan evakuasi ular yang terlihat di dapur beralamat Jl. Abadi 3 Perumahan Taman Palam Megatama RT. 06 RW. 07 No. 180 Kel. Guntung Manggis Kec. Landasan Ulin. Ular berhasil di evakuasi dan dilepasliarkan. Petugas mengerahkan 1 Unit Ops Damkar Mobil Hilux Kajama Rescue.</t>
  </si>
  <si>
    <t>Fachiansyah No Telp. 085310390464</t>
  </si>
  <si>
    <t>11.05 s/d 12.00 Wita</t>
  </si>
  <si>
    <t xml:space="preserve">Menindaklanjuti laporan warga Usia : 25 Tahun Pendidikan Terakhir SMA Pekerjaan : Swasta perihal meminta bantuan evakuasi burung elang yang terjatuh di jalan karena sayapnya luka dan patah beralamat Jl. Delima RT. 02 Rw. 01 Kel. Guntung Paikat Kec. Banjarbaru Selatan. Burung Elang berhasil di evakuasi dan diserahkan ke Kantor BKSD Pov Kalsel. Petugas mengerahkan 1 Unit Ops Damkar Mobil Hilux Kajama Rescue. </t>
  </si>
  <si>
    <t>Usman No Telp. 082191958425</t>
  </si>
  <si>
    <t>Burung Elang</t>
  </si>
  <si>
    <t>Rabu, 27 Agustus 2025</t>
  </si>
  <si>
    <t>00.45 s/d 01.55 Wita</t>
  </si>
  <si>
    <t>Menindaklanjuti laporan warga Usua : 40 Tahun Pendidikan Terakhir : SMA Pekerjaan : Karyawan Honorer perihal meminta bantuan evakuasi mobil yang terkunci dan kuncinya tertinggal dalam mobil beralamat Jl. Galaxy (Pos SPPG GTM) Kel. Guntung Manggis Kec. Landasan Ulin. Pintu mobil berhasil dibuka. Petugas mengerahkan 1 Unit Ops Damkar Mobil Hilux Kajama Rescue.</t>
  </si>
  <si>
    <t>Agus No Telp. 081219999029</t>
  </si>
  <si>
    <t>16.15 s/d 17.10 Wita</t>
  </si>
  <si>
    <t>Menindaklanjuti laporan warga  Usia : 40 Tahun Pendidikan Terakhir : SMA Pekerjaan : Swasta perihal meminta bantuan evakuasi ular yang berada di dapur beralamat Jl. Transad Palam 1 RT. 07 RW. 03 Blok. A No. 67 Kel. Palam Kec. cempaka. Ular berhasil di evakuasi dan dillepasliarkan. Petugas mengerahkan 1 Unit Ops Damkar Mobil Hilux Kajama Rescue.</t>
  </si>
  <si>
    <t>Nina Istiani No Telp. 085348413789</t>
  </si>
  <si>
    <t>Kamis, 28 Agustus 2025</t>
  </si>
  <si>
    <t>04.50 s/d 05.40 Wita</t>
  </si>
  <si>
    <t>Menindaklanjuti laporan warga  Usia : 50 Tahun Pendidikan Terakhir : S1 Pekerjaan : Swasta  perihal meminta bantuan evakuasi ular yang berada didapur beralamat Jl. Purnawirawan Komp. Lambung Mangkurat Regency Blok E5 No. 06 RT. 014 RW. 001 Kel. Palam Kec. Cempaka. Ular behasil di evakuasi dan dilepasliarkan. Petugas mengerahkan 1 Unit Ops Damkar Mobil Hilux Kajama Rescue.</t>
  </si>
  <si>
    <t>Riyanto No Telp. 087858072398</t>
  </si>
  <si>
    <t>12.12 s/d 12.45 Wita</t>
  </si>
  <si>
    <t>Menindaklanjuti laporan warga Usia : 43 Tahun Pendidikan Terakhir : SMA Pekerjaan : ASN perihal meminta bantuan evakuasi ular yang terlihat di dalam kamar beralamat Jl. Megaria RT. 14 RW. 07 No. 37 Kel. Loktabat Utara Kec. Banjarbaru Utara. Ular berhasil di evakuasi dan dilepasliarkan. Petugas mengerahakan 1 Unit Ops Damkar Mobil Hilux Kajama Rescue.</t>
  </si>
  <si>
    <t>M. Azhar No Telp. 087820039221</t>
  </si>
  <si>
    <t>Jum`at, 29 Agustus 2025</t>
  </si>
  <si>
    <t>07.00 s/d 08.15 Wita</t>
  </si>
  <si>
    <t>Menindaklanjuti laporan warga Usia : 39 Tahun Pendidikan Terakhir : s1 Pekerjaan : Ibu Rumah Tangga perihal meminta bantuan evakuasi ular yang terlihat didalam kamar mandi beralamat Jl. Gotong Royong RT. 04 RW. 06 No. 21 Kel. Mentaos Kec. Banjarbaru Utara. Ular berhasil di evakuasi dan dilepasliarkan. petugas mengerahkan 1 Unit Ops Damkar Mobil Hilux Kajama Rescue.</t>
  </si>
  <si>
    <t>Widya Apriyanti No Telp. 085248485416</t>
  </si>
  <si>
    <t>17.29 s/d 18.40 Wita</t>
  </si>
  <si>
    <t>Menindaklanjuti laporan perihal penyemprotan jalan yang terkena tumpahan solar beralamat Jl. Trikora (depan Cafe Karindangan) Kel. Guntung Paikat Kec. Banjarbaru Selatan. Petugas melakukan penyemprotan dan pembersihan. Jalan tersebut aman bagi pengguna jalan. Petugas mengerahkan 1 Unit Ops Damkar Truk Tangki Kajama 3500 Liter.</t>
  </si>
  <si>
    <t xml:space="preserve"> Ka. UPT Damkar Banjarbaru</t>
  </si>
  <si>
    <t>Tumpahan Solar</t>
  </si>
  <si>
    <t>Sabtu, 30 Agustus 2025</t>
  </si>
  <si>
    <t>00.35 s/d 01.50 Wita</t>
  </si>
  <si>
    <t>Menindaklanjuti laporan warga  Usia : 18 Tahun Pendidikan Terakhir : SMA Pekerjaan : Mahasiswi perihal meminta bantuan evakuasi mobil yang terperosok kedalam selokan beralamat Komp. Pesona Dwika Mandiri Kel. Guntung Manggis Kec. Landasan Ulin. Mobil berhasil di evakuasi. Petugas mengerahkan 1 Unit Ops Damkar Mobil Hilux Kajama Rescue.</t>
  </si>
  <si>
    <t>Call Center 112 Kota Banjarbaru an. Rumi</t>
  </si>
  <si>
    <t>20.30 s/d 22.50 Wita</t>
  </si>
  <si>
    <t>Menindaklanjuti laporan warga  Usia : 48 Tahun Pendidikan Terakhir : S1 Pekerjaan : PNS perihal meminta bantuan evakuasi  sarang tawon yang berada di atas atap beralamat Jl. Golf Komp Griya Milenial Residance Blok. 4 No. 70 RT. 06 RW. 004 Kel. Landasan Ulin Utara Kec. Liang Anggang. sarang Tawon berhasil dimusnahkan dengan cara dibakar. Petugas mmengerahkan 1 Unit Ops Damkar Mobil Hilux Kajama Rescue.</t>
  </si>
  <si>
    <t>Andi No Telp. 08536148389</t>
  </si>
  <si>
    <t>Minggu, 31 Agustus 2025</t>
  </si>
  <si>
    <t>06.35 s/d 07.55 Wita</t>
  </si>
  <si>
    <t>Menindaklanjuti laporan warga  Usia 46 Tahun Pendidikan Terakhir : S1 Pekerjaan : Swasta perihal meminta bantuan evakuasi anak anjing yang masuk ke pekarangan rumah beralamat Jl. Sinar Baru Komp. Griya Sinar Baru No. 20 RT. 024 RW. 006 Kel. Sungai Ulin Kec. Banjarbaru Utara. Anjing berhasil di evakuasi dan dilepasliarkan. Petugas mengerahkan 1 Unit Ops Damkar Mobil Hilux Kajama Rescue.</t>
  </si>
  <si>
    <t>Miko Nurdian No Telp. 083846752098</t>
  </si>
  <si>
    <t>5 orang/1 unit
1. Agus Budianto
2. Ade Susanto
3. Misladin
4. M. Yoppie Wirawan 
5. M. Dadang Kurniwan, S.H.</t>
  </si>
  <si>
    <t>12.19 s/d 13.20 Wita</t>
  </si>
  <si>
    <t>Menindaklanjuti laporan warga  Usia : 23 Tahun Pendidikan Terakhir : SMA Pekerjaan : Guru Honorer perihal meminta bantuan evakuasi mobil yang mogok beralamat Mesjid Nurul Muhajirin Jl. A. Yani Km. 30.5 Kel. Guntung Payung Kec. Landasan Ulin. Mobiil dapat hidup kembali dengan cara di jumper aki. Petugas mengerahkan 1 Unit Ops Damkar Truk Ton III.</t>
  </si>
  <si>
    <t>M. Fuadi No Telp. 082354538544</t>
  </si>
  <si>
    <t>Selasa, 2 September 2025</t>
  </si>
  <si>
    <t>Menindaklanjuti laporan warga Umur : 29 Tahun Pendidikan Terakhir : S1 Pekerjaan : Perawat perihal meminta bantuan evakuasi ular yang berada dalam kandang ayam beralamat Jl. Soeratno Komp. Graha Permata Indah 9 RT. 13 RW. 03 Kel. Guntung Payung Kec. Landasan Ulin. Ular berhasil di evakuasi dan dilepasliarkan. Petugas mengerahkan 1 Unit Ops Damkar Truk Ton III.</t>
  </si>
  <si>
    <t xml:space="preserve"> Wisno Bagus No Telp. 081911175519</t>
  </si>
  <si>
    <t>14.54 s/d 15.40 Wita</t>
  </si>
  <si>
    <t>Menindaklanjuti laporan warga  Umur : 20 Tahun Pendidikan Terakhir : SMK Pekerjaan : Swasta perihal meminta bantuan evakuasi HP yang tercebur dalam drainase beralamat Jl. H. Mistarcokrokusumo Kel. Sungai Besar Kec. Banjarbaru Selatan. HP berhasil di evakuasi. Petugas mengerahkan 1 Ops Damkar Mobil Hilux Kajama Rescue.</t>
  </si>
  <si>
    <t>Raisya Putri Yuhani No Telp. 085822347982</t>
  </si>
  <si>
    <t>Rabu, 3 September 2025</t>
  </si>
  <si>
    <t>00.40 s/d 02.00 Wita</t>
  </si>
  <si>
    <t xml:space="preserve">Menindaklanjuti laporan warga  Umur : 70 Tahun Pendidikan Terakhir : S1 Pekerjaan : Wirausaha  perihal meminta bantuan evakuasi mobil yang mogok beralamat Jl. A. Yani Km. 32.5 Kel. Loktabat Selatan Kec. Banjarabaru Selatan. Mobil berhasil di evakuasi dengan cara di jumper. Petugas mengerahkan 1 Unit Ops Damkar Mobil Hilux Kajama Rescue. </t>
  </si>
  <si>
    <t>Usman Effendi No Telp. 08171249410</t>
  </si>
  <si>
    <t xml:space="preserve">7 orang/1 unit
1. Agus Budianto
2. Ade Susanto
3. Misladin
4. M. Yoppie Wirawan
5. Ranu Wibowo
6. Imam Kastalani
7. M. Fikri Nisfuadi
</t>
  </si>
  <si>
    <t>14.54 s/d 15.50 Wita</t>
  </si>
  <si>
    <t>Menindaklanjuti laporan warga Umur : 19 Tahun Pendidikan Terakhir : SMA Pekerjaan : Karyawan Honorer perihal meminta bantuan evakuasi kucing yang tidak bisa turun dari gapura gerbang komplek beralamat Jl. Panglima batur Barat RT. 05 RW. 02 Kel. Komet Kec. Banjarbaru Utara. Kucing berhasil di evakuasi. Petugas mengerahkan 1 Unit Ops Damkar Truk Tangki Kajama  3500 Liter.</t>
  </si>
  <si>
    <t>Nor Rosidah No Telp. 087879718148</t>
  </si>
  <si>
    <t>Kamis, 4 September 2025</t>
  </si>
  <si>
    <t>00.30 s/d 01.30 Wita</t>
  </si>
  <si>
    <t>Menindaklanjuti laporan warga Umur : 43 Tahun Pendidikan Terakhir : SMA Pekerjaan : Swasta  perihal meminta bantuan evakuasi ular yang berada di atas gelagar rumah beralamat Jl. Merdeka Transad Palam Blok C RT. 09 RW. 03 No. 08 Kel. Palam Kec. Cempaka. Ular tidak berhasil dtemukan. Petugas mengerahkan 1 Unit Ops Damkar Mobil Hilux Kajama Rescue.</t>
  </si>
  <si>
    <t>Rahmadianoor No Telp. 083895850958</t>
  </si>
  <si>
    <t>13.39 s/d 14.30 Wita</t>
  </si>
  <si>
    <t>Menindaklanjuti laporan warga Umur : 45 Tahun Pendidikan Terakhir : SMA Perkerjaan : IRT perihal meminta bantuan evakuasi ular yang berada di sela-sela dinding rumah beralamat Jl. Gg. Purnama RT. 04 RW. 06 Kel. Komet Kec. Banjarbaru Utara. Ular tidak berhasil di evakuasi. Petugas mengerahkan 1 Unit Ops Damkar Truk Ton III.</t>
  </si>
  <si>
    <t>Rida No Telp. 085822993319</t>
  </si>
  <si>
    <t>8 orang/1 unit 
1. Syafrullah, S.Sos, M.Si
2. Ranu Wibowo
3. Imam Kastalani
4. M. Fikri Nisfuadi
5. Agus Budianto
6. Ade Susanto
7. Misladin
8 M. Yoppie Wirawan</t>
  </si>
  <si>
    <t>Jum`at, 5 September 2025</t>
  </si>
  <si>
    <t>06.50 s/d 07.30 Wita</t>
  </si>
  <si>
    <t>Menindaklanjuti laporan warga Umur : 30 Tahun Pendidikan Terakhir : S1 Pekerjaan : Swasta  perihal meminta bantuan evakuasi ular yang berada dalam kamar mandi beralamat Komp. Benawa Raya Jl. Mina Kel Guntung Manggis Kec. Landasan Ulin. Ular berhasil di evakuasi dan dilepasliarkan. Petugas mengerakan 1 Unit Ops Damk Mobil Hilux Kajama Rescue.</t>
  </si>
  <si>
    <t>Rifai No Telp. 085391054324</t>
  </si>
  <si>
    <t>13.22 s/d 13.56 Wita</t>
  </si>
  <si>
    <t>Menindaklanjuti laporan warga Umur : 18 Tahun Pendidikan Terakhir : SMA Pekerjaan : Swasta No Telp. 082155560298 perihal meminta bantuan evakuasi kunci sepeda motor R2 yang tercebur dalam drainase beralamat Jl. Karang Anyar I Kel. Loktabat Utara Kec. Banjarbaru Utara. Kunci berhasil di evakuasi. Petugas mengerahkan 1 Unit Mobi Hilux Kajama Rescue.</t>
  </si>
  <si>
    <t>Alia Neza</t>
  </si>
  <si>
    <t>Sabtu, 6 September 2025</t>
  </si>
  <si>
    <t>06.30 s/d 07.50 Wita</t>
  </si>
  <si>
    <t>Menindaklanjuti laporan warga Umur : 50 Tahun Pekerjaan : Ibu Rumah Tangga perihal meminta bantuan evakuasi balita terkunci didalam mobil beralamat Jl. Rahayu Komp. Tia Permata Resort Kel. Mentaos Kec. Banjarbaru Utara. Balita dapat diselamatkan dan dikeluarkan dari mobil. Petugas mengerahkan 1 Unit Ops Damkar Mobil Hilux Kajama Rescue.</t>
  </si>
  <si>
    <t>Dwi Tianti No Telp. 082120502449</t>
  </si>
  <si>
    <t>Mobil Terkunci</t>
  </si>
  <si>
    <t>13.49 s/d 15.00 Wita</t>
  </si>
  <si>
    <t>Menindaklanjuti laporan warga Umur : 32 Tahun Pendidikan Terakhir : Mts Pekerjaan : Ibu Rumah Tangga perihal meminta bantuan evakuasi monyet peliharaan yang terlepas dari kandang beralamat Jl. Mistarcokrokusumo  (pumpung) RT. 31 RW. 10 Kel. Sungai Tiung Kec. Cempaka. Monyet berhasil di evakuasi. Petugas mengerahkan 1 Unit Ops Damkar Mobil Hilux Kajama Rescue.</t>
  </si>
  <si>
    <t>Lestariani No Telp. 082254095491</t>
  </si>
  <si>
    <t>Minggu, 7 September 2025</t>
  </si>
  <si>
    <t>07.40 s/d 08.45 Wita</t>
  </si>
  <si>
    <t>Menindaklanjuti laporan warga Umur : 43 Tahun Pendidikan Terakhir : D3 Pekerjaan : Wiraswasta   perihal meminta bantuan evakuasi kucing yang tercebur kedalam sumur beralamat Bubur AS Bandung Jl. Trikora seberang RS Idaman Kel. Guntung Manggis Ke. Landasan Uli. Kucing berhasil di evakuasi. Petugas mengerahkan 1 Unit Ops Damkar Mobil Hilux Kajama Rescue.</t>
  </si>
  <si>
    <t>Nurhayati No Telp. 0853322200711</t>
  </si>
  <si>
    <t>3 orang/1 unit 
1. Budi Adi
2. Muhammad Noor
3. Bambang Arry Arsono</t>
  </si>
  <si>
    <t>13.15 s/d 17.40 Wita</t>
  </si>
  <si>
    <t>Menindaklanjuti laporan  yang meminta bantuan untuk melakukan penyemprotan drainase dan jalan berdebu beralamat Jl. Sagitarius Raya (Kediaman Ibu Walikota Banjarbaru) Kel. Sungai Besar Kec. Banjarbaru Selatan. Penyemprotan berjalan aman dan lancar. Petugas mengerahkan 2 Unit Ops Damkar Truk Tangki 3500 Liter.</t>
  </si>
  <si>
    <t>petugas jaga rumah kediaman Ibu Walikota Banjarbaru an. Kamaruddin No Telp. 081977813229</t>
  </si>
  <si>
    <t>Penyemprotan Drainase</t>
  </si>
  <si>
    <t>Senin, 8 September 2025</t>
  </si>
  <si>
    <t>00.37 s/d 01.20 Wita</t>
  </si>
  <si>
    <t>Menindaklanjuti laporan warga Umur : 28 Tahun Pendidikan Terakhir : SMK Pekerjaan : Teknisi perihal meminta bantuan evakuasi ular di atas plafon beralamat Komp. Bukit Sirkuit Damai RT. 25 RW. 06 Kel. Sungai Ulin Kec. Banjarbaru Utara. Setelah dilakukan pencarian ular tidak berhasil ditemukan. Petugas mengerahkan 1 Unit Ops Damkar Mobil Hilux Kajama Rescue.</t>
  </si>
  <si>
    <t>M. Novan No Telp. 087823329845</t>
  </si>
  <si>
    <t>6 orang/1 unit
1.Ranu Wibowo
2. Imam Kastalani
3. M. Fikri Nisfuadi
4. Budi Adi
5. Muhammad Noor
6. Bambang Arry Arsono</t>
  </si>
  <si>
    <t>16.12 s/d 17.10 Wita</t>
  </si>
  <si>
    <t>Menindadklanjuti laporan warga Umur : 41 Tahun Pekerjaan : Swasta perihal meminta bantuan evakuasi ular yang berada dalam rumah beralamat Jl. Trikora Komp. Wengga Tahap II Kuda Zebra No. 27 RT. 41 RW. 07 Kel. Guntung Manggis Kec. Landasan Ulin. Ular berhasil di evakuasi dan dilepasliarkan. Petugas mengerahkan 1 Unit Ops Damkar Mobil Hilux Kajama Rescue.</t>
  </si>
  <si>
    <t>Yadi No Telp. 085801788818</t>
  </si>
  <si>
    <t>8 orang/1 unit 
1. Nur Hidayah, SE
2. Agus Budianto
3. Ade Susanto
4. Misladin
5. M. Yoppie Wirawan
6. M. Dadang Kurniwan, S.H.</t>
  </si>
  <si>
    <t>Selasa, 9 September 2025</t>
  </si>
  <si>
    <t>08.52 s/d 10.30 Wita</t>
  </si>
  <si>
    <t>Menindaklanjuti laporan warga Umur : 23 Tahun Pendidikan Terakhir : SMA Pekerjaan : ASN  perihal meminta bantuan bunyi suara dari atas plafon yang dikhawatirkan ular beralamat Komp. Pondok Idaman Jl. Galaxi No. 17 RT. 27 RW. 04 Kel. Guntung Manggis Kec. Landasan Ulin. Setelah melakukan pengecekan ular atau hewan tidak ada ditemukan. Petugas mengerahkan 1 Unit Ops Damkar Truk Tangki Kajama 3500 Liter.</t>
  </si>
  <si>
    <t>Bella No Telp. 085755051054</t>
  </si>
  <si>
    <t>5 orang/1 unit
1, Nur Hidayah, SE
2. Budi Adi
3. Muhammad Noor
4. Bambang Arry Arsono
5. M. Dadang Kurniwan, S.H.</t>
  </si>
  <si>
    <t>Rabu, 10 September 2025</t>
  </si>
  <si>
    <t>17.06 s/d 18.00 Wita</t>
  </si>
  <si>
    <t>Menindaklanjuti laporan warga Umur : 22 Tahun Pendidikan Terakhir : SMA Pekerjaan : Swasta perihal meminta bantuan evakuasi kucing yang berada di atas plafon beralamat Jl. Mistarcokrokusumo Toko Bunga Sil Kel. Sungai Besar Kec. Banjarbaru Selatan. Kucing tidak dapat di evakuasi karena hanya induk kucing yang terlihat dan tidak terlihat anak kucing. Maka petugas membuatkan jalur untuk keluar. Petugas mengerahkan 1 Unit Ops Damkar Truk Tangki Kajama 3500 Liter.</t>
  </si>
  <si>
    <t>Aqila No Telp. 083143209056</t>
  </si>
  <si>
    <t>8 orang/1 unit
1. Nur Hidayah, SE
2. Ranu Wibowo
3. Imam Kastalani
4. M. Fikri Nisfuadi
5. Budi Adi
6. Muhammad Noor
7. Bambang Arry Arsono
8. M. Dadang Kurniwan, S.H.</t>
  </si>
  <si>
    <t>Kamis, 11 September 2025</t>
  </si>
  <si>
    <t>Menindaklanjuti laporan warga Umur : 25 Tahun Pendidikan Terakhir : SMA Pekerjaan : Wiraswasta perihal meminta bantuan evakuasi mobil yang mogok beralamat Jl. Trikora depan kantor Dinas Lingkungan Hidup Kota Banjarbaru Kel. Kemuning Kec. Banjarbaru Selatan. Mobil berhasil hidup kembali dengan cara menjumper aki. Petugas mengerahkan 1 Unit Ops Damkar Truk Ton III.</t>
  </si>
  <si>
    <t>Angel No Telp. 0895341615554</t>
  </si>
  <si>
    <t>11.15 s/d 12.10 Wita</t>
  </si>
  <si>
    <t>Menindaklanjuti laporan warga Umur : 45 Tahun Pendidikan Terakhir : SMA Pekerjaan : Ibu Rumah Tangga  perihal meminta bantuan evakuasi ular yang berada di dalam rumah beralamat Komp. Banua Permai Jl. Permai Barat 3 No. 144 RT. 37 RW. 07 Kel. Sungai Besar Kec. Banjarbaru Selatan. Ular berhasil di evakuasi dan dilepasliarkan. Petugas mengerahkan 1 Unit Ops Damkar Mobil Hilux Kajama Rescue.</t>
  </si>
  <si>
    <t>Maya Surti No Telp. 081257046341</t>
  </si>
  <si>
    <t>Jum`at, 12 September 2025</t>
  </si>
  <si>
    <t>Menindaklanjuti laporan warga  Umur : 30 Tahun Pendidikan Terakhir S1 Pekerjaan : Wiraswasta perihal meminta bantuan evakuasi kucing yang tercebur dalam sumur beralamat Komp. Sidomulyo Rasa 3 Blok F8 Kel. Guntung Manggis Kec. Landasan Ulin. Kucing berhasil di evakuasi. Petugas mengerahkan 1 Unit Ops Damkar Mobil Hilux Kajama Rescue.</t>
  </si>
  <si>
    <t>Wasto Utomo No Telp. 081348631663</t>
  </si>
  <si>
    <t>15.19 s/d 16.45 Wita</t>
  </si>
  <si>
    <t>Menindaklanjuti laporan warga Umur : 53 Tahun Pendidikan Terakhir : S1 Pekerjaan : Asn Guru perihal meminta bantuan evakuasi pembersihan pohon tumbang beralamat Jl. Taruna Praja VIII RT. 42 RW. 09 Kel. Loktabat Utara Kec. Banjarbaru Utara. Pohon berhasil dibersihkan. Petugas mengerahkan 1 Unit Ops Damkar Truk Tangki Kajama 3500 Liter.</t>
  </si>
  <si>
    <t>Lestari No Telp. 087715840606</t>
  </si>
  <si>
    <t>Pohon Tumbang</t>
  </si>
  <si>
    <t>Sabtu, 13 September 2025</t>
  </si>
  <si>
    <t>06.17 s/d 07.45 Wita</t>
  </si>
  <si>
    <t>Menindaklanjuti laporan warga Umur : 45 Tahun Pendidikan Terakhir : D3 Pekerjaan : Karyawan Swasta perihal meminta bantuan evakuasi ular yang berada di dapur rumah beralamat Komp. Griya Indah RT. 05 RW. 03 Kel. Guntung Paikat Kec. Banjarbaru Selatan. Ular berhasil di evakuasi dan dilepasliarkan. Petugas mengerahkan 1 Unit Ops Damkar Truk Tangki Kajama 3500 Liter.</t>
  </si>
  <si>
    <t>Syumasleno No Telp. 083163739595</t>
  </si>
  <si>
    <t>4 orang/1 unit
1. Syafrulllah, S.Sos, M.Si
2. Budi Adi
3. Muhammad Noor
4. Bambang Arry Arsono</t>
  </si>
  <si>
    <t>Minggu, 14 September 2025</t>
  </si>
  <si>
    <t>07.44 s/d 08.33 Wita</t>
  </si>
  <si>
    <t>Menindaklanjuti laporan warga Umar Umur : 30 Tahun Pendidikan Terakhir : S1 Pekerjaan : ASN perihal meminta bantuan evakuasi mobil yang masuk kedalam drainase beralamat Komp. Wengga Kuda Tahap I Kel. Guntung Manggis Kec. Landasan Ulin. Mobil berhasil di evakuasi. Petugas mengerahkan 1 Unit Ops Damkar Mobil Hilux Kajama Rescue.</t>
  </si>
  <si>
    <t>Fathul No Telp. 0895341533941</t>
  </si>
  <si>
    <t>19.37 s/d 20.40 Wita</t>
  </si>
  <si>
    <t>Menindaklanjuti laporan warga Umur : 54 Tahun Pendidikan Terakhir : S1 Pekerjaan : Guru perihal meminta bantuan untuk memusnahkan sarang lebah yang bersarang dibawah atap sekolah beralamat Jl. Mistarcokrokusumo RT. 01 RW. 01 (TK Nurul Hasanah) Kel. Sungai Tiung Kec. Cempaka. Sarang berhasil di musnahkan. Petugas mengerahkan 1 Unit Ops Damkar Mobil Hilux Kajama Rescue.</t>
  </si>
  <si>
    <t>Sunariah</t>
  </si>
  <si>
    <t>Senin, 15 September 2025</t>
  </si>
  <si>
    <t>07.35 s/d 08.30 Wita</t>
  </si>
  <si>
    <t>Menindaklanjuti laporan warga Umur : 35 Tahun Pendidikan Terakhir : SMA Pekerjaan : Ibu Rumah Tangga beralamat Jl. Gotong Royong No. 31 RT. 02 RW. 06 Kel. Mentaso Kec. Banjarbaru Utara perihal meminta bantuan evakuasi kucing yang tercebur dalam sumur. Kucing berhasil di evakuasi. Petugas mengerahkan 1 Unit Ops Damkar Mobil Hilux Kajama Rescue.</t>
  </si>
  <si>
    <t>Dina Safitri No Telp. 085348799193</t>
  </si>
  <si>
    <t>14.40 s/d 15.20 Wita</t>
  </si>
  <si>
    <t>menindaklanjuti laporan warga Umur : 34 Tahun Pendidikan Terakhir : S1 Pekerjaan : Wiraswasta perihal meminta bantuan evakuasi ular yang terlihat berada di garasi rumah beralamat Jl. Sungai Sumba RT. 10 RW. 01 No. 13 Kel. Guntung Manggis Kec. Landasan Ulin. Ular berhasil di evakuasi dan dilepasliarkan. Petugas mengerahkan 1 Unit Ops Damkar Mobil Hilux Kajama Rescue.</t>
  </si>
  <si>
    <t>Paulus Sina Koten No Telp. 082350308052</t>
  </si>
  <si>
    <t>Selasa, 16 September 2025</t>
  </si>
  <si>
    <t>Menindaklanjuti laporan warga Umur : 25 Tahun Pendidikan Terakhir : D3 Pekerjaan : Ibu Rumah Tangga perihal meminta bantua evakuasi ular yang terlihat didalam kamar mandi beralamat Jl. Sriwijaya Komp. Sriwijaya Indah I Blok B No. 11 RT. 07 RW. 04 Kel. Landasan Ulin Utara Kec. Liang Anggang. Ular tidak berhasil ditemukan. Petugas mengerahakan 1 Unit Ops Damkar Truk Tangki Kajama 4000 Liter.</t>
  </si>
  <si>
    <t>Risdayanti No Telp. 087816212177</t>
  </si>
  <si>
    <t>13.59 s/d 15.30 Wita</t>
  </si>
  <si>
    <t>Ismi No Telp. 082154625572</t>
  </si>
  <si>
    <t>Menindaklanjuti laporan warga Umur : 19 Tahun Pendidikan Terakhir : SMA Pekerjaan : Mahasiswi perihal meminta bantuan evakuasi ular yang berada di atas gipsum kamar tidur beralamat Jl. A. Yani Komp. Griya Kencana Kel. Landasan Ulin Tengah Kec. Liang Anggang. Ular tidak berhasil ditemukan. Petugas mengererahkan 1 Unit Ops Damkar Truk Ton III.</t>
  </si>
  <si>
    <t>Kamis, 18 September 2025</t>
  </si>
  <si>
    <t>21.20 s/d 22.00 Wita</t>
  </si>
  <si>
    <t>Menindaklanjuti laporan warga Umur : 25 Tahun Pendidikan Terakhir : SMK Pekerjaan : Ibu Rumah Tangga perihal meminta bantuan evakuasi sarang lebah madu yang bersarang dibawah tandon air beralamat Jl. Dukuh Jaya Perum. Cempaka Permai RT. 10 RW. 07 No. B16 Kel. Sungai Ulin Kec. Banjarbaru Utara. Petugas mengerahkan 1 Unit Ops Damkar Truk Tangki Kajama 3500 Liter.</t>
  </si>
  <si>
    <t>Sepriatini No Telp. 082190554452</t>
  </si>
  <si>
    <t>Jum`at, 19 September 2025</t>
  </si>
  <si>
    <t>06.06 s/d 07.15 Wita</t>
  </si>
  <si>
    <t>Menindaklanjuti laporan warga Umur : 21 Tahun Pendidikan Terakhir : SMK Pekerjaan : Manajer Gudang perihal meminta bantuan evakuasi kucing yang tercebur kedalam sumur beralamat Jl. Sungai Salak Komp. Nusantara Griya Permai RT. 49 RW. 05 Kel. Guntung Manggis Kec. Landasan Ulin. Kucing berhasil di evakuasi. Petugas mengerahkan 2 Unit Ops Damkar TRuk Tangki Kajama 3500 Liter.</t>
  </si>
  <si>
    <t>Arya Suryana No Telp. 085124049909</t>
  </si>
  <si>
    <t>7 orang/1 unit
1. Budi Adi
2. Muhammad Noor 
3. Bambang Arry Arsono
4. Agus Budianto
5. Ade Susanto
6. Misladin
7. M. Yoppie Wirawan</t>
  </si>
  <si>
    <t>11.19 s/d 11.55 Wita</t>
  </si>
  <si>
    <t>Menindaklanjuti laporan warga Umur : 25 Tahun Pendidikan Terakhir : SMA Pekerjaan : Driver perihal meminta bantuan evakuasi mobil yang terperosok beralamat Jl. A. Yani Km. 33.4 depan Toko Syihab Kel. Loktabat Utara Kec. Banjarbaru Utara. Mobil berhasil di evakuasi. Petugas mengerahkan 1 Unit Ops Damkar Mobil Hilux Kajama Rescue.</t>
  </si>
  <si>
    <t>Zaini No Telp. 085105555549</t>
  </si>
  <si>
    <t>Sabtu, 20 September 2025</t>
  </si>
  <si>
    <t>Menindaklanjuti laporan warga Umur : 52 Tahun Pendidikan Terakhir : S1 Pekerjaan : PNS perihal meminta bantuan evakuasi ular yang berada dibawah kulkas dapur beralamat Jl. Al Jafri No. 35 RT. 26 RW. 03 Kel. Kemuning Kec. Banjarbaru Selatan. Ular berhasil di evakuasi dan dilepasliarkan. Petugas mengerahkan 1 Unit Ops Damkar Mobil Hilux Kajama Rescue.</t>
  </si>
  <si>
    <t>Ana Elfah No Telp. 081251267328</t>
  </si>
  <si>
    <t>09.53 s/d 10.40 Wita</t>
  </si>
  <si>
    <t>Menindaklanjuti laporan warga Umur : 19 Tahun Pendidikan Terakhir : SMA Pekerjaan : Mahasiswi perihal memnta bantuan evakuasi ular yang berada dikamar beralamat Jl. A. Yani Komp. Griya Kencana Kel. Landasan Ulin Tengah Kec. Liang Anggang. Ular berhasil di evakuasi dan dilepasliarkan petugas mengererahkan 1 Unit Ops Damkar Mobil Hilux Kajama Rescue.</t>
  </si>
  <si>
    <t>Minggu, 21 September 2025</t>
  </si>
  <si>
    <t>05.10 s/d 06.11 Wita</t>
  </si>
  <si>
    <t>Menindaklanjuti laporan warga Umur : 50 Tahun Pendidikan Terakhir : S1 Pekerajaan : Swasta perihal meminta bantuan evakuasi ular yang berada didalam rumah beralamat Jl. Transad Guntung Manggis Blok C RT. 50 RW. 21 Kel. Guntung Manggis Kec. Landasan Ulin. Ular berhasil di evakuasi dan dilepasliarkan. Petugas mengerahkan 1 Unit Ops Damkar Mobil Hilux Kajama Rescue.</t>
  </si>
  <si>
    <t>Heru Suprapto No Telp. 082154625572</t>
  </si>
  <si>
    <t>18.18  s/d 19.02 Wita</t>
  </si>
  <si>
    <t>Menindaklanjuti laporan warga Umur : 26 Tahun Pendidikan Terakhir SMK Pekerjaan : Pramusaji  perihal meminta bantuan evakuasi kucing yang terjebak di atas pohon beralamat depan cafe Kevin Jl. Karang Anyar I RT. 45 RW. 08 Kel. Loktabat Utara Kec. Banjarbaru Utara. Kucing berhasil di evakuasi. Petugas mengerahkan 1 Unit Ops Damkar Truk Tangki Kajama 4000 Liter.</t>
  </si>
  <si>
    <t>Indria No Telp. 087856393208</t>
  </si>
  <si>
    <t>Senin, 22 September 2025</t>
  </si>
  <si>
    <t>06.45 s/d 08.15 Wita</t>
  </si>
  <si>
    <t>Menindaklanjuti laporan warga Umur : 36 Tahun Pendidikan Terakhir : S1 Pekerjaan : Karyawan Swasta perihal meminta bantuan evakuasi ular yang terlihat dalam sumur beralamat Jl. Abadi 3 Perum. Taman Palam Megatama RT. 06 RW. 07 No. 113 Kel. Palam Kec. Cempaka. Ular berhasil di evakuasi dan dilepasliarkan. Petugas mengerahkan 1 Unit Ops Damkar Mobil Hilux Kajama Rescue.</t>
  </si>
  <si>
    <t>M. Khairullah No Telp. 085952700899</t>
  </si>
  <si>
    <t>09.32 s/d 10.30 Wita</t>
  </si>
  <si>
    <t>Menindaklanjuti laporan warga Umur : 53 Tahun Pendidikan Terakhir : SMA Pekerjaan : Swasta perihal meminta bantuan evakuasi ular yang berada di dapur beralamat Jl. Asabri II C.06 RT. 18 RW. 01 Kel. Sungai Ulin Kec. Banjarbaru Utara. Ular berhasil dievakuasi dan dilepasliarkan. Petugas mengerahkan 1 Unit Ops Damkar Mobil Hilux Kajama Rescue.</t>
  </si>
  <si>
    <t>Fahrurazi No Telp. 087736592702</t>
  </si>
  <si>
    <t>Rabu, 24 September 2025</t>
  </si>
  <si>
    <t>Menindaklanjuti laporan warga  Umur : 42 Tahun Pendidikan Terakhir : SMA Pekerjaan : Ibu Rumah Tangga perihal meminta bantuan evakuasi ular yang berada dalam kamar mandi beralamat Jl. Pondok Bambu Komp. Darul Hijrah No. 09 RT. 50 RW. 08 Kel. Loktabat Utara Kec.Banjarbaru Utara. Ular tidak berhasil ditemukan. Petugas megerahkan 1 Unit Ops Damkar Mobil Hilux Kajama Rescue.</t>
  </si>
  <si>
    <t>Lilis Anggraini No Telp. 081348003948</t>
  </si>
  <si>
    <t>09.25 s/d 10.10 Wita</t>
  </si>
  <si>
    <t>Menindaklanjuti laporan warga  Umur : 27 Tahun Pendidikan Terakhir : D3 Pekerjaan : Admin Toko Grosir CCTV perihal meminta bantuan evakuasi orang yang terkunci didalam kamar mandi beralamat Komp. Citra Megah Raya RT. 07 RW. 02 Kel. Loktabat Utara Kec. Banjarbaru Utara. Pintu berhasil dibuka. Petugas mengerahakna 1 Unit Ops Damkar Truk Tangki Kajama 3500 Liter.</t>
  </si>
  <si>
    <t>Norma</t>
  </si>
  <si>
    <t>Orang Terkunci Kamar Mandi</t>
  </si>
  <si>
    <t>6 orang/1 unit
1. Syafrullah, S.Sos, M. Si
2. Nur Hidayah, SE
3. Budi Adi
4. Muhammad Noor
5. Bambang Arrry Arsono
6. M. Dadang Kurniwan, S.H.</t>
  </si>
  <si>
    <t>Jum`at, 26 September 2025</t>
  </si>
  <si>
    <t>00.20 s/d 01.40 Wita</t>
  </si>
  <si>
    <t>Menindaklanjuti laporan warga Umur : 25 Tahun Pendidikan terakhir : SMA Pekerjaan : Wiraswasta perihal emminta bantuan evakuasi ular yang berada dalam kandang ayam beralamat Jl. Kasturi Ujung (kandang ayam dowendra kha farm) Kel. Syamsudin Noor Kec. Landasan Ulin. Ular berhasil di evakuasi dan dilepasliarkan. Petugas mengerahkan 1 Unit Ops Damkar Truk Ton III.</t>
  </si>
  <si>
    <t>Sukranadi No Telp. 083848262400</t>
  </si>
  <si>
    <t>19.37 s/d 18.10 Wita</t>
  </si>
  <si>
    <t>Menindaklanjuti laporan warga Umur : 27 Tahun Pendidikan Terakhir : SMA Pekerjaan : Swasta perihal tentang adanya lebah yang berada di pohon depan rumah beralamat Komp. Bumi Berkah Utama 2 Blok B 6 Kel. Cempaka Kec. Cempaka. Sarang lebeh berhasil dmusnahkan. Petugas mengerahkan 1 Unit Ops Damkar Moobil Hilux Kajama Rescue.</t>
  </si>
  <si>
    <t>Yudi Maulana No Telp. 082149387064</t>
  </si>
  <si>
    <t>Sabtu, 27 September 2025</t>
  </si>
  <si>
    <t>00.00 s/d 01.20 Wita</t>
  </si>
  <si>
    <t>Menindaklanjuti laporan warga Umur : 46 Tahun Pendidikan Terakhir : S1 Pekerjaan : PNS perihal meminta bantuan evakuasi sarang tawon yang berada di atas pohon kantor beralamat Jl. P. Hidayatullah No. 20 Kantor BKSDA Karantina Hewan Kel. Komet Kec. Banjarbaru Utara. Sarang tawon berhasil dimusnahkan. Petugas mengerahkan 1 Unit Ops Damkar Truk Tangki Kajama 3500 Liter.</t>
  </si>
  <si>
    <t>H. Jali No Telp. 081255122789</t>
  </si>
  <si>
    <t>11.35 s/d 12.15 Wita</t>
  </si>
  <si>
    <t>Menindaklanjuti laporan warga Umur : 27 Tahun Pendidikan Terakhir : D3 Pekerjaaan : ASN perihal meminta bantuan evakuasi ular yang terlihat dikendaraan beralamat Jl. Bumi Berkat 8 Komp. Citra Pangestu Dewo 5 RT. 49 RW. 01 No. 32 Kel. Sungai Besar Kec. Banjarbaru Selatan. Ular berhasil di evakuasi dan dilepasliarkan Petugas mengerahkan 1 Unit Ops Damkar Mobil Hilux Kajama Rescue.</t>
  </si>
  <si>
    <t>Indah No Telp. 087876911731</t>
  </si>
  <si>
    <t>6 orang/1 unit
1. Syafrullah, S.Sos, M.Si
2. Nur Hidayah, SE3. Budi Adi
4. Muhammad Noor
5. Bambang Arry Arsono
6. M. Dadang Kurniwan, S.H.</t>
  </si>
  <si>
    <t>Minggu, 28 September 2025</t>
  </si>
  <si>
    <t>Mujianto No Telp. 081227282001</t>
  </si>
  <si>
    <t>Menindaklanjuti laporan warga Umur : 41 Tahun Pendidikan Terakhir : S1 Pekerjaan : Swasta perihal meminta bantuan evakuasi ular yang terlihat dibelakang meja rak TV Beralamat Jl. R.O Ulin RT. 03 RW. 06 Komp. Loktabat Selatan Kec. Banjarbaru Selatan. Ular berhasil di evakuasi dan dilepasliarkan. Petugas mengerahkan 1 Unit Ops Damkar Mobil Hilux Kajama Rescue.</t>
  </si>
  <si>
    <t>17.07 s/d 17.50 Wita</t>
  </si>
  <si>
    <t>Menindaklanjuti laporan warga Umur : 30 Tahun Pendidikan Terakhir : S1 Pekerjaan : ASN PPPK perihal meminta bantuan evakuasi pintu yang terkunci beralamat Komp. Rafanda 4 No. E 10 Kel. Guntung Manggis Kec. Landasan Ulin. Kunci gembok berhasil dibuka. Petugas mengerahkan 1 Unit Ops Damkar Truk Ton III.</t>
  </si>
  <si>
    <t>Ramadian Noor</t>
  </si>
  <si>
    <t>Pintu Terkunci</t>
  </si>
  <si>
    <t>Senin, 29 September 2025</t>
  </si>
  <si>
    <t>05.02 s/d 06.00 Wita</t>
  </si>
  <si>
    <t>Menindaklanjuti laporan warga Umur : 47 Tahun Pendidikan : SMP Pekerjaan : Swasta perihal meminta bantuan evakuasi mobil yang pintunya terkunci beralamat Jl. Kelapa gading Komp. Griya Cahaya Lestari Membangun No. 08 Kel. Sungai Besar Kec. Banjarbaru Selatan. Pintu mobil berhasil dibuka. Petugas mengerahkan 1 Unit Ops Damkar Truk Ton III.</t>
  </si>
  <si>
    <t>Dodi Listiandi</t>
  </si>
  <si>
    <t>11.20 s/d 12.51 Wita</t>
  </si>
  <si>
    <t>Menindaklanjuti lapora warga Umur : 35 Tahun Pendidikan Terakhir : S1 Pekerjaan : Swasta perihal meminta bantuan evakuasi ular yang berada dibawah atap beralamat Jl. Karang Anyar 2 Komp. Griya Pelangi No. 05 RT. 20 RW. 11 Kel. Loktabat Utara Kec. Banjarbaru Utara. Ular berhasil di evakuasi dan dilepasliarkan. Petugas mengerahakn 1 Unit Ops Damkar Mobil Hilux Kajama Rescue.</t>
  </si>
  <si>
    <t>Dwi Hadianto No Telp. 081331971830</t>
  </si>
  <si>
    <t>Selasa, 30 September 2025</t>
  </si>
  <si>
    <t>00.59 s/d 01.45 Wita</t>
  </si>
  <si>
    <t>Menindaklanjuti laporan warga Umur : 18 Tahun Pendidikan Terakhir : SMA Pekerjaan : Pelajar perihal meminta bantuan evakuasi ular yang berada di dapur rumah kost beralamat Jl. Sidomulyo 3 Kel. Landasan Ulin Timur Kec. Landasan Ulin. Ular berhasil di evakuasi dan dilepasliarkan. Petugas mengerahkan 1 Unit Ops Damkar Mobil Hilux Kajama Rescue.</t>
  </si>
  <si>
    <t>Hafid Nuryandi No Telp. 085346822877</t>
  </si>
  <si>
    <t>08.15 s/d 09.00 Wita</t>
  </si>
  <si>
    <t>Menindaklanjuti laporan warga Umur : 36 Tahun Pendidikan Terakhir : S1 Pekerjaan : Karyawan Swasta perihal meminta bantuan evakuasi pagar yang yang tidak bisa dibuka gemboknya beralamat Jl Sriwijaya Komp. Pesona Sriwijaya RT. 07 RW. 01 Kel. Landasan Ulin Utara Kec. Liang Anggang. Pagar berhasil dibuka kembali dengan cara memotong gembok. Petugas mengerahkan 1 Unit Ops Damkar Mobil Hilux Kajama Rescue.</t>
  </si>
  <si>
    <t>Ari Anggara No Telp. 085349795196</t>
  </si>
  <si>
    <t xml:space="preserve">7 orang/1 unit
1. Agus Budianto
2. Ade Susanto
3. Misladin
4. M. Yooppie Wirawan
5. Ranu Wibowo
6. Imam Kastalani
7. M. Fikri Nisfuadi
</t>
  </si>
  <si>
    <t>Kamis, 2 Oktober 2025</t>
  </si>
  <si>
    <t>06.57 s/d 07.50 Wita</t>
  </si>
  <si>
    <t>Menindaklanjuti laporan warga  Umur : 32 Tahun Pendidikan Terakhir : S1 Pekerjaan : Swasta perihal meminta bantuan evakuasi monyet liar yang mengganggu aktifitas warga beralamat Komp. Griya Utama Damar RT. 12 RW. 03 Kel. Syamsudin Noor Kec. Landasan Ulin. Monyet liar tidak berhasil di evakuasi. Petugas mengerahkan 1 Unit Ops Damkar Truk Ton III.</t>
  </si>
  <si>
    <t>Tia No Telp. 082233309505</t>
  </si>
  <si>
    <t>21.16 s/d 22.10 Wita</t>
  </si>
  <si>
    <t>Menindaklanjuti laporan warga Umur : 36 Tahun Pendidikan Terakhir : SMA Pekerjaan : Swasta perihal meminta bantuan evakuasi ular yang berada di bawah atap rumah beralamat Jl. Mistarcokrokusumo Gg. Mulia 2 No. 36 RT. 34 RW. 08 Kel. Cempaka kec. Cempaka. Ular berhasil di evakuasi dan dilepasliarkan. Petugas mengerahkan 1 Unit Ops Damkar Mobil Hilux Kajama Rescue.</t>
  </si>
  <si>
    <t>Rini Safitri No Telp. 087822422422</t>
  </si>
  <si>
    <t>Jum`at, 3 Oktober 2025</t>
  </si>
  <si>
    <t>22.00 s/d 23.15 Wita</t>
  </si>
  <si>
    <t>Menindaklanjuti laporan  warga Umur : 43 Tahun Pendidikan Terakhir : SMA perihal meminta bantuan evakuasi sarang tawon ndas yang berada di lesplang teras samping rumah beralamat Jl. Pondok Mangga (Komp. Antero) RT. 19 RW. 06 Kel. Loktabat Utara Kec. Banjarbaru Utara. Sarang tawon ndas dapat dimusnahkan dengan cara dibakar. Petugas mengerahkan 1 Unit Ops Damkar Truk Tangki Kajama 3500 Liter.</t>
  </si>
  <si>
    <t>Deny Hariyadi No Telp. 085248107711</t>
  </si>
  <si>
    <t>8 orang/1 unit
1. Syafrullah, S.Sos M.Si
2. Budi Adi
3. Muhammad Noor
4. Bambang Arry Arsono
5. Ranu Wibowo
6. Imam Kastalani
7. M. Fikri Nisfuadi
8. M. Dadang Kurniwan, S.H.</t>
  </si>
  <si>
    <t>Sabtu, 4 Oktober 2025</t>
  </si>
  <si>
    <t>Menindaklanjuti laporan warga Umur : 32 Tahun Pendidikan Terakhir : SMA Pekerjaan : Swasta perihal meminta bantuan evakuasi kucing yang tercebur ke dalam sumur beralamat Jl. Gotong Royong 2 RT. 06 RW. 03 Kel. Mentaos Kec. Banjarbaru Utara. Kucing berhasil di evakuasi. Petugas mengerahkan 1 Unit Ops Damkar Mobil Hilux Kajama Rescue.</t>
  </si>
  <si>
    <t>Devi Farahdita No Telp. 085166677649</t>
  </si>
  <si>
    <t>7 orang/1 unit
1. Budi Adi
2. Muhammad Noor
3. Bambang Arry Arsono
4. Agus Budianto
5. Ade Susanto
6. Misladin
7. M. Yoppie Wirawan</t>
  </si>
  <si>
    <t>20.10 s/d 21.20 Wita</t>
  </si>
  <si>
    <t>Menindaklanjuti laporan warga Umur : 20 Tahun Pendidikan Terakhir : SMA Pekerjaan ; Mahasiswi perihal meminta bantuan evakuasi kamera tersembunyi di atas plafon kamar mandi dan kamar tidur pelapor beralamat Jl. Al Jafrie No. 28 RT. 14 RW. 03 Kel. Kemuning Kec. Banjarbaru Selatan. 2 buah kamera berhasil di amankan. Petugas mengerahkan 1 Unit Ops Damkar Mobil Hilux Kajama Rescue.</t>
  </si>
  <si>
    <t>Call Center 112 an. Yanti No Telp. 083822464219</t>
  </si>
  <si>
    <t>Kamera</t>
  </si>
  <si>
    <t>6 orang/1 unit 
1. Syafrullah, S.Sos, M.Si
2. Nur Hidayah, SE
3. Ranu Wibowo
4. Imam Kastalani
5. M. Fikri Nisfuadi
6. M. Dadang Kurniwan, S.H.</t>
  </si>
  <si>
    <t>Minggu, 5 Oktober 2025</t>
  </si>
  <si>
    <t>15.51 s/d 18.27 Wita</t>
  </si>
  <si>
    <t>Menindaklanjuti laporan warga Umur : 33 Tahun Pendidikan Terakhir : Sarjana Pekerjaan : ASN perihal meminta bantuan evakuasi mesin air yang jatuh kedalam sumur beralamat Jl. Pondok Bambu RT. 19 RW. 06 Kel. Loktabat Utara Kec. Banjarbaru Utara. Mesin air berhasil di evakuasi. Petugas mengerahkan 1 Unit Ops Damkar Truk Ton III.</t>
  </si>
  <si>
    <t>Iqbal Rizki Pangestu No Telp. 08115139720</t>
  </si>
  <si>
    <t>Mesin Air</t>
  </si>
  <si>
    <t>Senin, 6 Oktober 2025</t>
  </si>
  <si>
    <t>Menindaklanjuti laporan warga Umur : 18 Tahun Pendidikan Terakhir : SMA Pekerjaan : Pelajar perihal meminta bantuan evakuasi anjing liar yang masuk dalam sumur Jl. Gatah Tunggal Komp. Bumi Indah Permai Residance RT. 047 RW. 002 Kel. Cempaka Kec. Cempaka. Anjing berhasil di evakuasi. Petugas mengerahkan 1 Unit Ops Damkar Mobil Hilux Kajama Rescue.</t>
  </si>
  <si>
    <t>Muhammad Sahri No Telp. 083834966882</t>
  </si>
  <si>
    <t>7 orang/1 unit
1. Agus Budianto
2. Ade Susanto
3. &lt;isladin
4. M. Yoppie Wirawan
5. Ranu Wibowo
6. Imam Kastalani
7. M. Fikri Nisfuadi</t>
  </si>
  <si>
    <t>13.05 s/d 14.05 Wita</t>
  </si>
  <si>
    <t>Menindaklanjuti laporan warga Umur : 43 Tahun Pendidikan Terakhir : SMA perihal meminta bantuan evakuasi ular yang terlihat didalam kamar mandi beralamat Jl. Karang Anyar 2 Perumahan Pondok Huni Bunda II RT. 19 RW. 18 Blok A No. 05 Kel. Loktabat Utara Kec. Banjarbaru Utara. Ular tidak berhasil ditemukan. Petugas mengerahkan 1 Unit Ops Damkar Mobil Hilux Kajama Rescue.</t>
  </si>
  <si>
    <t>an. M. Zainuddin No Telp. 081214160558</t>
  </si>
  <si>
    <t>Selasa, 7 Oktober 2025</t>
  </si>
  <si>
    <t>00.05 s/d 01.10 Wita</t>
  </si>
  <si>
    <t>Menindaklanjuti laporan warga Umur : 16 Tahun Pekerjaan : Pelajar perihal meminta bantuan evakuasi pintu mobil yang terkunci dari dalam beralamat Jl. Panglima Batur Depan Kantor Kementerian Agama Kota Banjarbaru Kel. Mentaos Kec. Banjarbaru Utara. Pintu mobil berhasil dibuka. Petugas mengerahkan 1 Unit Ops Damkar Mobil Hilux Kajama Rescue.</t>
  </si>
  <si>
    <t>M. Hafiz Alkausar No Telp. 083152817451</t>
  </si>
  <si>
    <t>11.04 s/d 12.00 Wita</t>
  </si>
  <si>
    <t>Menindaklanjuti laporan warga Umur : 43 Tahun Pendidikan Terakhir : S1 Pekerjaan : ASN perihal meminta bantuan evakuasi ular yang terlihat di warung beralamat Jl. Pelita No. 08 RT. 01 RW. 01 Kel. Mentaos Kec. Banjarbaru Utara. Ular tidak berhasil ditemukan. Petugas mengerahkan 1 Unit Ops Damkar Mobil Hilux Kajama Rescue.</t>
  </si>
  <si>
    <t>Ahmad Effendy No Telp. 08115129071</t>
  </si>
  <si>
    <t>Rabu, 8 Oktober 2025</t>
  </si>
  <si>
    <t>06.50 s/d 07.40 Wita</t>
  </si>
  <si>
    <t>Menindaklanjuti laporan warga Umur : 29 Tahun Pendidikan Terakhir : S1 Pekerjaan : Honorer perihal meminta bantuan evakuasi kucing yang berada di sela-sela pagar beralamat Jl. Mistarcokrokusumo RT. 40 RW. 11 Kel. Cempaka Kec. Cempaka. Kucing berhasil di evakuasi. Petugas mengerahkan 1 Unit Ops Damkar Mobil Hilux Kajama Rescue.</t>
  </si>
  <si>
    <t>Dita No Telp. 081350514060</t>
  </si>
  <si>
    <t>Kamis, 9 Oktober 2025</t>
  </si>
  <si>
    <t>05.25 s/d 06.15 Wita</t>
  </si>
  <si>
    <t>Renaldi No Telp. 082255575666</t>
  </si>
  <si>
    <t>Menindaklanjuti laporan warga Umur : 33 Tahun Pendidikan : Sarjana Pekerjaan : Swasta perihal tentang adanya ular yang berada di area belakang rumah beralamat Jl. Jafrie Zam-Zam II Komp. Griya Kemuning Indah Kel. Kemuning Kec. Banjarbaru Selatan. Ular berhasil di evakuasi dan dilepasliarkan. Petugas mengerahkan 1 Unit Ops Damkar Mobil Hilux Kajama Rescue.</t>
  </si>
  <si>
    <t>19.26 s/d 19.55 Wita</t>
  </si>
  <si>
    <t>Menindaklanjuti laporan wargai Umur : 52 Tahun Pendidikan : S1 Pekerjaan : Guru TK perihal meminta bantuan evakuasi ular yang terlihat di ruang tengah tempat buku beralamat Jl. Pandawa Komp. Bukit Lestari RT. 03 RW. 05 No. 29 Kel. Guntung Paikat Kec. Banjarbaru Selatan. Ular berhasil di evakuasi dan dilepasliarkan. Petugas mengerahkan 1 Unit Ops Damkar Mobil Hilux Kajama Rescue.</t>
  </si>
  <si>
    <t>Diah Farida Juliant No Telp. 08190786388</t>
  </si>
  <si>
    <t>Jum`at, 10 Oktober 2025</t>
  </si>
  <si>
    <t>06.00 s/d 07.30 Wita</t>
  </si>
  <si>
    <t>Menindaklanjuti laporan pegawai Imigrasi Umur : 38 Tahun Pendidikan : S2 Pekerjaan : ASN Imigrasi perihal meminta bantuan evakuasi ular yang terlihat di atas gelagar dapur beralamat Rumah Dinas Karyawan Kantor Imigrasi Jl. A. Yani Km. 22 Kel. Landasan Ulin Tengah Kec. Liang Anggang. Ular tidak berhasil ditemukan. Petugas mengerahka 1 Unit Ops Damkar Mobil Hilux Kajama Rescue.</t>
  </si>
  <si>
    <t>Candra Wijaya No Telp. 087886111600</t>
  </si>
  <si>
    <t>Sabtu, 11 Oktober 2025</t>
  </si>
  <si>
    <t>00.30 s/d 02.30 Wita</t>
  </si>
  <si>
    <t>Menindaklanjuti laporan warga Umur : 57 Tahun Pekerjaan : ASN perihal meminta bantuan evakuasi pohon tumbang yang menghalangi ke jalan beralamat Jl. Karamunting RT. 04 RW. 02 Kel. Guntung Paikat Kec. Banjarbaru Selatan. Pohon berhasil di evakuasi. Petugas mengerahkan 1 Unit Ops Damkar Mobil Hilux Kajama Rescue.</t>
  </si>
  <si>
    <t>an. Asriadi (Ketua RT) No Telp. 085248439894</t>
  </si>
  <si>
    <t>13.55 s/d 14.35 Wita</t>
  </si>
  <si>
    <t>Menindaklanjuti laporan watga Umur : 45 Tahun Pendidikan : S1 Pekerjaan : Swasta perihal meminta bantuan evakuasi ular yang terlihat di dapur beralamat Jl. Transad Komp. Danau Seran Indah Permai 2 Blok No. 06 RT. 22 RW; 03 Kel. Guntung Manggis Kec. Landasan Ulin. Ular berhasil di evakuasi dan dilepasliarkan. Petugas mengerahkan 1 Unit Ops Damkar Mobil Hilux Kajama Rescue.</t>
  </si>
  <si>
    <t>Oci No Telp. 082256045754</t>
  </si>
  <si>
    <t>Minggu, 12 Oktober 2025</t>
  </si>
  <si>
    <t>06.30 s/d 07.40 Wita</t>
  </si>
  <si>
    <t>Menindaklanjuti laporan warga Umur : 52 Tahun Pendidikan : S1 Pekerjaan : Swasta perihal meminta bantuan evakuasi ular di kamar beralamat Komp. Mekatama Raya III No N 2 RT. 38 RW. 04 Kel. Guntung Manggis Kec. Landasan Ulin. Ular berhasil di evakuasi dan dilepasliarkan. Petugas mengerahkan 1 Unit Ops Damkar Mobil Hilux Kajama Rescue.</t>
  </si>
  <si>
    <t>Ferry Iskandar No Telp. 082151850809</t>
  </si>
  <si>
    <t>19.08 s/d 20.15 Wita</t>
  </si>
  <si>
    <t>Menindaklanjuti laporan warga Umur : 31 Tahun Pendidikan : S1 Pekerjaan : IRT perihal meminta bantuan evakuasi ular yang terlihat di ruang atamu beralamat Jl. Pondok Mangga Gg. Wisnu RT. 19 RW. 08 Kel. Loktabat Utara Kec. Banjarbaru Utara. Ular berhasil di evakuasi dan dilepasliarkan. Petugas mngerahkan 1 Unit Ops Damkar Mobil Hilux Kajama Rescue.</t>
  </si>
  <si>
    <t>Putri Amelia No Telp. 082251297212</t>
  </si>
  <si>
    <t>Senin, 13 Oktober 2025</t>
  </si>
  <si>
    <t>00.40 s/d 01.15 Wita</t>
  </si>
  <si>
    <t>Menindaklanjuti laporan warga Numur : 37 Tahun Pendidikan : SMP Pekerjaan : Driver perihal meminta bantuan evakuasi ular yang terlihat di dapur beralamat Jl. Gotong Royong RT. 03 RW. 02 No. 08 Kel. Loktabat Selatan Kec. Banjarbaru Selatan. Ular berhasil di evakuasi dan dilepasliarkan. Petugas mengerahkan 1 Unit Ops Damkar Mobil Hilux Kajama Rescue.</t>
  </si>
  <si>
    <t>Abdurahman No Telp. 085248684464</t>
  </si>
  <si>
    <t>21.06 s/d 22.30 Wita</t>
  </si>
  <si>
    <t>Menindaklanjuti laporan warga Umur : 47 Tahun Pendidikan : SMA Pekerjaan : ASN  perihal meminta bantuan evakuasi sarang tawon ndas dibawah atap plafon rumah beralamat Komp. Guntung Harapan Mas Jl. Harapan IV RT. 34 RW. 05 Kel. Guntung Manggis Kec. Landasan Ulin. Sarang Tawon berhasil dimusnahkan dengan cara dibakar. Petugas mengerahkan 1 Unit Ops Damkar Mobil Hilux Kajama Rescue.</t>
  </si>
  <si>
    <t>Aji No Telp. 081545939825</t>
  </si>
  <si>
    <t>Selasa, 14 Oktober 2025</t>
  </si>
  <si>
    <t>07.43 s/d 08.40 Wita</t>
  </si>
  <si>
    <t>Menindaklanjuti laporan warga Umur : 33 Tahun Pendidikan : S1 Pekerjaan IRT perihal meminta bantuan evakuasi pintu rumah yang terkunci dari dalam beralamat Komp. Balitra Jaya Permai RT. 01 RW. 08 Kel. Loktabat Utara Kec. Banjarbaru Utara. Pintu berhasil dibuka kembali. Petugas mengerahkan 1 Unit Ops Damkar Mobil Hilux Kajama Rescue.</t>
  </si>
  <si>
    <t>Marta No Telp. 085213139979</t>
  </si>
  <si>
    <t>15.24 s/d 16.35 Wita</t>
  </si>
  <si>
    <t>Menindaklanjuti laporan warga Umur : 49 Tahun Pendidikan : S2 Pekerjaan : ASN perihal tentang adanya monyet liar yang meresahkan warga dam mengganggu anak kecil beralamat Jl. Mentaos Raya Gg. Damai RT. 03 Kel. Mentaos Kec. Banjarbaru Utara. Monyet liar tidak berhasil di evakuasi. Petugas mengerahkan 1 Unit Ops Damkar Mobil Hilux Kajama Rescue.</t>
  </si>
  <si>
    <t>Syafrullah</t>
  </si>
  <si>
    <t>Rabu, 15 Oktober 2025</t>
  </si>
  <si>
    <t>07.10 s/d 07.55 Wita</t>
  </si>
  <si>
    <t>Menindaklanjuti laporan warga Umur : 33 Tahun Pendidikan : S1 Pekerjaan : Swasta perihal meminta bantuan evakuasi ular yang terlihat di dapur beralamat Komp. Kelapa Gading Asri No. 17 RT. 03 RW. 01 Kel. Sungai Besar Kec. Banjarbaru Selatan. Ular tidak berhasil ditemukan. Petugas mengerahkan 1 Unit Ops Damkar Mobil Hilux Kajama Rescue.</t>
  </si>
  <si>
    <t>Andik Purwanto No Telp. 085332624613</t>
  </si>
  <si>
    <t>14.40 s/d 15.10 Wita</t>
  </si>
  <si>
    <t>Menindaklanjuti laporan warga Umur : 27 Tahun Pendidikan : S1 Pekerjaan : ASN  perihal meminta bantuan evakuasi pintu kamar tidur yang terkunci dari dalam beralamat Komp. Ar Raudah Cluster Benawa Raya RT. 48 RW. 03 Blok C No. 07 Kel. Guntung Manggis Kec. Landasan Ulin. Pintu berhasil dibuka kembali. Petugas mengerahkan 1 Unit Ops Damkar Mobil Hilux Kajama Rescue.</t>
  </si>
  <si>
    <t>Devina No Telp. 083142424111</t>
  </si>
  <si>
    <t>Kamis, 16 Oktober 2025</t>
  </si>
  <si>
    <t>00.24 s/d 01.15 Wita</t>
  </si>
  <si>
    <t>Menindaklanjuti laporan warga Umur : 30 Tahun Pendidikan : SMP Pekerjaan : Wiraswasta perihal meminta bantuan evakuasi mobil yang mogok beralamat Jl. A. Yani Bundaran Syamsudin Noor Kel. Syamsudin Noor Kec. Landasan Ulin. Mobil berhasil hidup kembali dengan cara di jumper aki. Petugas mengerahkan 1 Unit Ops Damkar Truk Tangki Kajama 3500 Liter.</t>
  </si>
  <si>
    <t>Muhammad Zeen No Telp. 08315092501</t>
  </si>
  <si>
    <t>7 orang/1 unit
1. Budi
2. Muhammad Noor
3. Bambang Arry Arsono
4. Agus Budianto
5. Ade Susanto
6. Misladin
7. M. Yoppie Wirawan</t>
  </si>
  <si>
    <t>11.13 s/d 12.00 Wita</t>
  </si>
  <si>
    <t>Menindaklanjuti laporan warga Umur : 45 Tahun Pendidikan : S1 Pekerjaan : Guru perihal meminta bantuan evakuasi ular yang berada didalam kandang ayam beralamat Jl. Simpang Pinus No. 32 RT. 03 RW. 05 Kel. Mentaos Kec. Banjarbaru Utara. Ular berhasil di evakuasi dan dilepasliarkan. Petugas mengerahkan 1 Unit Ops Damkar Mobil Hilux Kajama Rescue.</t>
  </si>
  <si>
    <t>Yayu No Telp. 082157384817</t>
  </si>
  <si>
    <t>6 orang/1 unit
1. Syafrullah, S.Sos, M.Si
2. Nur Hidayah SE
3. Ranu Wibowo
4. Imam Kastalani
5. M. Fikri Nisfuadi
6. M. Dadang Kurniwan, S.H.</t>
  </si>
  <si>
    <t>Jum`at, 17 Oktober 2025</t>
  </si>
  <si>
    <t>Menindaklanjuti laporan warga Umur : 21 Tahun Pendidikan SMK Pekerjaan : Polri perihal meminta bantuan evakuasi mobil yang mogok beralamat Jl. A. Yani Km. 33.2 Depan SPBU Jembatan Kembar Loktabat Kel. Loktabat Utara Kec. Banjarbaru Utara. Mobil berhasil hidup kembali. Petugas mengerahkan 1 Unit Ops Damkar Truk Ton III.</t>
  </si>
  <si>
    <t>Yoga No Telp. 082159084982</t>
  </si>
  <si>
    <t>17.14 s/d 17.55 Wita</t>
  </si>
  <si>
    <t>Menindaklanjuti laporan warga Umur : 42 Tahun Pendidikan : S1 Pekerjaan : Swasta perihal meminta bantuan evakuasi pohon tumbang yang menghalangi jalan beralamat Jl. Angkasa RT. 05 Kel. Syamsudin Noor Kec. Landasan Ulin. Pohon berhasil di evakuasi. Petugas mengerahkan 1 Unit Ops Damkar Mobil Hilux Kajama Rescue.</t>
  </si>
  <si>
    <t>Muhammad Dana No Telp. 081294956857</t>
  </si>
  <si>
    <t>Sabtu, 18 Oktober 2025</t>
  </si>
  <si>
    <t>07.11 s/d 09.19 Wita</t>
  </si>
  <si>
    <t>Menindaklanjuti laporan warga Umur : 56 Tahun Pendidikan : SMA Pekerjaan : IRT perihal meminta bantuan evakuasi pohon tumbang yang mengenai rumah beralamat Jl. Purnawirawan RT. 05 RW. 04 Kel. Palam Kec. Cempaka. Pohon tumbang berhasil di evakuasi, Petugas mengerahkan 1 Unit Ops Damkar Mobil Hilux Kajama Rescue.</t>
  </si>
  <si>
    <t>Fatimah No Telp. 082236248195</t>
  </si>
  <si>
    <t>15.14 s/d 16.00 Wita</t>
  </si>
  <si>
    <t>Menindaklanjuti laporan warga Umur : 28 Tahun Pendidikan : SMA Pekerjaan : Wiraswasta perihal meminta bantuan evakuasi cincin yang tidak bisa dilepas beralamat Jl. Sungai Sumba No. 08 RT. 09 RW. 01 Kel. Guntung Manggis Kec. Landasan Ulin. Cincin berhasil di lepas. Petugas mengerahkan 1 Unit Ops Damkar Mobil Hilux Kajama Rescue.</t>
  </si>
  <si>
    <t>Muhammad Said (Rahman) No Telp. 085651480870</t>
  </si>
  <si>
    <t>Minggu, 19 Oktober 2025</t>
  </si>
  <si>
    <t>Menindaklanjuti laporan warga Umur : 23 Tahun Pendidikan : SMA Pekerjaan : Wiraswasta perihal meminta bantuan evakuasi monyet liar beralamat Komp. Griya Damar Asri RT. 12 RW. 03 Kel. Guntung Payung Kec. Landasan Ulin. Monyet berhasil di evakuasi dan dilepasliarkan. Petugas mengerahkan 1 Unit Ops Damkar Mobil Hilux Kajama Rescue.</t>
  </si>
  <si>
    <t>Sendik Arkha No Telp. 081345545376</t>
  </si>
  <si>
    <t>10.09 s/d 11.40 Wita</t>
  </si>
  <si>
    <t>Menindaklanjuti laporan warga Umur :27 Tahun Pendidikan : S1 Pekerjaan : IRT perihal meminta bantuan evakuasi ular yang terlihat ditumpukan ban halaman belakang rumah beralamat Jl. Simpatik Tegal Arum Komp. Bandaran Residence RT. 44 RW. 09 Kel. Syamsudin Noor Kec. Landasan Ulin. Ular tidak berhasil ditemukan. Petugas mengerahkan 1 Unit Ops Damkar Mobil Hilux Kajama Rescue.</t>
  </si>
  <si>
    <t>Mazidan No Telp. 085754753181</t>
  </si>
  <si>
    <t>Selasa, 21 Oktober 2025</t>
  </si>
  <si>
    <t>01.15 s/d 02.10 Wita</t>
  </si>
  <si>
    <t>Menindaklanjuti laporan warga Umur : 45 Tahun Pendidikan : S1 Pekerjaan ; ASN perihal meminta bantuan evakuasi ular yang barada disamping rumah beralamat Jl. Semarang No. 130 RT. 02 RW. 03 Kel. Loktabat Selatan Kec. Banjarbaru Selatan. Ular berhasil di evakuasi dan dilepasliarkan. Petugas mengerahkan 1 Unit Ops Damkar Mobil Hilux Kajama Rescue.</t>
  </si>
  <si>
    <t>Roby Suryandi No Telp. 085930914793</t>
  </si>
  <si>
    <t>6 orang/1 unit
1. Agus Budianto
2. Ade Susanto
3. M. Yoppie Wirawan
4. Ranu Wibowo
5. Imam Kastalani
6. M. Fikri Nisfuadi</t>
  </si>
  <si>
    <t>11.56 s/d 12.30 Wita</t>
  </si>
  <si>
    <t>Menindaklanjuti laporan warga Umur : 48 Tahun Pendidikan : S1 Pekerjaan : Wiraswasta perihal meminta bantuan evakuasi ular yang terlihat di teras rumah beralamat Komp. Pinus Indah No. 52 RT. 02 RW. 03 Kel. Mentaos Kec. Banjarbaru Utara. Ular berhasil di evakuasi dan dilepasliarkan. Petugas mengerahkan 1 Unit Ops Damkar Truk Tangki Kajama 100 Liter.</t>
  </si>
  <si>
    <t>Muhammad Wahyu No Telp. 081250504226</t>
  </si>
  <si>
    <t>51 orang/1 unit
1. Syafrullah, S.Sos, M.Si
2. Nur Hidayah, SE
3. Budi Adi
4. Muhammad Noor
5. Bambang Arry Arsono
6. M. Dadang Kurniwan, S.H.</t>
  </si>
  <si>
    <t>Rabu, 22 Oktober 2025</t>
  </si>
  <si>
    <t>20.30 s/d 21.40 Wita</t>
  </si>
  <si>
    <t>Menindaklanjuti laporan warga Umur : 33 Tahun Pendidikan : SMP Pekerjaan : IRT perihal meminta bantuan evakuasi sarang tawon ndas yang berada dibawah atap rumah beralamat Jl. Sukamaju Ujung No. 16 RT.04 RW. 11 Kel. Landasan Ulin Utara Kec. Liang Anggang. Sarang tawon ndas berhasil dimusnahkan. Petugas mengerahkan 1 Unit Ops Damkar Truk Tangki Kajama 1000 Liter.</t>
  </si>
  <si>
    <t>an. Vici No Telp. 083861480370</t>
  </si>
  <si>
    <t>8 orang/1 unit
1. Syafrullah, S.Sos, M.Si
2. Ranu Wibowo
3. Imam Kastalani
4. M. Fikri Nisfuadi
5. Agus Budianto
6. M. Yoppie Wirawan</t>
  </si>
  <si>
    <t>Kamis, 23 Oktober 2025</t>
  </si>
  <si>
    <t>Menindaklanjuti laporan warga Umur : 43 Tahun Pendidikan : SMA Pekerjaan : Swasta perihal meminta bantuan evakuasi ular yang terlihat ditumpukan air mineral beralamat Jl. Bumi Berkat V Komp. Villa Idaman I Blok E No. 02 RT. 02 RW. 02 Kel. Sungai Besar Kec. Banjarbaru Selatan. Ular berhasil di evakuasi dan dilepasliarkan. Petugas mengerahkan 1 Unit Ops Damkar Truk Tangki Kajama 1000 Liter.</t>
  </si>
  <si>
    <t>an. Akbar No Telp. 081342322707</t>
  </si>
  <si>
    <t>08.23 s/d 08.50 Wita</t>
  </si>
  <si>
    <t>Menindaklanjuti laporan warga  Umur : 30 Tahun Pendidikan : SMA Pekerjaan : IRT  perihal meminta bantuan evakuasi ular yang berada didalam rumah beralamat Jl. Guntung Pinang RT. 024 RW. 005 Kel. Kemuning Kec. Banjarbaru Selatan. Ular berhasil di evakuasi dan dilepasliarkan. Petugas mengerahkan 1 Unit Ops Damkar Mobil Hilux Kajama Rescue.</t>
  </si>
  <si>
    <t>an. Elli No Telp. 083844863337</t>
  </si>
  <si>
    <t>Jum`at, 24 Oktober 2025</t>
  </si>
  <si>
    <t>Menindaklanjuti laporan warga  Umur : 26 Tahun Pendidikan : SMA Pekerjaan : Swasta  perihal meminta bantuan evakuasi ular yang terlihat dipekarangan rumah beralamat Jl. Swakarsa No. 05 RT. 19 RW.  005 Kel. Sungai Ulin Kec. Banjarbaru Utara. Ular tidak berhasil ditemukan. Petugas mengerahkan 1 Unit Ops Damkar Mobil Hilux Kajama Rescue.</t>
  </si>
  <si>
    <t>Ricky Alfian No Telp. 087850289247</t>
  </si>
  <si>
    <t>13.20 s/d 14.00 Wita</t>
  </si>
  <si>
    <t>Menindaklanjuti laporan warga Umur : 43 Tahun Pendidikan : SMA Pekerjaan : Swasta perihal meminta bantuan evakuasi ular yang terlihat di gudang rumah beralamat Jl. Al Jafrie Permai RT. 013 RW. 003 No. 11 Kel. Kemuning Kec. Banjarbaru Selatan. Ular berhasil di evakuasi dan dilepasliarkan. Petugas mengerahkan 1 Unit Ops Damkar Mobil Hilux Kajama Rescue.</t>
  </si>
  <si>
    <t>an. Hipni No Telp. 085389020942</t>
  </si>
  <si>
    <t>Sabtu, 25 Oktober 2025</t>
  </si>
  <si>
    <t>07.15 s/d 07.55 Wita</t>
  </si>
  <si>
    <t>an. Abdul Mubin No Telp. 082247956266</t>
  </si>
  <si>
    <t>Menindaklanjuti laporan warga Umur : 36 Tahun Pendidikan : SMA Pekerjaan : Wiraswasta perihal meminta bantuan evakuasi ular yang terlihat di dalam sumur beralamat Jl. Abadi Makmur Guntung Keminting RT. 05 RW. 04 Blok G No. 53 Kel. Loktabat Selatan Kec. Banjarbaru Selatan. Ular tidak berhasil ditemukan. Petugas mengerahkan 1 Unit Ops Damkar Mobil Hilux Kajama Rescue.</t>
  </si>
  <si>
    <t>20.04 s/d 21.40 Wita</t>
  </si>
  <si>
    <t>Menindaklanjuti laporan warga Umur : 46 Tahun Pendidikan : S1 Pekerjaan : Swasta perihal meminta bantuan evakuasi sarang tawon ndas di depan rumah pelapor beralamat Jl. Subur Makmur 2 Perum Assalam Mini Clauster No. A3 RT. 09 Kel. Landasan Ulin Utara Kec. Liang Anggang. Sarang Tawon berhasil dimusnahkan denga cara dibakar. Petugas mengerahkan 1 Unit Ops Damkar Truk Tangki Kajama 3500 Liter.</t>
  </si>
  <si>
    <t>Danang Aji No Telp. 08115920297</t>
  </si>
  <si>
    <t>Minggu, 26 Oktober 2025</t>
  </si>
  <si>
    <t>Menindaklanjuti laporan warga Umur : 26 Tahun Pendidikan : S1 Pekerjaan : Swasta perihal meminta bantuan evakuasi ular yang terlihat di dapur beralamat Jl. Ambulung RT. 023 RW. 005 Kel. Kemuning Kec. Banjarbaru Selatan. Ular Tidak berhasil ditemukan. Petugas mengerahkan 1 Unit Ops Damkar Truk Tangki Kajama 1000 Liter.</t>
  </si>
  <si>
    <t>Siti Yuniarti No Telp. 085820421358</t>
  </si>
  <si>
    <t>18.06 s/d 18.50 Wita</t>
  </si>
  <si>
    <t>Menindaklanjuti laporan warga Umur : 24 Tahun Pendidikan : SMA Pekerjaan : Swasta perihal meminta bantuan evakuasi anak yang terkunci di dalam mobil beralmat Jl. Mistarcokrokusumo (depan Komp. Bumi Cahaya Bintang) Kel. Sungai Besar Kec. Banjarbaru Selatan. Mobil berhasil dibuka dan anak berhasil diselamatkan. Petugas mengerahkan 1 Unit Ops Damkar Truk Tangki Kajama 1000 Liter.</t>
  </si>
  <si>
    <t>M. Deny Riko No Telp. 085246836846</t>
  </si>
  <si>
    <t>6 orang/1 unit
1. Syafrullah, S.Sos, M.Si
2. Agus Budianto
3. Ade Susanto
4. Misladin
5. M. Yoppie Wirawan
6. M. Dadang Kurniwan, S.H.</t>
  </si>
  <si>
    <t>Senin, 27 Oktober 2025</t>
  </si>
  <si>
    <t>06.35 s/d 07.50 Wita</t>
  </si>
  <si>
    <t>Menindaklanjuti laporan warga Umur : 52 Tahun Pendidikan : S1 Pekerjaan : Swasta perihal meminta bantuan evakuasi biawak yang masuk ke dalam rumah beralamat Jl. Gotong Royong No. 10 RT. 02 RW. 06 Kel. Mentaos Kec. Banjarbaru Utara. Biawak berhasil di evakuasi dan dilepasliarkan. Petugas mengerahkan 1 Unit Ops Damkar Mobil Hilux Kajama Rescue.</t>
  </si>
  <si>
    <t>Erwan Permana No Telp. 082195900917</t>
  </si>
  <si>
    <t>7 orang/1 unit
1. Agus Budianto
2. Ade Susanto
3. Misladin
4. M. Yoppie Wirawan
5. Ranu Wibowo
6. Imam Kastalani
7. M. Fikri Nisfuadi</t>
  </si>
  <si>
    <t>22.00 s/d 23.00 Wita</t>
  </si>
  <si>
    <t xml:space="preserve">Menindaklanjuti laporan warga Umur : 35 Tahun Pendidikan : S1 Pekerjaan : ASN  perihal meminta bantuan evakuasi tawon ndas yang ada di atas teras depan rumah beralamat Jl. Pandu RT. 12 RW.03 No. 11 Kel. Kemuning Kec. Banjarbaru Selatan. Sarang tawon ndas berhasil dimusnahkan dengan cara dibakar. Petugas mengerahkan 1 Unit Ops Damkar Mobil Hilux Kajama Rescue. </t>
  </si>
  <si>
    <t>Willy Rahman No Telp. 0896925465556</t>
  </si>
  <si>
    <t>Selasa, 28 Oktober 2025</t>
  </si>
  <si>
    <t>00.30 s/d 01.10 Wita</t>
  </si>
  <si>
    <t>Menindaklanjuti laporan warga Umur : 58 Tahun Pendidikan : SMA Pekerjaan : Pensiunan perihal meminta bantuan evakuasi ular yang berada di dalam kandang ayam beralamat Jl. A. Yani Km. 31.5 RT. 01 RW. 01 Kel. Guntung Manggis Kec. Landasan Ulin. Ular berhasil di evakuasi dan dilepasliarkan. Petugas mengerahkan 1 Unit Ops Damkar Mobil Hilux Kajama Rescue.</t>
  </si>
  <si>
    <t>Budiono No Telp. 08121051663</t>
  </si>
  <si>
    <t>2 orang/1 unit
1. Budi Adi
2. Bambang Arry Arsono</t>
  </si>
  <si>
    <t>14.44 s/d 16.50 Wita</t>
  </si>
  <si>
    <t>Menindaklanjuti laporan warga Umur : 60 Tahun Pendidikan : S3 Pekerjaan : Pensiunan PNS perihal meminta bantuan evakuasi mobil yang terperosok beralamat Jl. Tegal Arum Kel. Syamsudin Noor Kec. Landasan Ulin. Mobil berhasil di evakuasi. Petugas mengerahkan 1 Unit Ops Damkar Mobil Hilux Kajama Rescue.</t>
  </si>
  <si>
    <t>H. Said Abdullah No Telp. 083141409699</t>
  </si>
  <si>
    <t>8 orang/1 unit
1. Syafrullah, S.Sos, M.Si
2. Nur Hidayah, SE
3. Ranu Wibowo
4. Imam Kastalani
5. Agus Budianto
6. Ade Susato
7. Misladin
8. M Yoppie Wirawan</t>
  </si>
  <si>
    <t>Rabu, 29 Oktober 2025</t>
  </si>
  <si>
    <t>05.24 s/d 07.15 Wita</t>
  </si>
  <si>
    <t>Husni No Telp. 081355630837</t>
  </si>
  <si>
    <t>Menindaklanjuti laporan warga Umur : 22 Tahun Pendidikan : SMA Pekerjaan : Supir perihal meminta bantuan evakuasi mobil teman pelapor yang terperosok kedalam parit beralamat Jl. Pondok Mangga Kel. Loktabat Utara Kec. Banjarbaru Utara. Mobil berhasil di evakuasi. Petugas mengerahkan 1 Unit Ops Damkar Truk Tangki Kajama 4000 Liter.</t>
  </si>
  <si>
    <t>2 orang/1 unit
1. Ranu Wibowo
2. Imam Kastalani</t>
  </si>
  <si>
    <t>Sabtu, 29 Oktober 2025</t>
  </si>
  <si>
    <t>15.05 s/d 16.15 Wita</t>
  </si>
  <si>
    <t>Menindaklanjuti laporan warga Kota Banjarbaru perihal adanya ular yang terlihat dihalaman beralamat Jl. Golf Komp. Mahatama No. A 10 RT. 04 RW. 04 Kel. Landasan Ulin Utara Kec. Kec. Liang Anggang. Ular tidak berhasil ditemukan. Petugas mengerahkan 1 Unit Ops Damkar Truk Tangki Kajama 1000 Liter.</t>
  </si>
  <si>
    <t>Call Center 112 Kota  Banjarbaru</t>
  </si>
  <si>
    <t>Kamis, 30 Oktober 2025</t>
  </si>
  <si>
    <t>12.21 s/d 13.30 Wita</t>
  </si>
  <si>
    <t>Menindaklanjuti laporan  Umur : 25 Tahun Pendidikan : SMA Pekerjaan : Mahasiswa perihal telah terjadi kecelakaan kerja tersetrum listrik pada saat pengerjaan baliho beralamat Bundaran Simpang 4 Banjarbaru Jl. A. Yani Km. 36 Kel. Komet Kec. Banjarbaru Utara. Korban an. Selamet Umur : 20 Tahun baralamat Kelayan Timur Kota Banjarmasin. Penyelamatan berlangsung aman dan terkendali. Petugas mengerahkan 1 Unit Ops Damkar Truk Tangki Kajama 3500 Liter.</t>
  </si>
  <si>
    <t>Via Grup Wa Emergency Banjarbaru an. Abu Ghifari No Telp. 085348062161</t>
  </si>
  <si>
    <t>Orang Tersetrum</t>
  </si>
  <si>
    <t>5 orang/1 unit
1. Syafrullah, S.Sos, M.Si
2. Nur Hidayah, SE
3. Budi Adi
4. Bambang Arry Arsono
5. M. Dadang Kurniwan, S.H.</t>
  </si>
  <si>
    <t>Jum`at, 31 Oktober 2025</t>
  </si>
  <si>
    <t>Menindaklanjuti laporan warga Umur : 26 Tahun Pendidikan : S1 Pekerjaan : ASN perihal meminta bantuan evakuasi mobil yang terperosok beralamat Jl.TKS Bina Warga RT. 19 RW. 04 Kel. Guntung Manggis Kec. Landasan Ulin. Mobil berhasil di evakuasi. Petugas mengerahkan 1 Unit Ops Damkar Mobil Hilux Kajama Rescue.</t>
  </si>
  <si>
    <t>Rahmi No telp. 089691330463</t>
  </si>
  <si>
    <t>2 orang/1 unit
1. Budi Adi
2. Muhammad Noor</t>
  </si>
  <si>
    <t>14.00 s/d 14.30 Wita</t>
  </si>
  <si>
    <t>Menindaklanjuti laporan warga Umur : 50 Tahun Pendidikan : S1 Pekerjaan : IRT beralamat Komp Banjarbaru Asri 3 Blok B No. 14 RT. 04 RW. 04 Kel. Guntung Paikat Kec. Banjarbaru Selatan. Singgung berhasil di evakuasi dan dilepasliarkan. Petugas mengerahkan 1 Ops Damkar Truk Tangki Kajama 1000 Liter.</t>
  </si>
  <si>
    <t xml:space="preserve"> Normilawati No Telp. 085391875637</t>
  </si>
  <si>
    <t>Singgung</t>
  </si>
  <si>
    <t>8 orang/1 unit
1. Nur Hidayah, SE
2. Ranu Wibowo
3. Imam Kastalani
4. Agus Budianto
5. Ade Susanto
6. Misladin
7. M. Yoppie Wirawan
8. M. Dadang Kurniwan, S.H.</t>
  </si>
  <si>
    <t>Sabtu, 1 November 2025</t>
  </si>
  <si>
    <t>09.52 s/d 10.40 Wita</t>
  </si>
  <si>
    <t>Menindaklanjuti Laporan warga Umur : 34 Tahun Pekerjaan : Swasta Pendidikan : SMA. Perihal meminta bantuan evakuasi cincin yang tidak bisa dilepas dari jari tangan beralamat Jl. Nangka (Az Expres) Kel. Guntung Paikat Kec. Banjarbaru Selatan. Cincin berhasil dilepas dengan cara di potong. Petugas mengerahkan 1 Unit Ops Damkar Mobil Hilux Kajama Rescue.</t>
  </si>
  <si>
    <t>Riduansyah</t>
  </si>
  <si>
    <t>7 orang/1 unit
1. Syafrullah, S.Sos, M.Si
2. Agus Budianto
3. Misladin
4. Cipta Bayu Mukti
5. Heriyanto
6.Ranu Wibowo
7. Imam Kastalani</t>
  </si>
  <si>
    <t>Minggu, 2 November 2025</t>
  </si>
  <si>
    <t>07.00 s/d 07.55 Wita</t>
  </si>
  <si>
    <t>Menindaklanjuti laporan warga Umur : 26 Tahun Pekerjaan : Mahasiswa Pendidikan : S1 perihal meminta bantuan evakuasi sepeda motor yang terkunci beralamat Jl. PM. Noor Komp. Permata Hijau No. A 24 RT. 11 RW. 03 Kel. Sungai Ulin Kec. Banjarbaru Utara. Kunci berhasil dibuka. Petugas mengerahkan 1 Unt Ops Damar Mobil Hilux Kajama Rescue.</t>
  </si>
  <si>
    <t>Leonarda Aditya No Telp. 082350326349</t>
  </si>
  <si>
    <t>Sepeda Motor</t>
  </si>
  <si>
    <t>4 orang/1 unit
1. Agus Budianto 
2. Misladin
3. Cipta Bayu Mukti
4. Heriyanto</t>
  </si>
  <si>
    <t>11.15 s/d 12.30 Wita</t>
  </si>
  <si>
    <t>Menindaklanjuti laporan warga Umur : 32 Tahun Pekerjaan : IRT Pendidikan Terakhir : D3 perihal meminta bantuan evakuasi ular yang berada di dalam sumur beralamat Komp Griya Bukit Intan RT. 33 RW. 11 Kel. Sungai Tiung Kec. Cempaka. Ular berhasil di evakuasi dan dilepasliarkan. Petugas mengerahkan 1 Unit Ops Damkar Truk Tangki Kajama 1000 Liter.</t>
  </si>
  <si>
    <t>Jessy No Telp. 082159887880</t>
  </si>
  <si>
    <t>7 orang/1 unit
1. Nur Hidayah, SE
2. Budi Adi
3. Ade Susanto 
4. Bambang Arry Arsono
5. M. Yoppie Wirawan
6. Ahmad Riduan
7. M. Dadang Kurniwan, S.H.</t>
  </si>
  <si>
    <t>Senin, 3 November 2025</t>
  </si>
  <si>
    <t>00.15 s/d 01.15 Wita</t>
  </si>
  <si>
    <t>Menindaklanjuti laporan warga Umur : 32 Tahun Pekerjaan : Bidan Pendidikan : S1 perihal meminta bantuan evakuasi kucing tercebur dalam sumur beralamat Praktek Bidan Mandiri Jl. Jeruk Komp. Mustika Griya Bukit Asri A 19 Kel. Sungai Ulin Kec. Banjarbaru Utara. Kucing berhasil di evakuasi. Petugas mengerahkan 1 Unit Ops Damkar Truk Tangki Kajama  1000 Liter.</t>
  </si>
  <si>
    <t>Imawati, A. SIT No Telp. 085349994144</t>
  </si>
  <si>
    <t>4 orang/1 unit
1. Budi Adi
2. Ade Susanto
3. Bambang Arry Arsono
4. M. Yoppie Wirawan</t>
  </si>
  <si>
    <t>15.47 s/d 16.20 Wita</t>
  </si>
  <si>
    <t>Menindaklanjuti laporan warga Umur : 46 Tahun Pekerjaa : ASN Pendidikan : S1 perihal meminta bantuan menyemprotkan pipa pembuangan yang buntu beralamat Jl. Karang Anyar 2 Komp. Luthina Griya Asri 2 No 48 RT. 20 RW. 02 Kel. Loktabat Utara Kec. Banjarbaru Utara. Pipa yang tersumbat berhasil di semprot dan pembuangan kembali normal. Petugas mengerahkan 1 Unit Ops Damkar Truk Tangki Kajama 3500 Liter.</t>
  </si>
  <si>
    <t>Didi No Telp. 081251081180</t>
  </si>
  <si>
    <t>Penyemprotan Pipa</t>
  </si>
  <si>
    <t>7 orang/1 unit
1. Syafrullah, S.Sos, M.Si
2. Nur Hidayah, SE
3. Ranu Wibowo
4. Imam Kastalani
5. Ahmad Riduan
6. Agus Budianto
7. M. Dadang Kurniwan, S.H.</t>
  </si>
  <si>
    <t>Selasa, 4 November 2025</t>
  </si>
  <si>
    <t>07.04 s/d 08.15 Wita</t>
  </si>
  <si>
    <t>Menindaklanjuti lapora warga Umur : 44 Tahun Pekerjaan : PNS perihal meminta bantuan evakuasi ular yang terlihat dihalaman rumah beralamat  Jl. Sukarelawan Komp. Sukarelawan Asri Blok A No. 18 A RT. 24 RW. 10 Kel. Loktabat Utara Kec. Banjarbaru Utara. Ular berhasil di evakuasi dan dilepasliarkan. Petugas mengerahkan 1 Unit Ops Damkar Mobil Hilux Kajama rescue.</t>
  </si>
  <si>
    <t>Nufus No Telp. 081253963670</t>
  </si>
  <si>
    <t>5 orang/1 unit
1. Ranu Wibowo
2. Imam Kastalani
3. Ahmad Riduan
4. Budi Adi
5. Ade Susanto</t>
  </si>
  <si>
    <t>12.08 s/d 12.57 Wita</t>
  </si>
  <si>
    <t>Menindaklanjuti laporan warga Umur : 32 Tahun Pekerjaan : IRT Pendidikan : SMA perihal meminta bantuan evakuasi ular yang berada kamar rumah beralamat Jl. Karang Anyar I Komp. Balita Daya Permai No. 608 RT. 01 RW. 08 Kel. Loktabat Utara Kec. Banjarbaru Utara. Ular berhasil di evakuasi dan dilepas liarkan. Petugas mengerahkan 1 Unit Ops Damkar Mobil Hilux Kajama Rescue.</t>
  </si>
  <si>
    <t>Gita Sukma Aulia No Telp. 082144296488</t>
  </si>
  <si>
    <t>8 orang/1 unit
1. Syafrullah, S.Sos, M.Si
2. Nur Hidayah, SE
3. Agus Budianto
4. M. Fikri Nisfuadi
5. Misladin
6. Cipta Bayu
7. Heriyanto
8. M. Dadang Kurniwan, S.H</t>
  </si>
  <si>
    <t>Rabu, 5 November 2025</t>
  </si>
  <si>
    <t>05.40 s/d 06.30 Wita</t>
  </si>
  <si>
    <t>Menindaklanjuti laporan warga Umur : 34 Tahun Pekerjaan : Wiraswasta Pendidikan : SMP perihal meminta bantuan evakuasi kucing yang masuk di dalam sumur beralamat Jl. Trikora RT. 24 Kel. Kemuning Kec. Banjarbaru Selatan. Kucing berhasil di evakuasi. Petugas mengerahkan 1 Unit Ops Damkar Truk Tangki Kajama 1000 Liter</t>
  </si>
  <si>
    <t>Sanainah No Telp. 081257828582</t>
  </si>
  <si>
    <t xml:space="preserve">5 orang/1 unit
1. Agus Budianto
2. M. Fikri Nisfuadi
3. Misladin
4. Cipta Bayu Mukti
5. Heriyanto
</t>
  </si>
  <si>
    <t>14.10 s/d 14.50 Wita</t>
  </si>
  <si>
    <t>Menindaklanjuti laporan warga Umur : 38 Tahun Pekerjaan : ASN Pendidikan : S2 perihal meminta bantuan evakuasi ular yang terlihat dihalaman belakang rumah beralamat Jl. Guntung Rambai Asri RT. 05 RW. 02 No. 12 Kel. Loktabat Selatan Kec. Banjarbaru Selatan. Ular berhasil di evakuasi dan dilepasliarkan. Petugas mengerahkan 1 Unit Ops Damkar Mobil Hilux Kajama Rescue.</t>
  </si>
  <si>
    <t>Lea Yudistira No Telp. 085641957788</t>
  </si>
  <si>
    <t>8 orang/1 unit
1. Nur Hidayah, SE
2. Budi Adi
3. Ade Susanto
4. Muhammad Noor
5. Bambang Arry Arsono
6. M. Yoppie Wirawan
7. Ranu Wibowo 
8.M. Dadang Kurniwan, S.H.</t>
  </si>
  <si>
    <t>Kamis, 6 November 2025</t>
  </si>
  <si>
    <t>01.30 s/d 02.30 Wita</t>
  </si>
  <si>
    <t>Jojo No Telp. 087879710416</t>
  </si>
  <si>
    <t>Menindaklanjuti laporan warga Umur : 49 Tahun Pekerjaan : ASN Pendidikan : S1 perihal meminta bantuan evakuasi ular yang terlihat dihalaman rumah beralamat Jl. Sriwijaya Komp. Griya Fatih Sriwijaya No. C4 Kel. Landasan Ulin Utara Kec. Liang Anggang. Ular tidak berhasil ditemukan. Petugas mengerahkan 1 Unit Ops Damkar Mobil Hilux Kajama Rescue.</t>
  </si>
  <si>
    <t>5 orang/1 unit
1. Budi Adi
2. Ade Susanto 
3. Muhammad Noor
4. Bambang Arry Arsono
5. M. Yoppie Wirawan</t>
  </si>
  <si>
    <t>11.16 s/d 12.10 Wita</t>
  </si>
  <si>
    <t>Menindaklanjuti laporan warga Umur : 56 tahun Pekerjaan : Teknisi Pendidikan : SMK perihal meminta bantuan evakuasi monyet peliharaan pelapor lepas beralamat Jl. A. Yani Km. 28 RT. 31 RW. 05 Kel. Guntung Manggis Kec. Landasan Ulin. Monyet berhasil di evakuasi dan diserahkan kepada pemilik. Petugas mengerahkan 1 Unit Ops Damkar Mobil Hilux Kajama Rescue.</t>
  </si>
  <si>
    <t>FirdausNo Telp. 087784731264</t>
  </si>
  <si>
    <t>7 orang/1 unit
1. Syafrullah, S.Sos, M.Si
2. Ranu Wibowo
3. Imam Kastalani
4. Ahmad Riduan
5. M. Fikri Nisfuadi
6. Misladin
7. M. Dadang Kurniwan, S.H.</t>
  </si>
  <si>
    <t>Jum`at, 7 November 2025</t>
  </si>
  <si>
    <t>15.53 s/d 16.36 Wita</t>
  </si>
  <si>
    <t>Menindaklanjuti laporan warga Umur : 30 Tahun Pekerjaan : Swasta Pendidikan : S1 perihal meminta bantuan evakuasi anjing yang masuk kedalam sumur beralamat Jl. Unlam 1 Kel. Guntung Paikat Kec. Banjarbaru Selatan. Anjing berhasil di evakuasi. Petugas mengerahkan 1 Unit Ops Damkar Mobil Hilux Kajama Rescue.</t>
  </si>
  <si>
    <t>Rahmadi No Telp. 0877436355590</t>
  </si>
  <si>
    <t>8 orang/1 unit
1. Syafrullah, S.Sos, M.Si
2. Nur Hidayah, SE
3. Agus Budianto
4. M. Fikri Nisfuadi
5. Misladin
6. Cipta Bayu Mukti
7. Heriyanto
8. M. Dadang Kurniwan, S.H.</t>
  </si>
  <si>
    <t>Sabtu, 8 November 2025</t>
  </si>
  <si>
    <t>07.03 s/d 07.38 Wita</t>
  </si>
  <si>
    <t>menindaklanjuti laporan warga Umur : 23 Tahun Pekerjaan : Swasta Pendidikan : S1 perihal meminta bantuan evakuasi ular yang berada di kandang ayam beralamat Jl. A. Yani Km. 31 RT. 01 RW. 01 Kel. Loktabat Selatan Kec. Banjarbaru Selatan. Ular berhasil di evakuasi dan dilepasliarkan. Petugas mengerahkan 1 Unit Ops Damkar Mobil Hilux Kajama Rescue.</t>
  </si>
  <si>
    <t>Intan Sari No Telp. 081350964763</t>
  </si>
  <si>
    <t>5 orang/1 unit
1. Agus Budianto
2. M. Fikri Nisfuadi
3. Misladin
4. Cipta Bayu Mukti
5. Heriyanto</t>
  </si>
  <si>
    <t>Minggu, 9 November 2025</t>
  </si>
  <si>
    <t>07.00 s/d 07.56 Wita</t>
  </si>
  <si>
    <t>Menindaklanjuti laporan warga Umur : 35 Tahun Pekerjaan : Swasta Pendidikan : S1 perihal meminta bantuan evakuasi anjing peliharaan yang tercebur kedalam sumur beralamat Komp. Ex. Peternakan No. 48 RT. 03 RW. 04 Kel. Loktabat Selatan Kec. Banjarbaru Selatan. Anjing berhasil di evakuasi. Petugas mengerahkan 1 Unit Ops Damkar Mobil Hilux Kajama Rescue.</t>
  </si>
  <si>
    <t>Karens Carolina No Telp. 081256795972</t>
  </si>
  <si>
    <t>5 orang/1 unit
1. Budi Adi
2. Ade Susanto
3. Muhammad Noor
4. Bambang Arry Arsono
5. M. Yoppie Wirawan</t>
  </si>
  <si>
    <t>15.30 s/d 16.05 Wita</t>
  </si>
  <si>
    <t>Menindaklanjuti laporan warga Umur : 30 Tahun Pekerjaan : Swasta Pendidikan : SMP perihal meminta bantuan evakuasi kunci gembok yang terkunci tidak bisa dibuka beralmat Jl. Purnawirawan RT. 01 RW. 01 Sungai Rancah Kel. Palam Kec. Cempaka. Kunci gembok berhasil dibuka. Petugas mengerahkan 1 Unit Ops Damkar Mobil Hilux Kajama Rescue.</t>
  </si>
  <si>
    <t>Raudatul Nisa No Telp. 083878154679</t>
  </si>
  <si>
    <t>Kunci Gembok</t>
  </si>
  <si>
    <t>6 orang/1 unit
1. Syafrullah, S.Sos, M.Si
2. Ranu Wibowo
3. Imam Kastalani
4. Ahmad Riduan 
5. M. Fikri Nisfuadi, S.Kom
6. M. Dadang Kurniwan, S.H</t>
  </si>
  <si>
    <t>Senin, 10 November 2025</t>
  </si>
  <si>
    <t>00.34 s/d 01.35 Wita</t>
  </si>
  <si>
    <t>Menindaklanjuti laporan warga Umur : 39 Tahun Pekerjaan : Swasta Pendidikan : SMA perihal meminta bantuan evakuasi ular yang terlihat dihalaman belakang rumah beralamat Jl. Kebun Durian Kel. Guntung Manggis Kec. Landasan Ulin. Ular berhasil di evakuasi dan dilepasliarkan. Petugas mengerahakan 1 Unit Ops Damkar Mobil Hilux Kajama Rescue.</t>
  </si>
  <si>
    <t>Wiwid No Telp. 089691091846</t>
  </si>
  <si>
    <t>4 orang/1 unit
1. Ranu Wibowo
2. Imam Kastalani
3. Ahmad Riduan
4. Muhammad Noor</t>
  </si>
  <si>
    <t>18.30 s/d 20.00 Wita</t>
  </si>
  <si>
    <t>Menindaklanjuti laporan warga Umur : 33 Tahun Pekerjaan : IRT Pendidikan : SD perihal meminta bantuan evakuasi cincin yang tidak bisa dilepas dan terjadi pembengkakan beralamat Jl. A. Yani Km. 19.8 RT. 10 RW. 003 Kel. Landasan Ulin Barat Kec. Liang Anggang. Ular berhasil di evakuasi dan dilepasliarkan. Petugas mengerahkan 1 Unit Ops Damkar Mobil Hilux Kajama Rescue.</t>
  </si>
  <si>
    <t>Ratna No Telp. 0838241113324</t>
  </si>
  <si>
    <t>Selasa, 11 November 2025</t>
  </si>
  <si>
    <t>07.40 s/d 08.30 Wita</t>
  </si>
  <si>
    <t>Menindaklanjuti laporan warga Umur : 29 Tahun Pekerjaan : Swasta Pendidikan : SMK perihal meminta bantuan evakuasi ular jenis cobra yang telihat di kamar mandi beralamat Perumahan Villa Persada Kel. Cempaka Kec. Cempaka. Ular tidak berhasil ditemukan. Petugas mengerahkan 1 Unit Ops Damkar Mobil Hilux Kajama Rescue.</t>
  </si>
  <si>
    <t>Akbar Kartono No Telp. 087748387074</t>
  </si>
  <si>
    <t>17.32 s/d 18.30 Wita</t>
  </si>
  <si>
    <t>Menindaklanjuti laporan warga Umur : 56 Tahun Pekerjaan : ASN Pendidikan : SMA perihal meminya bantuan evakuasi mobil yang terperosok kedalam drainase beralamat Jl. RO Ulin Gg. Baru RT. 06 RW. 07 Kel. Loktabat Selatan Kec. Banjarbaru Selatan. Mobil berhasil di evakuasi. Petugas mengerahkan 1 Unit Ops Damkar Mobil Hilux Kajama Rescue.</t>
  </si>
  <si>
    <t>Agus No Telp. 0815226938331</t>
  </si>
  <si>
    <t>8 orang/1 unit
1. Nur Hidayah, SE
2. Budi Adi
3. Ade Susanto 
4. Muhammad Noor
5. Bambang Arry Arsono
6. M. Yoppie Wirawan
7. Imam Kastalani 
8. M. Dadang Kurniwan, S.H.</t>
  </si>
  <si>
    <t>Rabu, 12 November 2025</t>
  </si>
  <si>
    <t>Menindaklanjuti laporan warga Umur : 19 Tahun Pekerjaan : Swasta Pendidikan : SMA perihal meminta bantuan evakuasi ruko yang terkunci dari dalam beralamat Sonic Chicken Palam Jl. Palam Raya RT. 13 RW. 01 Kel. Palam Kec. Cempaka. Pintu ruko berhasil dibuka. Petugas mengerahkan 1 Unit Ops Damkar Mobil Hilux Kajama Rescue.</t>
  </si>
  <si>
    <t>Zenyya No Telp. 085167269513</t>
  </si>
  <si>
    <t>17.48 s/d 18.47 Wita</t>
  </si>
  <si>
    <t>Menindaklanjuti laporan warga Umur : 33 Tahun Pekerjaan : Karyawan Swasta Pendidikan : S1 perihal meminta bantuan evakuasi ular yang terlihat didalam kamar beralamat Jl. Sriwijaya Km. 21 RT. 02 RW. 01 Kel. Landasan Ulin Utara Kec. Liang Anggang. Ular berhasil di evakuasi dan dilepasliarkan. Petugas mengerahkan 1 Unit Ops Damkar Truk Tangki Kajama 1000 Liter.</t>
  </si>
  <si>
    <t>Riko No Telp. 081255227868</t>
  </si>
  <si>
    <t>5 orang/1 unit
1. Syafrullah, S.Sos, M.Si
2. Ranu Wibowo
3. Imam Kastalani
4. Ahmad Riduan
5. M. Dadang Kurniwan, S.H</t>
  </si>
  <si>
    <t>Kamis, 13 November 2025</t>
  </si>
  <si>
    <t>Menindaklanjuti laporan warga Umur : 73 Tahun Pekerjaan : Pensiunan Pendidikan : S1 perihal meminta bantuan evakuasi ular yang terlihat di dalam kandang ayam beralamat Jl. Pandawa II RT. 03 RW. 05 Kel. Guntung Paikat Kec. Banjarbaru Selatan. Ular berhasil di evakuasi dan dilepasliarkan. Petugas mengerahkan 1 Unit Ops Damkar Mobil Hilux Kajama Rescue.</t>
  </si>
  <si>
    <t>H. Bahdianoor No Telp. 08981219698</t>
  </si>
  <si>
    <t>5 orang/1 unit
1. Ranu Wibowo
2. Imam Kastalani
3. Ahmad Riduan
4. Ade Susanto
5. Bambang Arry Arsono</t>
  </si>
  <si>
    <t>Jum`at, 14 November 2025</t>
  </si>
  <si>
    <t>00.21 s/d 01.00 Wita</t>
  </si>
  <si>
    <t>Menindaklanjuti laporan warga Umur : 28 Tahun Pekerjaan : Swasta Pendidikan : SMK perihal meminta bantuan evakuasi ular yang terlihat di kamar mandi beralamat Jl. Gotong Royong No. 92 RT. 01 RW. 04 Kel. Loktabat Selatan Kec.Banjarbaru Selatan. Ular berhasil di evakuasi dan dilepasliarkan. Petugas mengerahkan 1 Unit Ops Damkar Mobil Hilux Kajama Rescue.</t>
  </si>
  <si>
    <t>Triyoga No Telp. 082255834120</t>
  </si>
  <si>
    <t>Sabtu, 15 November 2025</t>
  </si>
  <si>
    <t>07.12 s/d 08.15 Wita</t>
  </si>
  <si>
    <t>Menindaklanjuti laporan warga Umur : 38 Tahun Pekerjaan : ASN Pendidikan : S1 perihal meminta bantuan evakuasi ular yang terlihat di gudang rumah beralamat Jl. Angkasa Gg. Indah Lestari II RT. 44 RW. 09 No. 126 Kel. Syamsudin Noor Kec. Landasan Ulin. Ular tidak berhasil ditemukan. Petugas mengerahkan 1 Uniit Ops Damkar Mobil Hilux Kajama Rescue.</t>
  </si>
  <si>
    <t xml:space="preserve">Yulia Kurniati No Telp. 082154039806 </t>
  </si>
  <si>
    <t>18.19 s/d 19.10 Wita</t>
  </si>
  <si>
    <t>Menindaklanjuti laporan warga Umur : 37 Tahun Pekerjaan : Swasta Pendidikan : S1 perihal meminta bantuan evakuasi ular yang terlihat di bawah tumpukan keramik halaman belakang beralamat Jl. Wengga Tahap 5 RT. 47 RW. 07 Kel. Guntung Manggis Kec. Landasan Ulin. Ular tidak berhasil ditemukan. Petugas mengerahkan 1 Unit Ops Damkar Mobil Hilux Kajama Rescue.</t>
  </si>
  <si>
    <t>Aditya No Telp. 081328965880</t>
  </si>
  <si>
    <t>4 orang/1 unit
1. Nur Hidayah, SE
2. Ranu Wibowo
3. Imam Kastalani 
4. Ahmad Riduan</t>
  </si>
  <si>
    <t>Minggu, 16 November 2025</t>
  </si>
  <si>
    <t>00.15 s/d 01.00 Wita</t>
  </si>
  <si>
    <t>Menindaklanjuti laporan warga Umur : 42 Tahun Pekerjaan : PNS Pendidikan : SMK perihal meminta bantuan evakuasi kucing yang tercebur dalam sumur yang terlihat dalam sumur beralamat Jl. Gotong Royong Ujung No. 36 RT. 04 Kel. Mentaos Kec. Banjarbaru Utara. Kucing berhasil di evakuasi. Petugas mengerahkan 1 Unit Ops Damkar Mobil Hilux Kajama Rescue.</t>
  </si>
  <si>
    <t>M. Rahmani</t>
  </si>
  <si>
    <t>5 orang/1 unit
1. Ranu Wibowo
2. Imam Kastalani
3. Ahmad Riduan
4. Muhammad Noor
5. Bambang Arry Arsono</t>
  </si>
  <si>
    <t>13.20 s/d 15.00 Wita</t>
  </si>
  <si>
    <t>Menindaklanjuti laporan warga Umur : 59 Tahun Pekerjaan : Pensiunan PNS Pendidikan : S1 perihal meminta bantuan penyemprotan pipa pembuang wastafel yang tersumbat beralamat Jl. Abadi Makmur Trikora Kel. Loktabat Selatan Kec. Banjarbaru Utara. Pipa pembuangan disemprot oleh petugas dengan mesin pompa bertekanan tinggi. Petugas mengerahkan 1 Unit Ops Damkar Truk Tangki Kajama 3500 Liter.</t>
  </si>
  <si>
    <t>Misnawati  No Telp. 08125049634</t>
  </si>
  <si>
    <t>Senin, 17 November 2025</t>
  </si>
  <si>
    <t>07.03 s/d 08.10 Wita</t>
  </si>
  <si>
    <t>Menindaklanjuti laporan warga Umur : 28 Tahun Pekerjaan : Swasta Pendidikan : SMK perihal meminta bantuan evakuasi ular yang terlihat di dalam kandang ayam beralamat Jl. Kasturi 1 Gg. 12 RT. 34 RW. 07 Kel. Syamsudin Noor Kec. Landasan Ulin. Ular berjenis sawa berhasil di evakuasi dan dilepasliarkan. Petugas mengerahkan 1 Unit Ops Damkar Mobil Hilux Kajama Rescue.</t>
  </si>
  <si>
    <t>Yunita No Telp. 082154949397</t>
  </si>
  <si>
    <t>5 orang/1 unit
1. Agus Budianto
2. M. Fikri Nisfuadi
3. Misladin
4. Cipta Bayu Mukti
5. Heriayanto</t>
  </si>
  <si>
    <t>10.56 s/d 11.20 Wita</t>
  </si>
  <si>
    <t>Menindaklanjuti laporan warga Umur : 36 Tahun Pekerjaan : Swasta Pendidikan : S1 perihal meminta bantuan evakuasi ular yang terlihat di depan rumah beralamat Komp. Cempaka Sari Jalur 14 Blok A 7 No. 102 RT. 34 RW. 07 Kel. Cempaka Kec. Cempaka. Ular berhasil di evakuasi dan dilepasliarkan. Petugas mengerahkan 1 Unit Ops Damkar Truk Tangki Kajama 3500 Liter.</t>
  </si>
  <si>
    <t>Riyanti No Telp. 087823329443</t>
  </si>
  <si>
    <t>8 orang/1 unit
1. Nur Hidayah, SE
2. Budi Adi
3. Ade Susanto
4. Muhammad Noor
5. Bambang Arry Arsono
6. M. Yoppie Wirawan
7. Ahmad Riduan 
8. M. Dadang Kurniwan, S.H.</t>
  </si>
  <si>
    <t>Selasa, 18 November 2025</t>
  </si>
  <si>
    <t>Menindaklanjuti laporan warga Umur 26 Tahun Pekerjaan : Juru Embung Pendidikan : SMA perihal meminta bantuan evakuasi ular yang terlihat di sekitaran embung beralamat Jl. Mitra Praja (Embung Kampung Banjar) Kel. Cempaka Kec. Cempaka. Ular berhasil di evakuasi dan lepasliarkan. Petugas mengerahkan 1 Unit Ops Damkar Mobil Hilux Kajama Rescue.</t>
  </si>
  <si>
    <t>M. Hilman No Telp. 0895338738806</t>
  </si>
  <si>
    <t>08.56 s/d 10.15 Wita</t>
  </si>
  <si>
    <t>Menindaklanjuti laporan warga Umur : 24 Tahun Pekerjaan : Mahasiswa Pendidikan : S1 perihal meminta bantuan evakuasi ular yang terlihat di dapur beralamat Jl. Sidomulyo Jalur 3 No. 10 Blok D Kel. Landasan Ulin Timur Kec. Landasan Ulin. Ular berhasil di evakuasi dan dilepasliarkan. Petugas mengerahkan 1 Unit Ops Damkar Mobil Hilux Kajama Rescue.</t>
  </si>
  <si>
    <t>Mely No Telp. 081256620829</t>
  </si>
  <si>
    <t>7 orang/1 unit
1. Syafrullah, S.Sos, M.Si
2. Nur Hidayah, SE
3. Ranu Wibowo
4. Imam Kastalani
5. Ahmad Riduan
6. Cipta Bayu Mukti
7. M. Dadang Kurniwan, S.H.</t>
  </si>
  <si>
    <t>Rabu, 19 November 2025</t>
  </si>
  <si>
    <t>07.05 s/d 08.00 Wita</t>
  </si>
  <si>
    <t>Menindaklanjuti laporan warga Umur : 44 Tahun Pekerjaan : IRT Pendidikan : S1 perihal meminta bantuan evakuasi ular yang terlihat dalam AC kamar beralamat Jl. Sungai Sumba Perum. Repaja Mandiri 2 No. 15 RT. 11 RW. 02 Kel. Guntung Manggis Kec. Landasan Ulin. Ular berhasil di evakuasi dan dilepasliarkan. Petugas mengerahkan 1 Unit Ops Damkar Mobil Hilux Kajama Rescue.</t>
  </si>
  <si>
    <t>Fitia Royani No Telp. 087880506083</t>
  </si>
  <si>
    <t>3 orang/1 unit
1. Ranu Wibowo
2. Imam Kastalani
3. Ahmad Riduan</t>
  </si>
  <si>
    <t>19.41 s/d 20.15 Wita</t>
  </si>
  <si>
    <t>Menindak lanjuti laporan warga Umur : 47 Tahun Pekerjaan : IRT Pendidikan S1 perihal meminta bantuan evakuasi sarang tawon yang bersarang di plafon teras rumah beralamat Jl. Palam raya Komp. Widya Citra Graha II Kel. Guntung Manggis Kec. Landasan Ulin. Tawon berhasil dimusnahkan dengan cara dibakar. Petugas mengerahkan 1 Unit Ops Damkar Truk Tangki Kajama 1000 Liter.</t>
  </si>
  <si>
    <t>Eka Romadona No Telp. 08115128030</t>
  </si>
  <si>
    <t>8 orang/1 unit
1. Syafrullah, S.Sos, M.Si
2. Nur Hidayah, SE
3. Agus Budianto
4. M. Fikri Nisfuadi
5. Misladin
6. Cipta Bayu Mukti
7. Heriyanto
8. M. Yoppie Wirawan</t>
  </si>
  <si>
    <t>Kamis, 20 November 2025</t>
  </si>
  <si>
    <t>07.03 s/d 08.40 Wita</t>
  </si>
  <si>
    <t>Menindaklanjuti laporan warga Umur : 27 Tahun Pekerjaan : P3K Pendidikan : S1 perihal meminta bantuan evakuasi mobil yang masuk dalam drainase beralamat Jl. PM. Noor RT. 07 RW. 02 Kel. Sungai Ulin Kec. Banjarbaru Utara. Mobil berhasil di evakuasi. Petugas mengerahkan 1 Unit Ops Damkar Mobil Hilux Kajama Rescue.</t>
  </si>
  <si>
    <t>Nanda No Telp. 085349630990</t>
  </si>
  <si>
    <t>20.47 s/d 21.19 Wita</t>
  </si>
  <si>
    <t>Menindaklanjuti laporan warga Umur : 43 Tahun Pekerjaan : ASN Pendidikan : S1 perihal meminta bantuan evakuasi sarang tawon yang berada di atas pohon beralamat Unlam Banjarbaru Fakultas Mipa Kel. Sungai Besar Kec. Banjarbaru Selatan. Tawon berhasil dimusnahkan dengan cara dibakar. Petugas mengerahkan 1 Unit Ops Damkar Mobil Hilux Kajama Rescue.</t>
  </si>
  <si>
    <t xml:space="preserve">Muhammad Fajri Rifani No Telp. 08115192093 </t>
  </si>
  <si>
    <t>Jum`at, 21 November 2025</t>
  </si>
  <si>
    <t>06.30 s/d 07.15 Wita</t>
  </si>
  <si>
    <t>Menindaklanjuti laporan warga Umur : 63 Tahun Pekerjan : Pensiunan PNS Pendidikan : S1 perihal meminta bantuan evakuasi ular yang terlihat dihalaman belakang beralamat Jl. Banua Praja Utara Kel. Cempaka Kec. Cempaka. Ular tidak berhasil ditemukan. Petugas mengerahkan 1 Unit Ops Damkar Truk Tangki Kajama 1000 Liter.</t>
  </si>
  <si>
    <t>Rodinah No Telp. 082153763109</t>
  </si>
  <si>
    <t>18.21 s/d 18.59 Wita</t>
  </si>
  <si>
    <t>Menidaklanjuti laporan warga Umur : 16 Tahun Pekerjaan : Pelajar Pendidkan : SMA perihal meminta bantuan evakuasi HP yang tercebur kedalam drainase beralamat Jl. RO. Ulin Seberang pasar Idaman Kel. Loktabat Selatan Kec. Banjarbaru Selatan. HP berhasil di evakuasi. Petugas mengerahkan 1 Unit Ops Damkar Mobil Hilux Kajama Rescue.</t>
  </si>
  <si>
    <t>Hana No telp. 081348754504</t>
  </si>
  <si>
    <t>6 orang/1 unit
1. Syafrullah, S.Sos, M.Si
2. Ranu Wibowo
3. Imam Kastalani
4. Ahmad Riduan
5. Heriyanto
6. M. Dadang Kurniwan, S.H.</t>
  </si>
  <si>
    <t>Sabtu, 22 November 2025</t>
  </si>
  <si>
    <t>Menindaklanjuti laporan warga Umur : 23 Tahun Pekerjaan : PNS Pendidikan S1 perihal meminta bantuan evakuasi ular yang terlihat di dapur beralamat Jl. A. Yani Km. 32.5 Jl. Sukarelawan Komp. Sukarelawan Asri Blok A RT. 24 RW. 10 Kel. Loktabat Selatan Kec. Banjarbaru Selatan. Ular tidak berhasil ditemukan. Petugas mengerahkan 1 Unit Ops Damkar Mobil Hilux Kajama Rescue.</t>
  </si>
  <si>
    <t>Miranda Nabila No Telp. 082350350700</t>
  </si>
  <si>
    <t>12.02 s/d 13.05 Wita</t>
  </si>
  <si>
    <t>Menindaklanjuti laporan warga Umur : 23 tahun pekerjaan : Belum Bekerja Pendidikan : S1 perihal meminta bantuan evakuasi ular yang terlihat dihalaman rumah beralamat Jl. Rambai Tengah No. 08 RT. 04 RW. 03 Kel. Guntung Paikat Kec. Banjarbaru Selatan. Ular berjenis Cobra berhasil di evakuasi petugas dan dilepasliarkan. Petugas mengerahkan 1 Unit Ops Damkar  Truk Tangki Kajama 1000 Liter.</t>
  </si>
  <si>
    <t>Erika Norvina No Telp. 0895700507414</t>
  </si>
  <si>
    <t>8 orang/1 unit
1. Syafrullah, S.Sos, M.Si
2. Nur Hidayah, SE
3. Agus Budianto
4. M. Fikri Nisfuadi
5. Misladin
6. Cipta Bayu Mukti
7. Heriyanto
8. Budi Adi</t>
  </si>
  <si>
    <t>Minggu, 23 November 2025</t>
  </si>
  <si>
    <t>Menindaklanjuti laporan warga Umur : 24 Tahun Pekerjaan ; Wiraswasta Pendidikan : D3 perihal meminta bantuan evakuasi musang yang masuk kedalam rumah beralamat Jl. Sei. Sumba RT. 39 RW. 01 Kel. Guntung Manggis Kec. Landasan Ulin. Petugas tidak berhasil mengevakuasi musang tersebut. Petugas mengerahkan 1 Unit Op Damkar Truk Tangki 1000 Liter.</t>
  </si>
  <si>
    <t>Rimala No Telp. 089691147081</t>
  </si>
  <si>
    <t>14.15 s/d 15.00 Wita</t>
  </si>
  <si>
    <t>Menindaklanjuti laporan warga Umur : 30 Tahun Pekerjaan : Swasta Pendidikan Terkhir : SMA perihal meminta bantuan evakuasi mobil yang terperosok beralamat Jl. Mistarcokrokusumo Kel. Sungai Tiung Kec. Cempaka. Mobil berhasil di evakuasi. Petugas mengerahkan 1 Unit Ops Damkar Mobil Hilux Kajama Rescue.</t>
  </si>
  <si>
    <t>M. Yunus No Telp. 0895704048360</t>
  </si>
  <si>
    <t>7 orang/1 unit
1. Syafrullah, S.Sos, M.Si
2. Nur Hidayah, SE
3. Budi Adi
4. Ade Susanto
5. Muhammad Noor 
6. Bambang Arry Arsono
7. M. Yoppie Wirawan</t>
  </si>
  <si>
    <t>Senin, 24 November 2025</t>
  </si>
  <si>
    <t>07.15 s/d 07.40 Wita</t>
  </si>
  <si>
    <t>Menindaklanjuti laporan warga Umur : 34 Tahun Pekerjaan : ASN Pendidikan : S1 perihal meminta bantuan evakuasi ular yang terlihat dibelakang halaman rumah beralamat Jl. Imam Bonjol Komp. Citra Palam Blok Y No. 22 Kel. Guntung Manggis Kec. Landasan Ulin. Ular berhasil di evakuasi dan dilepasliarkan. petugas mengerahkan 1 Unit Ops Damkar Mobil Hilux Kajama Rescue.</t>
  </si>
  <si>
    <t>Halim No Telp. 085546374803</t>
  </si>
  <si>
    <t>5 orang/1 unit
1. Budi Adi
2. Ade Susanto
3. Muhammad Noor 
4. Bambang Arry Arsono
5. M. Yoppie Wirawan</t>
  </si>
  <si>
    <t>15.54 s/d 16.39 Wita</t>
  </si>
  <si>
    <t>Menindaklanjuti laporan warga Umur : 27 Tahun Pekerjaan : Dokter Pendidikan : S2 perihal meminta bantuan evakuasi ular yang terlihat di teras rumah beralamat Jl. Kurnia Komp. AKR RT. 07 Kel. Landasan Ulin Utara Kec. Liang Anggang. Ular berhasil di evakuasi dan dilepasliarkan. Petugas mengerahkan 1 Unit Ops Damkar Mobil Hilux Kajama Rescue.</t>
  </si>
  <si>
    <t>Dimas No Telp. 085263930812</t>
  </si>
  <si>
    <t>6 orang/1 unit
1. Syafrullah, S.Sos, M.Si
2. Ranu Wibowo
3. Imam Kastalani
4. Ahmad Riduan
5. Agus Budianto
6. M. Dadang Kurniwan, S.H.</t>
  </si>
  <si>
    <t>Selasa, 25 November 2025</t>
  </si>
  <si>
    <t>00.10 s/d 01.15 Wita</t>
  </si>
  <si>
    <t>Menindaklanjuti laporan warga Umur : 20 Tahun Pekerjaan : Mahasiswa Pendidikan : SMA perihal meminta bantuan evakuasi atau memasangkan ban mobil yang robek beralamat Jl. A. Yani Km. 35 depan Dinas Kehutanan Provinsi Kel. Sungai Besar Kec. Banjarbaru Selatan. Ban mobil berhasil dipasang. Petugas mengerahkan 1 Unit Ops Damkar Mobil Hilux Kajama Rescue.</t>
  </si>
  <si>
    <t xml:space="preserve">Kharinna Kauzharrul No Telp. 085389171548 </t>
  </si>
  <si>
    <t>Ban Mobil</t>
  </si>
  <si>
    <t>15.48 s/d 16.40 Wita</t>
  </si>
  <si>
    <t>Menindaklanjuti laporan warga Umur : 25 Tahun Pekerjaan : Karyawan Swasta pendidikan : SMA  perihal meminta bantuan evakuasi ular di dalam sumur beralamat Komp. Griya Mustika Berkah uatam Blok C No. C17 RT. 29 RW. 06 kel. Sungai Tiung Kec. Cempaka. Ular berhasil di evakuasi dan dilepasliarkan. Petugas mengerahkan 1 Unit Ops Damkar Mobil Hilux Kajama Rescue.</t>
  </si>
  <si>
    <t>Sufyan Sauri No Telp. 085787630908</t>
  </si>
  <si>
    <t>7 orang/1 unit
1. Syafrullah, S.Sos, M.Si
2. Nur Hidayah, SE
3. Agus Budianto
4. M. Fikri Nisfuadi
5. Misladin
6. Cipta Bayu Mukti
7. Heriyanto</t>
  </si>
  <si>
    <t>Rabu, 26 November 2025</t>
  </si>
  <si>
    <t>07.50 s/d 08.40 Wita</t>
  </si>
  <si>
    <t>Menindaklanjuti laporan warga Umur : 45 Tahun Pekerjaan : Swasta Pendidikan : S1 perihal meminta bantuan evakuasi ular yang terlihat di ruang tamu beralamat Komp. Chandra Utama No. 10 Kel. Guntung Manggis Kec. Landasan Ulin. Ular berhasil di evakuasi dan dilepasliarkan. Petugas mengerahkan 1 Unit Ops Damkar Truk Tangki Kajama 1000 Liter.</t>
  </si>
  <si>
    <t>Ivan No Telp. 081349474114</t>
  </si>
  <si>
    <t>09.47 s/d 10.47 Wita</t>
  </si>
  <si>
    <t xml:space="preserve">8 orang/1 unit
1. Syafrullah, S.Sos, M.Si
2. Nur Hidayah, SE
3. Budi Adi
4. Ade Susanto
5. Muhammad Noor
6. Bambang Arry Arsono
7. M. Yoppie Wirawan
8. M. Dadang Kurniwan, S.H.
</t>
  </si>
  <si>
    <t>Menindaklanjuti laporan warga Umur : 19 Tahun Pekerjaan : Karyawan Swasta Pendidikan : SMA perihal menindaklanjuti adanya pintu rolling door yang macet tidak bisa dibuka beralamat Rocket Chiken Jl. Hercules Kel. Sayamsudin Noor Kec. Landasan Ulin. Petugas mengerahkan 1 Unit Ops Damkar Mobil Hilux Kajama Rescue.</t>
  </si>
  <si>
    <t>Reza Adi Wijaya No Telp. 082352524455</t>
  </si>
  <si>
    <t>Kamis, 27 November 2025</t>
  </si>
  <si>
    <t>07.10 s/d 07.40 Wita</t>
  </si>
  <si>
    <t>Menindaklanjuti laporan warga Umur : 29 Tahun Pekerjaan : Swasta Pendidikan : SMA perihal meminta bantuan evakuasi ular yang terlihat di dapur beralamat Jl. Abadi 3 Rafanda Residance 6 No C 17 Kel. Guntung Manggis Kec. Landasan Ulin. Ular berhasil di evakuasi dan dilepasliarkan. Petugas mengerahkan 1 Unit Ops Damkar Truk Tangki Kajama 1000 Liter.</t>
  </si>
  <si>
    <t>Naufal Rizwan No Telp. 0895355712323</t>
  </si>
  <si>
    <t>08.46 s/d 09.40 Wita</t>
  </si>
  <si>
    <t>Menindaklanjuti laporan warga Umur : 25 Tahun Pendidikan : S1 Pekerjaan : Swasta perihal meminta bantuan evakuasi kucing berada dalam sumur beralamat Jl. Perjuangan Kel. Sungai Ulin Kec. Banjarbaru Utara. Kucing berhasil di evakuasi. Petugas mengerahkan 1 Unit Ops Damkar Truk Tangki Kajama 1000 Liter.</t>
  </si>
  <si>
    <t>Deden No Telp. 0985362866300</t>
  </si>
  <si>
    <t>Jum`at, 28 November 2025</t>
  </si>
  <si>
    <t>07.30 s/d 08.30 Wita</t>
  </si>
  <si>
    <t>Menindaklanjuti laporan warga Umur : 23 Tahun Pendidikan : S1 Pekerjaan : Swasta perihal meminta bantuan evakuasi ular yang terlihat dipekarangan rumah beralamat Jl. Karang Rejo Komp. Citra Bhayangkara No. 106 Kel. Guntung Manggis Kec. Landasan Ulin. Ular tidak berhasil ditemukan. Petugas mengerahkan 1 Unit Ops Damkar Truk Tangki Kajama 1000 Liter.</t>
  </si>
  <si>
    <t>Belua No Telp. 081256530302</t>
  </si>
  <si>
    <t>5 orang/1 unit
1. Ranu Wibowo
2. Imam Kastalani
3. Ahmad Riduan
4. Muhammad Noor
5. M. Yoppie Wirawan</t>
  </si>
  <si>
    <t>19.40 s/d 20.20 Wita</t>
  </si>
  <si>
    <t>Menindaklanjuti laporan warga Umur : 25 Tahun Pekerjaan : Swasta Pendidikan : SD perihal meminta bantuan evakuasi pintu mobil yang tidak bisa dibuka beralamat Jl. A. Yani Km. 34 RT. 01 RW. 01 Kel. Kemuning Kec. Banjarbaru Selatan. Petugas berhasil dibuka. Petugas mengerahkan 1 Unit Ops Damkar Truk Tangki 1000 Liter.</t>
  </si>
  <si>
    <t>Ahmad Hairi No Telp. 081522826552</t>
  </si>
  <si>
    <t>Sabtu, 29 November 2025</t>
  </si>
  <si>
    <t>19.59 s/d 20.37 Wita</t>
  </si>
  <si>
    <t>Menindaklanjuti laporan warga Umur : 23 Tahun Pekerjaan : Wiraswasta Pendidikan : Mahasiswa perihal meminta bantuan evakuasi kucing yang masuk dalam sumur beralamat Jl. Sapta Marga Komp. Bintang Pertama 2 Blok B No 31 Kel. Guntung Payung Kec. Landasan Ulin. Kucing berhasil di evakuasi. Petugas mengerahkan 1 Unit Ops Damkar Mobil Hilux Kajama Rescue.</t>
  </si>
  <si>
    <t>Alriana No Telp. 0895033295214</t>
  </si>
  <si>
    <t>7 orang/1 unit
1. Nur Hidayah, SE
2. Budi Adi
3. Ade Susanto
4. Muhammad Noor
5. Bambang Arry Arsono
6. M. Yoppie Wirawan
7. M. Dadang Kurniwan, S.H.</t>
  </si>
  <si>
    <t>Minggu, 30 November 2025</t>
  </si>
  <si>
    <t>06.45 s/d 07.55 Wita</t>
  </si>
  <si>
    <t>Menindaklanjuti laporan warga Rahman Umur : 26 Tahun Pekerjaan : Wiraswasta Pendidikan : SMA perihal meminta bantuan evakuasi ular yang terlihat didalam rumah beralamat Jl. H.M Mistarcokrokusumo Kel. Cempaka Kec. Cempaka. Ular berhasil di evakuasi dan dilepasliarkan. Petugas mengerahkan 1 Unit Ops Damkar Mobil Hilux Kajama Rescue.</t>
  </si>
  <si>
    <t>Achmad Rizali No telp. 082149160398</t>
  </si>
  <si>
    <t>20.37 s/d 21.30 Wita</t>
  </si>
  <si>
    <t>Menindaklanjuti laporan warga Umur : 23 Tahun Pekerjaan : Mahasiswa Pendidikan : SMA perihal meminta bantuan evakuasi tawon ndas yang bersarang di atas pohon beralamat Fakultas Teknik Unlam Kel. Sungai Besar Kec. Banjarbaru Selatan. Sarang tawon berhasil dimusnahkan. Petugas mengerahkan 1 Unit Ops Damkar Truk Tangki Kajama 1000 Liter.</t>
  </si>
  <si>
    <t xml:space="preserve">Norkolis No telp. 089504022648 </t>
  </si>
  <si>
    <t>7 orang/1 unit
1. Nur Hidayah, SE
2. Ranu Wibowo
3. Imam Kastalani
4. Ahmad Riduan
5. Cipta Bayu
6. Heriyanto
7. M. Dadang Kurniwan, S.H</t>
  </si>
  <si>
    <t>Senin, 1 Desember 2025</t>
  </si>
  <si>
    <t>00.02 s/d 01.15 Wita</t>
  </si>
  <si>
    <t>Menindaklanjuti laporan warga Umur : 32 Tahun Pekerjaan : Supir Pendidikan : SMA  perihal meminta bantuan evakuasi mobil yang ban mobil tersebut masuk ke dalam drainase beralamat Jl. A. Yani Km. 32 Lampu Merah Brimob Kel. Guntung Manggis Kec. Landasan Ulin. Mobil berhasil di evakuasi. Petugas mengerahkan 1 Unit Ops Damkar Truk Tangki Kajama 3500 Liter</t>
  </si>
  <si>
    <t>Sahman No telp. 089654445833</t>
  </si>
  <si>
    <t>7 orang/1 unit
1.  Ranu Wibowo
2. Imam Kastalani
3. Ahmad Riduan
4. Muhammad Noor, SE
5. Budi Adi
6. Ade Susanto
7. Muhammad Noor</t>
  </si>
  <si>
    <t>20.24 s/d 22.05 Wita</t>
  </si>
  <si>
    <t>Menindaklanjuti laporan warga Umur : 24 Tahun Pekerjaan : ASN Pendidikan : S1 perihal meminta bantuan evakuasi tawon yang bersarang di atap bawah rumah beralamat Jl. Garuda Komp. Meranti Blok C. No 1 Kel. Landasan Ulin Timur Kec. Landasan Ulin. Petugas berhasil mengevakuasi sarang tawon tersebut dengan cara dibakar. petugas mengerahkan 1 Unit Ops Damkar. Truk Tangki Kajama 1000 Liter.</t>
  </si>
  <si>
    <t>Putri Yeni Artamevia No Telp. 082256468003</t>
  </si>
  <si>
    <t>8 orang/1 unit
1. Syafrullah, S.Sos, M.Si
2. Nur Hidayah, SE
3. Agus Budianto
4. M. Fikri Nisfuadi
5. Misladi
6. Cipta Bayu Mukti
7. Heriyanto
8. M. Dadang Kurniwan, S.H.</t>
  </si>
  <si>
    <t>Minggu, 14 Desember 2025</t>
  </si>
  <si>
    <t>07.38 s/d 08.40 Wita</t>
  </si>
  <si>
    <t xml:space="preserve">Menindaklanjuti laporan warga Umur : 29 Tahun Pekerjaan : Swasta Pendidikan : SMA perihal meminta bantuan evakuasi musang yang berada dalam kamar mandi beralamat Komp. Beringin Gg. Apel RT. 29 RW. 05 Kel. Sungai Besar Kec. Banjarbaru Selatan. Musang berhasil di evakuasi dan dilepasliarkan. Petugas mengerahkan 1 Unit Ops Damkar Mobil Hilux Kajama Rescue. </t>
  </si>
  <si>
    <t>Ananta Hamidi  No Telp. 082150815056</t>
  </si>
  <si>
    <t>7 orang/1 unit
1. Agus Budianto
2. M. Fikri Nisfuadi
3. Misladin
4. Cipta Bayu Mukti
5. Heriyanto
6. Ranu Wibowo
7. Ahmad Riduan</t>
  </si>
  <si>
    <t>13.34 s/d 14.40 Wita</t>
  </si>
  <si>
    <t>Menindaklanjuti laporan warga Umur : 34 Tahun Pekerjaan : Swasta Pendidikan : SMA perihal meminta bantuan evakuasi ular yang terliihat dipohon depan rumah beralamat Jl. Tambak Langsat Komp. Griya Utama Asri Blok F No. 39 Kel. Syamsudin Noor Kec. Landasan Ulin. Ular tidak berhasil ditemukan. Petuga mengerahkan 1 Unit Ops Damkar Mobil Hilux Kajama Rescue.</t>
  </si>
  <si>
    <t>Aditya Pratama No Telp. 082151881991</t>
  </si>
  <si>
    <t>8 orang/1 unit
1. Syafrullah, S.Sos, M. Si
2. Nur Hidayah, SE
3. Budi Adi
4. Ade Susanto
5. Muhammad Noor
6. Bambang Arry Arsono
7. M. Yoppie Wirawan
8. M. Dadang Kurniwan, S.H</t>
  </si>
  <si>
    <t>Senin, 15 Desember 2025</t>
  </si>
  <si>
    <t>00.14 s/d 00.59 Wita</t>
  </si>
  <si>
    <t>Menindaklanjuti laporan warga Umur 33 Tahun Pekerjaan Swasta :  perihal meminta bantuan evakuasi ular yang terlihat di tempat tidur beralamat Jl, Pandawa 2 Kel. Guntung Paikat Kec. Banjarbaru Selatan. Ular tidak berhasil ditemukan. Petugas mengerahkan 1 Unit Ops Damkar Mobil Hilux Kajama Rescue.</t>
  </si>
  <si>
    <t xml:space="preserve">Rudi No Hp. 089684021677 </t>
  </si>
  <si>
    <t>7 orang/1 unit
1. Budi Adi
2. Ade Susanto
3. Muhammad Noor
4. Bambang Arry Arsono
5. M. Yoppie Wirawan
6. Agus Budianto
7. Misladin</t>
  </si>
  <si>
    <t>20.19 s/d 21.05 Wita</t>
  </si>
  <si>
    <t>Menindaklanjuti laporan warga Umur : 32 Tahun Pekerjaan : Honorer Pendidikan : SMA perihal meminta bantuan evakuasi ular yang terlihat di halaman depan rumah beralamat Komp. Villa Mahatama RT. 29 Kel. Syamsudin Noor Kec. Landasan Ulin. Ular berhasil di evakuasi dan dilepasliarkan. Petugas mengerahkan 1 Unit Ops Damkar Mobil Hilux Kajama Rescue.</t>
  </si>
  <si>
    <t>Wahyu No Hp. 08781597280006</t>
  </si>
  <si>
    <t>9 orang/1 unit
1. Syafrullah, S.Sos, M.Si
2. Ranu Wibowo
3. Imam Kastalani
4. Ahmad Riduan
5. Muhammad Noor, SE
6. M. Fikri Nisfuadi
7. Cipta Bayu Mukti
8. Heriyanto
9. M. Dadang Kurniwan, S.H.</t>
  </si>
  <si>
    <t>Selaa, 16 Desember 2025</t>
  </si>
  <si>
    <t>00.01 s/d 00.20 Wita</t>
  </si>
  <si>
    <t>Menindaklanjuti laporan warga Umur : 29 Tahun Pekerjaan : Swasta Pendidikan : SMA perihal meminta bantuan evakuasi kucing yang tercebur dalam sumur beralamat Jl. Hidayah Gg. Family RT. 01 RW. 05 Kel. Guntung Paikat Kec. Banjarabaru Selatan. Kucing berhasil di evakuasi. Petugas mengerahkan 1 Unit Ops Damkar Mobil Hilux Kajama Rescue.</t>
  </si>
  <si>
    <t>Sarlina No Telp. 089523754696</t>
  </si>
  <si>
    <t>7 orang/1 unit
1. Ranu Wibowo
2. Imam Kastalani
3. Ahmad Riduan
4. Muhammad Noor, SE
5. Muhammad Noor
6. Bambang Arry Arsono
7. M. Yoppie Wirawan</t>
  </si>
  <si>
    <t>Selasa, 16 Desember 2025</t>
  </si>
  <si>
    <t>13.30 s/d 15.30 Wita</t>
  </si>
  <si>
    <t xml:space="preserve">Nurdin No Hp. 081345246061 </t>
  </si>
  <si>
    <t>Menindaklanjuti laporan warga Umur : 55 Tahun Pekerjaan : Swasta Pendidikan : SMP perihal meminta bantuan evakuasi adanya tawon yang bersarang di depan rumah beralamat Jl. Dukuh Jaya RT. 10 RW. 07 Kel. Sungai Besar Kec. Banjarbaru Selatan. Petugas berhasil memusnahkan sarang tawon. Petugas mengerahkan 1 Unit Ops Damkar Truk Tangki Kajama 1000 Liter.</t>
  </si>
  <si>
    <t>8 orang/1 unit
1. Nur Hidayah, SE
2. Agus Budianto
3. M. Fikri Nisfuadi
4. Misladin
5. Cipta Bayu Mukti
6. Heriyanto
7. Budi Adi
8. Ade Susanto</t>
  </si>
  <si>
    <t>Rabu, 17 Desember 2025</t>
  </si>
  <si>
    <t>Menindaklanjuti laporan warga Umur : 25 Tahun Pekerjaan : Ibu Rumah Tangga Pendidikan : SMK perihal meminta bantuan evakuasi ular yanag terlihat di atas plafon rumah beralamat Jl. Abadi 3 Perumahan Abadi Garden Blok B/24 RT. 06 RW. 07 Kel. Guntung Manggis Kec. Landasan Ulin. Ular tidak berhasil ditemukan. Petugas mengerahkan 1 Unit Ops Damkar Mobil Hilux Kajama Rescue.</t>
  </si>
  <si>
    <t>Maulida No Telp. 083125848064</t>
  </si>
  <si>
    <t>8 orang/1 unit
1. Agus Budianto
2. M. Fikri Nisfuadi
3. Misladin
4. Cipta Bayu Mukti
5. Heriyanto
6. Ranu Wibowo
7. Imam Kastalani
8. Muhammad Noor, SE</t>
  </si>
  <si>
    <t>12.12 s/d 13.21 Wita</t>
  </si>
  <si>
    <t>Menindaklanjuti laporan warga Umur : 59 Tahun Pekerjaan : Swasta Pendidikan : S1 perihal meminta bantuan evakuasi ular yang terlihat didalam rumah beralamat Jl. Kasturi Komp. Perumahan Sumber Cahaya Indah No. F8 RT. 36 RW. 06 Kel. Syamsudin Noor Kec. Landasan Ulin. Ular tidak berhasil ditemukan. Petugas mengerahkan 1 Unit Ops Damkar Truk Tangki Kajama 3500 Liter.</t>
  </si>
  <si>
    <t>Iwan Hermawan No Telp. 082154967373</t>
  </si>
  <si>
    <t>Kamis, 18 Desember 2025</t>
  </si>
  <si>
    <t>01.15 s/d 02.00 Wita</t>
  </si>
  <si>
    <t>Menindaklanjuti laporan warga Umur : 34 Tahun Pekerjaan : Asn Pendidikan : S1 perihal meminta bantuan evakuasi mobil yang masuk ke dalam drainase beralamat Jl. Sidomulya raya Jalur 1 Blok 5 No. 10 Kel. Landasan Ulin Utara Kec. Liang Anggang. Mobil berhasil di evakuasi. Petugas mengerahkan 1 Unit Ops Damkar Mobil Hilux Kajama Rescue.</t>
  </si>
  <si>
    <t>Radhiah No Hp. 082250515723</t>
  </si>
  <si>
    <t>8 Orng/1 Unit
1. Budi Adi
2. Ade Susanto
3. Muhammad Noor
4. Bambang Arry Arsono
5. M. Yoppie Wirawan
6. M. fikri Nisfuadi
7. Cipta Bayu Mukti
8. Heriyanto</t>
  </si>
  <si>
    <t>14.06 s/d 14.41 Wita</t>
  </si>
  <si>
    <t>Menindaklanjuti laporan warga Umur : 42 Tahun Pekerjaan : IRT Pendidikan : SMA perihal meminta bantuan evakuasi ular yang berada didalam kasur beralamat Jl. Tambak Taraf Komp. CGR RT. 40 RW. 06 Kel. Syamsudin Noor Kec. Landasan Ulin. Ular berhasil di evakuasi dan dilepasliarkan. Petugas mengerahkan 1 Unit Ops Damkar Mobil Hilux Kajama Rescue.</t>
  </si>
  <si>
    <t>Sulis No Hp. 085822014266</t>
  </si>
  <si>
    <t>7 orang/1 unit
1. Syafrullah, S.Sos, M.Si
2. Nur Hidayah, SE
3. Ranu Wibowo
4. Imam Kastalani
5. Ahmad Riduan
6. Muhammad Noor, SE
7. M. Dadang Kurniwan, S.H.</t>
  </si>
  <si>
    <t>Jum`at, 19 Desember 2025</t>
  </si>
  <si>
    <t>Menindaklanjuti laporan warga Umur : 47 Tahun Pekerjaan : Ibu Rumah Tangga Pendidikan : SMA perihal meminta bantuan evakuasi ular yang terlihat dalam kamar rumah beralamat Jl. Al Jafrie Komp. Qiramah Alam RT. 12 RW. 03 Kel. Kemuning Kec. Banjarbaru Selatan. Ular berhasil di evakuasi dan dilepasliarkan. Petugas mengerahkan 1 Unit Ops Damkar Mobil Hilux Kajama Rescue. evakuasi ular yang berada di atas kerangka atap rumah beralamat Jl. Caraka Komp. CMP No J 12 RT. 12 RW. 10 Kel. Landasan Ulin Utara Kec. Liang Aggang. Petugas berhasil mengevakuasi ular tersebut dan dilepasliarkan. Petugas mengerahkan 1Unit Ops Damkar Mobil Hilux Kajama Rescue.</t>
  </si>
  <si>
    <t xml:space="preserve">Sri Handayani No Telp. 082144426315 </t>
  </si>
  <si>
    <t>14.02 s/d 15.14 Wita</t>
  </si>
  <si>
    <t>Menindaklanjuti laporan warga Umur : 32 Tahun Pekerjaan : Honorer Pendidikan : S1 perihal meminta bantuan evakuasi ular yang terlihat dipekarangan rumah beralamat Jl. Sidomulyo 2 No. 42 RT. 04 RW. 01 Kel. Guntung Payung Kec. Landasan Ulin. Ular berhasil di evakuasi dan dilepasliarkan. Petugas mengerahkan 1 Unit Ops Damkar Mobil Hilux Kajama Rescue.</t>
  </si>
  <si>
    <t>Nazmatus No Hp. 085251928594</t>
  </si>
  <si>
    <t>Sabtu, 20 Desember 2025</t>
  </si>
  <si>
    <t>06.21 s/d 08.05 Wita</t>
  </si>
  <si>
    <t>Menindaklanjuti laporan warga Umur : 45 Tahun Pekerjaan : Swasta pendidikan : SMA perihal meminta bantuan evakuasi ular yang terlihat di dapur beralamat Jl. Makmur Komp. Permata No. 33 Kel. Landasan Ulin Utara Kec. Liang Anggang. Ular tidak berhasil ditemukan. Petugas mengerahkan 1 Unit Ops Damkar Mobil Hilux Kajama Rescue.</t>
  </si>
  <si>
    <t>Yudi No Hp. 085249229005</t>
  </si>
  <si>
    <t>8 orang/1 unit
1. Agus Budianto
2. M. Fikri Nisfuadi
3. Misladin
4. Cipta Bayu Mukti
5. Heriyanto
6. Muhammad Noor
7. Bambang Arry Arsono
8. M. Yoppie Wirawan</t>
  </si>
  <si>
    <t>18.48 s/d 19.30 Wita</t>
  </si>
  <si>
    <t>Menindaklanjuti laporan warga Umur : 43 Tahun Pekerjaan : Swasta Pendidikan :  SMA perihal meminta bantuan evakuasi kunci mobil yang tertinggal dalam mobil beralamat Jl. Permata Intan Kel. Sungai Ulin Kec. Bajjarbaru Utara. Kunci mobil berhasil di evakuasi. Petugas mengerahkan 1 Unit Ops Damkar Mobil Hilux Kajama Rescue. evakuasi ular yang berada di atas kerangka atap rumah beralamat Jl. Caraka Komp. CMP No J 12 RT. 12 RW. 10 Kel. Landasan Ulin Utara Kec. Liang Aggang. Petugas berhasil mengevakuasi ular tersebut dan dilepasliarkan. Petugas mengerahkan 1Unit Ops Damkar Mobil Hilux Kajama Rescue.</t>
  </si>
  <si>
    <t>Alfian No Hp. 081393542189</t>
  </si>
  <si>
    <t>Minggu, 21 Desember 2025</t>
  </si>
  <si>
    <t>07.01 s/d 07.30 Wita</t>
  </si>
  <si>
    <t>Menindaklanjuti laporan warga Umur : 59 Tahun Pekerjaan : IRT Pendidikan : SMA perihal meminta bantuan evakuasi ular yang terlihat dalam kamar beralamat Jl. Transmisi Karang Rejo Kel. Guntung Manggis Kec. Landasan Ulin. Ular berhasil di evakuasi dan dilepasliarkan. Petugas mengerahkan 1 Unit Ops Damkar Mobil Hilux Kajama Rescue.</t>
  </si>
  <si>
    <t>Siti Rahmah No Hp. 085246176601</t>
  </si>
  <si>
    <t>16.52 s/d 17.30 Wita</t>
  </si>
  <si>
    <t>Menindaklanjuti laporan warga Umur : 25 Tahun Pendidikan : S1 perihal meminta bantuan evakuasi mobil yang masuk dalam rawa beralamat Jl. Sukamaju Kel. Landasan Ulin Utara Kec. Liang Anggang. Mobil berhasil di evakuasi. Petugas mengerahkan 1 Unit Ops Damkar Mobill Hilux Kajama Rescue.</t>
  </si>
  <si>
    <t xml:space="preserve">Putri Yana Azhar No Telp. 089657551412 </t>
  </si>
  <si>
    <t>8 orang/1 unit 
1. Syafrullah, S.Sos, M.Si
2. Nur Hidayah, SE
3. Ranu Wibowo
4. Imam Kastalani
5. Ahmad Riduan
6. Muhammad Noor, SE
7. Heriyanto
8 M. Dadang Kurniwan, S.H.</t>
  </si>
  <si>
    <t>Senin, 22 Desember 2025</t>
  </si>
  <si>
    <t>06.55 s/d 07.55 Wita</t>
  </si>
  <si>
    <t>Menindaklanjuti laporan warga Umur : 28 Tahun Pekerjaan : PNS Pendidikan : S1  perihal emminta bantuan evakuasi pintu mobil yang terkunci dari dalam beralamat Jl. A. Yani Km. 35 Museum Banjarbaru Kel. Komet Kec. Banjarbaru Utara. Pintu mobil berhasil dibuka. Petugas mengerahkan 1 Unit Ops Damkar Mobil Hilux Kajama Rescue.</t>
  </si>
  <si>
    <t>Abdullah Assegaf No Telp. 081322215533</t>
  </si>
  <si>
    <t>6 orang/1 unit
1. Ranu Wibowo
2. Imam Kastalani
3. Ahmad Riduan
4. Muhammad Noor, SE
5. Muhammad Noor
6. Bambang Arry Arsono</t>
  </si>
  <si>
    <t>09.26 s/d 10.09 Wita</t>
  </si>
  <si>
    <t>Menindaklanjuti laporan warga Umur : 21 Tahun Pekerjaan : Mahasiswa pendidikan : SMA perihal meminta bantuan evakuasi orang yang terkunci dalam kamar beralamat Jl. Galaxy Kel. Guntung Manggis Kec. Landasan Ulin. Pintu berhasil dibuka. Petugas mengerahkan 1 Unit Ops Damkar Mobil Hilux Kajama Rescue.</t>
  </si>
  <si>
    <t>Zada Aisyah Agustia melalui Via Call Center 112</t>
  </si>
  <si>
    <t>7 orang/1 unit
1. Agus Budianto
2. M. Fikri Nisfuadi
3. Misladin
4. Cipta Bayu Mukti
5. Heriyanto
6. M. Yoppie Wirawan
7. M. Dadang Kurniwan, S.H</t>
  </si>
  <si>
    <t>Selasa, 23 Desember 2025</t>
  </si>
  <si>
    <t>Menindaklanjuti laporan warga Umur : 32 Tahun Pekerjaan : Swasta pendidikan : SMA perihal meminta bantuan evakuasi ular terlihat di dapur beralamat Jl. Sriwijaya Komp. Fadillah Perdana 6 No. 118 RT. 02 RW. 01 Kel. Landasan Ulin Utara Kec. Liang Anggang. Ular tidak berhasil di evakuasi. Petugas mengerahakan 1 Unit Ops Damkar Mobil Hilux Kajama Rescue.</t>
  </si>
  <si>
    <t>Rizky No Hp. 081345253978</t>
  </si>
  <si>
    <t>7 orang/1 unit
1. Agus Budianto
2. M. Fikri Nisfuadi
3. Misladin
4. Cipta Bayu Mukti
5. Heriyanto
6. Ranu Wibowo
7. Imam Kastalani
8. Muhammad Noor, SE</t>
  </si>
  <si>
    <t>20.20 s/d 21.29 Wita</t>
  </si>
  <si>
    <t>Menindaklanjuti laporan warga  Umur : 36 Tahun Pekerjaan : Swasta pendidikan : S1 perihal meminta bantuan adanya ular di dalam kamar mandi beralamat Komp. Aeropolis No. A95 Kel. Syasudin Noor Kec. Landasan Ulin. Ular berhasil di evakuasi dan dilepasliarkan. Petugas mengerahkan 1 Unit Ops Damkar Mobil Hilux Kajama Rescue.</t>
  </si>
  <si>
    <t>M. Istiawan No Hp. 08119640414</t>
  </si>
  <si>
    <t>6 orang/1 unit
1. Syafrullah, S.Sos, M.Si
2. Budi Adi
3. Muhammad Noor
4. Bambang Arry Arsono
5. M. Yoppie Wirawan
6. M. Dadang Kurniwan, S.H</t>
  </si>
  <si>
    <t>Rabu, 24 Desember 2025</t>
  </si>
  <si>
    <t>07.23 s/d 08.15 Wita</t>
  </si>
  <si>
    <t xml:space="preserve">Menindaklanjuti laporan warga Umur : 41 Tahun Pekerjaan : IRT  Pendidikan : SMA perihal meminta bantuan evakuasi ular di dalam Mess Karyawan beralamat Jl. Priangan No. 07 Kel. Loktabat Utara Kec. Banjarbaru Utara. Ular berhasil di evakuasi dan dilepasliarkan. Petugas mengerahkan 1 Unit Ops Damkar Mobil Hilux Kajama Rescue. </t>
  </si>
  <si>
    <t xml:space="preserve">Mega Wati No Hp. 087846796408 </t>
  </si>
  <si>
    <t>6 orang/1 unit
1. Budi Adi
2. Muhammad Noor
3. Bambang Arry Arsono
4. M. Yoppie Wirawan
5. M. Fikri Nisfuadi
6. Cipta Bayu Mukti</t>
  </si>
  <si>
    <t>21.39 s/d 22.33 Wita</t>
  </si>
  <si>
    <t>menindaklanjuti laporan warga Umur : 29 Tahun Pekerjaan : Bilman PLN Pendidikan : SMA  perihal meminta bantuan evakuasi ular yang terlihat dalam rumah beralamat Jl. Mistarcokrokusumo RT. 24 RW. RW. 08 Kel. Cempaka Kec. Cempaka. Ular berhasil di evakuasi dan dilepasliarkan. Petugas mengerahkan 1 Unit Ops Damkar Truk Tangki 3500 Liter.</t>
  </si>
  <si>
    <t>Fitra Yudha No Hp. 0878472955654</t>
  </si>
  <si>
    <t>7 orang/1 unit 
1. Syafrullah, S.Sos, M.Si
2. Ranu Wibowo
3. Imam Kastalani
4. Ahmad Riduan
5. Muhammad Noor, SE
6. Misladin
7. M. Dadang Kurniwan, S.H.</t>
  </si>
  <si>
    <t>Kamis, 25 Desember 2025</t>
  </si>
  <si>
    <t>05.16 s/d 06.55 Wita</t>
  </si>
  <si>
    <t>Menindaklanjuti laporan warga Umur : 50 Tahun Pekerjaan : Wiraswasta Pendidikan : SMA perihal meminta bantuan evakuasi ular yang terlihat di atas plafon beralamat Jl. Zambrud RT. 13 RW. 01 Kel. Bangkal Kec. Cempaka. Ular tidak berhasil ditemukan. Petugas mengerahkan 1 Unit Ops Damkar Mobil Hilux Kajama Rescue.</t>
  </si>
  <si>
    <t>Hairil Ansar No Hp. 083136371367</t>
  </si>
  <si>
    <t>7 orang/1 unit 
1. Ranu Wibowo
2. Imam Kastalani
3. Ahmad Riduan
4. Muhammad Noor, SE
5. Budi Adi
6. Bambang Arry Arsono
7. M. Yoppie Wirawan</t>
  </si>
  <si>
    <t>09.51 s/d 11.20 Wita</t>
  </si>
  <si>
    <t>Menindaklanjuti laporan warga Umur : 36 Tahun Pekerjaan : Ibu Rumah Tangga Pendidikan : SMP perihal meminta bantuan evakuasi ular yang terlihat didalam sumur beralamat Jl. Purnawirawan Komp. Guntung Manggis View RT. 19 RW. 03 Kel. Guntung Manggis Kec. Landasan Ulin. Ular berhasil di evakuasi dan dilepasliarkan. Petugas mengerahkan 1 Unit Ops Damkar Mobil Hilux Kajama Rescue.</t>
  </si>
  <si>
    <t>Siti Aminah No Telp. 081929521620</t>
  </si>
  <si>
    <t>Jum`at, 26 Desember 2025</t>
  </si>
  <si>
    <t>05.30 s/d 06.15 Wita</t>
  </si>
  <si>
    <t>Menindaklanjuti laporan warga Umur : 23 Tahun Pekerjaan : Swasta Pendidikan : SMA perihal meminta bantuan evakuasi pintu kamar yang terkunci dan didalam ada seorang anak beralamat Komp. Bukit Permata Asri Kel. Sungai Ulin Kec. Banjarbaru Utara. Petugas berhasil membuka pintu kamar dan mengeluarkan anak tersebut. Petugas mengerahkan 1 Unit Ops Damkar Mobil Hilux Kajama Rescue.</t>
  </si>
  <si>
    <t>Aris No Telp. 081250132721</t>
  </si>
  <si>
    <t>7 orang/1 unit
1. Agus Budianto
2. M. Fikri Nisfuadi
3. Misladin
4. Cipta Bayu Mukti
5. Heriyanto
6. Imam Kastalani
7. Ahmad Riduan</t>
  </si>
  <si>
    <t>14.36 s/d 15.30 Wita</t>
  </si>
  <si>
    <t>Menindaklanjuti laporan warga Umur : 19 Tahun Pekerjaan : Mahasiswa Pendidikan : SMA perihal meminta bantuan evakuasi ular yang terlihat didalam bagian motor beralmat Jl. Unlam 2 Kel. Sungai Besar Kec. Banjarbaru Selatan. Ular tidak berhasil ditemukan. Petugas mengerahkan 1 Unit Ops Damkar Mobil Hilux Kajama Rescue.</t>
  </si>
  <si>
    <t>Fadel No Telp. 082251564028</t>
  </si>
  <si>
    <t>Sabtu, 27 Desember 2025</t>
  </si>
  <si>
    <t>00.15 s/d 01.30 Wita</t>
  </si>
  <si>
    <t>Menindaklanjuti laporan warga Umur : 49 Tahun Pekerjaan : ASN Pendidikan : S1 perihal meminta bantuan evakuasi ular yang terlihat dihalaman rumah Jl. Sriwijaya Komp. Griya Fatih Sriwijaya No. 04 Kel. Landasan Ulin Utara Kec. Liang Anggang. Ular tidak berhasil di evakuasi. Petugas mengerahkan 1 Unit Ops Damkar Mobil Hilux Kajama Rescue.</t>
  </si>
  <si>
    <t>Jojo No Hp. 087879710416</t>
  </si>
  <si>
    <t>7 orang/1 unit
1. Budi Adi
2. Ade Susanto
3. Muhammad Noor 
4. Bambang Arry Arsono
5. M. Yoppie Wirawan
6. Agus Budianto
7. Misladin</t>
  </si>
  <si>
    <t>09.38 s/d 10.29 Wita</t>
  </si>
  <si>
    <t>Menindaklanjuti laporan warga Umur : 16 Tahun Pekerjaan : Pelajar Pendidikan : SMA  perihal meminta bantuan evakuasi mobil yang masuk ke dalam drainase beralamat Jl. Bhayangkara 1 Kel. Guntung Manggis Kec. Landasan Ulin. Mobil berhasil d evakuasi. Petugas mengerahakan 1 Unit Ops Damkar Mobil Hilux Kajama Rescue.</t>
  </si>
  <si>
    <t>Wiyel Steven No Telp. 083136371367</t>
  </si>
  <si>
    <t>8 orang/1 unit
1. Syafrullah, S.Sos, M.Si
2. Nur Hidayah, SE
3. Ranu Wibowo
4. Imam Kastalani
5. Ahmad Riduan
6. Muhammad Noor, SE
7. Heriyanto
8. M. Dadang Kurniwan, S.H.</t>
  </si>
  <si>
    <t>Minggu, 28 Desember 2025</t>
  </si>
  <si>
    <t>Menindaklanjuti laporan warga Umur : 34 Tahun Pekerjaan : Swasta Pendidikan : : D3  perihal meminta bantuan evakuasi ular yang terlihat di teras rumah beralamat Jl. Cempaka Baru Komp. Graha Citra Megah Blok G No. 17 Kel. Cempaka Kec. Cempaka. Ular berhasil di evakuasi dan dilepasliarkan. Petugas mengerahkan 1 Unit Ops Damkar Mobil Hilux Kajama Rescue.</t>
  </si>
  <si>
    <t>Surya Adi Putra No Telp. 082351138085</t>
  </si>
  <si>
    <t>7 orang/1 unit
1. Ranu Wibowo
2. Imam Kastalani
3. Ahmad Riduan
4. Muhammad Noor, SE
5. Budi Adi
6. Ade Susanto
7. Muhammad Noor</t>
  </si>
  <si>
    <t>08.03 s/d 09.10 Wita</t>
  </si>
  <si>
    <t>Menindaklanjuti laporan warga  Umur : 27 Tahun Pekerjaan : PNS Pendidikan : S1  perihal meminta bantuan evakuasi mobil yang terkunci dan didalam mobil ada seorang anak beralamat Jl. Mistarcokrokusumo Kel. Sungai Besar Kec. Banjarbaru Selatan. Pintu mobil berhasil dibuka dan anak berhasil di evakuasi. Petugas mengerahkan 1 Unit Ops Damkar Mobil Hilux Kajama Rescue.</t>
  </si>
  <si>
    <t>Alisa No Telp. 082150984071</t>
  </si>
  <si>
    <t xml:space="preserve">7 orang/1 unit
1. Syafrullah, S.Sos, M.Si
2. Nur Hidayah, SE
3. Agus Budianto
4. M. Fikri Nisfuadi
5. Cipta Bayu Mukti
6. Heriyanto
7. M. Dadang Kurniwan, S.H. </t>
  </si>
  <si>
    <t>Senin, 29 Desember 2025</t>
  </si>
  <si>
    <t>07.57 s/d 09.50 Wita</t>
  </si>
  <si>
    <t>Menindaklanjuti laporan warga Umur : 34 Tahun Pekerjaan : Guru Pendidikan : S1 perihal meminta bantuan evakuasi kucing yang terjepit dinding rumah beralamat Komp. Tia Permata Resort RT. 05 RW. 02 No. 47 Kel. Komet Kec. Banjarbaru Utara. Kucing berhasil di evakuasi. Petugas mengerahkan 1 Unit Ops Damkar Mobil Tangki Kajama 1000 Liter.</t>
  </si>
  <si>
    <t>Uun Fatur No Telp. 081398500370</t>
  </si>
  <si>
    <t>7 orang/1 unit
1. Agus Budianto
2. M Fikri Nisfuadi
3. Cipta Bayu Mukti
4. Heriyanto
5. Ranu Wibowo
6. Ahmad Riduan
7. Muhammad Noor, SE</t>
  </si>
  <si>
    <t>15.43 s/d 16.21 Wita</t>
  </si>
  <si>
    <t>Menindaklanjuti laporan warga  Umur : 38 Tahun Pekerjaan : Swasta Pendidikan : S1 perihal meminta bantuan evakuasi ular yang terlihat di dapur berlamat Komp. Galuh Marindu 2 Kel. Sungai Besar Kec. Banjarbaru Selatan. Ular tidak berhasil ditemukan. Petugas mengerahkan 1 Unit Ops Damkar Mobil Hilux Kajama Rescue.</t>
  </si>
  <si>
    <t>Ryan No Telp. 081255081775</t>
  </si>
  <si>
    <t xml:space="preserve">8 orang/1 unit
1. Syafrullah, S.Sos, M.Si
2. Nur Hidayah, SE
3. Budi Adi
4. Ade Susanto
5. Muhammad Noor
6. Bambang Arry Arsono
7. M. Yoppie Wirawan
8. M Dadang Kurniwan, S.H.
</t>
  </si>
  <si>
    <t>Selasa, 30 Desember 2025</t>
  </si>
  <si>
    <t>00.03 s/d 01.29 Wita</t>
  </si>
  <si>
    <t>Menindaklanjuti laporan warga perihal meminta bantuan evakuasi ular yang berada di bawah mesin cuci rumah pelapor beralamat Jl. Kebun Karet RT. 016 RW. 007 Kel. Loktabat Utara Kec. Banjarbaru Utara. Petugas menuju lokasi pelapor dan melakukan pencarian. Ular tidak berhasil ditemukan. Petugas mengerahkan 1 Unit Ops Damkar Truk Ton III.</t>
  </si>
  <si>
    <t>7 orang/1 unit
1. Budi Adi
2. Ade Susanto
3. Muhammad Noor
4. Bambang Arry Arsono
5. M. Yoppie Wirawan
6. M. Fikri Nisfuadi
7. Cipta Bayu Mukti</t>
  </si>
  <si>
    <t>Menindaklanjuti laporan warga Umur : 24 Tahun Pekerjaan Swasta Pendidikan : SMP perihal meminta bantuan evakuasi ular yang terliaht di dalam rumah beralamat Jl. Kenanga RT. 06 RW. 09 Kel. Landasan Ulin Timur Kec. Landasan Ulin. Ular tidak berhasil ditemukan. Petugas mengerahkan 1 Unit Ops Damkar Mobil Hilux Kajama Rescue.</t>
  </si>
  <si>
    <t>Wisnu Aditya No telp. 081254937179</t>
  </si>
  <si>
    <t>8 orang/1 unit
1. Syafrullah, S.Sos, M.Si
2. Nur Hidayah, SE
3  Ranu Wibo
4. Imam Kastalani
5. Ahmad Riduan
6. Muhammad Noor, SE
7. Agus Budianto
8. M. Dadang Kurniwan, S.H.</t>
  </si>
  <si>
    <t>Rabu, 31 Desember 2025</t>
  </si>
  <si>
    <t>00.10 s/d 01.20 Wita</t>
  </si>
  <si>
    <t>Menindaklanjuti laporan warga  Umur : 29 Tahun Pekerjaan : Wirausaha Pendidikan : S1  perihal meminta bantuan evakuasi pintu rolling toko yang tidak bisa di tutup karena lepas dari jalur rel beralamat Jl. A. Yani Km. 35 samping Polres Banjarbaru Kel. Guntung Paikat Kec. Banjarbaru Selatan. Pintu rolling berhasil diperbaiki dan dapat digunakan kembali. Petugas mengerahkan 1 Unit Ops Damkar Mobil Hilux Kajama Rescue.</t>
  </si>
  <si>
    <t>Reza No Telp. 081953683905</t>
  </si>
  <si>
    <t>8 orang/1 unit
1. Ranu Wibowo
2. Imam Kastalani
3. Ahmad Riduan
4. Muhammad Noor, SE
5. Budi Adi
6. Ade Susanto
7. Bambang Arry Arsono
8. M Yoppie Wirawan</t>
  </si>
  <si>
    <t>16.02 s/d 16.35 Wita</t>
  </si>
  <si>
    <t>Menindaklanjuti laporan warga  Umur : 25 Tahun Pekerjaan : Swasta Pendidikan : SMP perihal meminta bantuan evakuasi anak yang yang terkunci dalam WC beralamat Jl. Cempaka Baru Gunung Kupang RT. 40 RW. 10 Kel. Cempaka Kec. Cempaka. Pintu WC berhasil dibuka dan anak berhasil di evakuasi. Petugas mengerahkan 1 Unit Ops Damkar Mobil Hilux Kajama Rescue.</t>
  </si>
  <si>
    <t>M. Baihaqi No Telp. 0895331635307</t>
  </si>
  <si>
    <t>6 orang/1 unit
1. Syafrullah, S.Sos, M.Si
2. Agus Budianto
3. M. Fikri Nisfuado
4. Cipta Bayu Mukti
5. Heriyanto
6. M. Dadang Kurniwan, S.H.</t>
  </si>
  <si>
    <t>19.35 s/d 20.19 Wita</t>
  </si>
  <si>
    <t>Menindaklanjuti laporan Via Grup Wa Relawan Damkar Banjarbaru telah terjadi kebakaran bangunan di Rumah Makan Mie Goyang beralamat Jl. Pinus 2 RT. 02 RW. 02 Kel. Mentaos Kec. Banjarbaru Utara. Asal api dari Tabung Gas yang bocor. Kerugian kurang lebih 9 Juta Rupiah. Korban Luka Bakar an. Yasin, Abdullah dan Ridani Pegawai Rumah Makan Mie Goyang. Petugas mengerahkan 1 Unit Ops Damkar Truk Tangki Kajama 4000 Liter.</t>
  </si>
  <si>
    <t xml:space="preserve">7 orang/1 unit
1. Agus Budianto
2. Ade Susanto
3. Misladin
4. M. Yoppie Wirawan
5. Budi Adi
6. Muhammad Noor
7. Bambang Arry Arsono
</t>
  </si>
  <si>
    <t>Rumah Makan</t>
  </si>
  <si>
    <t>Senin, 7  April 2025</t>
  </si>
  <si>
    <t>01.31 s/d 03.15 Wita</t>
  </si>
  <si>
    <t>Menindaklanjuti laporan dari Grup Wa Emergency Banjarbaru an. Rokhlis Alwi No Telp. 085387589102 telah terjasi kebakaran bangunan Ruko 2 Lantai tempat usaha Loundry beralamat Jl. Karang So RT. 20 RW. 11 No. 04 Kel. Loktabat Utara Kec. Banjarbaru Utara. Asal api masih dalam tahap penyelidikan kepolisian. Terdampak Ruko 2 lantai habis terbakar. Korban mengalami syok karyawati an. Musda 19 Tahun dan Maria 20 Tahun. Pemilik Usaha an. Ibu Alfisyah 55 Tahun. Petugas mengerahkan 1 Unit Ops Damkar Truk tangki Kajama 3500 Liter.</t>
  </si>
  <si>
    <t>via grup emergency  an. Rokhlis Alwi No Telp. 085387589102</t>
  </si>
  <si>
    <t>Ruko Usaha Loundry</t>
  </si>
  <si>
    <t>20.38 s/d 22.00 Wita</t>
  </si>
  <si>
    <t>Menindaklanjuti laporan Via Grup WA Relawan Damkar bahwa terjadi kebakaran bangunan beralamat Jl. Jurusan Pleihari/ pembataan No. 76 RT. 06 RW. 02 Kel. Landasan Ulin Selatan Kec. Liang Anggang. Pemilik rumah an. Abdul Rahman (Ubay) 2 KK 6 Jiwa an. Abdul Rahman 73 Tahun, Atikah 41 Tahun. Asal api masih dalam penyelidikan kepolisian.Kerugian diperkirakan 90 juta Rupiah. Petugas mengerahkan 2 Unit Ops Damkar Truk Tangki Kajama 4000 Liter dan Mobil Hilux Kajama Rescue.</t>
  </si>
  <si>
    <t xml:space="preserve"> Via Grup WA Relawan Damkar</t>
  </si>
  <si>
    <t>6 orang/ 2 unit
1. Agus Budianto
2. Ade Susanto
3. Misladin
4. M. Yoppie Wirawan
5. Budi Adi
6. Muhammad Noor</t>
  </si>
  <si>
    <t>Rumah</t>
  </si>
  <si>
    <t>01.06 s/d 02.45 Wita</t>
  </si>
  <si>
    <t>Menindaklanjuti lapiran warga an. Amau No Telp. 083141012072 perihal telah terjadi kebakaran bangunan beralamat Jl. Laros RT. 04 RW. 02 Kec. Landasan Ulin Tengah Kec. Liang Anggang. Pemilik an. Ibu Yusnani 50 tahun. Asal api masih dalam tahap penyelidikan kepolisian. Terdampak Rumah tebakar 70% berserta isi nya. Petugas mengerahkan 1 Unit Ops Damkar Truk Tangki Kajama 3500 Liter.</t>
  </si>
  <si>
    <t>Amau No Telp. 083141012072</t>
  </si>
  <si>
    <t>10.54 s/d 12.10 Wita</t>
  </si>
  <si>
    <t>Menindaklanjuti laporan warga an. Rizal No Telp. 083179456344 perihal telah terjadi kebakaran bangunan beralamat Komp. Angkasa Golf Indah Blok B1 RT. 28 RW. 06 Kel. Syamsudin Noor Kec. Landasan Ulin. Laporan awal diterima pada pukul 10.44 Wita. Pemilik an. Imam 1 KK 5 Jiwa an. Eva Darma Yanti. Perkiraan kerugian 90 Juta Rupiah. Asal api masih dalam penyelidikan Kepolisian. Petugas mengerahkan 2 Unit Ops Damkar Truk Tangki Kajama 3500 Liter dan 4000 Liter.</t>
  </si>
  <si>
    <t>Rizal No Telp. 083179456344</t>
  </si>
  <si>
    <t>8 orang/2 unit
1. Nur Hidayah, SE
2. Agus Budianto
3. Ade Susanto
4. Misladin
5. M. Yoppie Wirawan
6. Budi Adi
7. Muhammad Noor
8. M. Dadang Kurniwan, S.H.</t>
  </si>
  <si>
    <t>Selasa, 15 April 2025</t>
  </si>
  <si>
    <t>22.40 s/d 00.30 Wita</t>
  </si>
  <si>
    <t>Menindaklanjuti laporan warga an. Satria N No Telp. 085654783903 perihal telah terjadi kebakaran bangunan beralamat Jl. Sidomulyo Raya RT. 02 Rw. 09 Gg. Kamila Kel. Landasan Ulin Timur Kec. Landasan Ulin. Pemilik an. Bapak Dian Aji Mulya dan Istri Raida 1 KK 4 Jiwa. Rumah berukuran 3X11 Meter terbakar sekitar 70% bangunan beserta isi 5 Buah Sepeda Motor 3 Mobil terbakar ringan. Kerugian diperkirakan 450 Juta Rupiah. Asal api masih dalam tahap penyelidikan kepolisian. Petugas mengerahakn 2 Unit Ops Damkar Truk Tangki Kajama 3500 Liter dan 4000 Liter.</t>
  </si>
  <si>
    <t>Satria N No Telp. 085654783903</t>
  </si>
  <si>
    <t>10 orang/2 unit
1. Syafrullah, S.Sos, M.Si
2. Budi Adi
3. Muhammad Noor
4. Bambang Arry Arsono
5. Agus Budianto
6. Ade Susanto
7.  Misladin
8. M. Yoppie Wirawan
9. Ranu Wibowo
10. M. Fikri Nisfuadi</t>
  </si>
  <si>
    <t>Minggu, 20 April 2025</t>
  </si>
  <si>
    <t>06.30 s/d 08.20 Wita</t>
  </si>
  <si>
    <t>Menindaklanjuti laporan warga an. Ulil No Telp. 087735583638 perihal telah terjadi kebakaran bangunan Jl. Nusantara Komp. Berlina Jaya No. 44 RT. 03 RW. 05 Kel. Loktabat Selatan Kec. Banjarbaru Selatan. Pemilik an. Sadriansyah 1 KK 2 Jiwa. Asal api masih dalam tahap penyelidikan kepolisian. Korban an. Sadriansyah luka bakar bakar ringan. an. tukang tabung oksigen luka bakar berat tangan kiri di bawa kerumah sakit. Kerugian 100 Juta Rupiah. Petugas melakukan pemadaman, pendinginan dan pengecekan ulang bahwa api dinyatakan padam. Petugas mengerahkan 1 Unit Ops Damkar Truk Tangki Kajama 3500 Liter.</t>
  </si>
  <si>
    <t>Ulil No Telp. 087735583638</t>
  </si>
  <si>
    <t>4 orang/1 unit
1. Ranu Wibowo
2. Imam Kastalani
3. M Firi Nisfuadi
4. Budi Adi</t>
  </si>
  <si>
    <t>21.00 s/d 22.05 Wita</t>
  </si>
  <si>
    <t xml:space="preserve">Menindaklanjuti laporan Via Wa Emergency Banjarbaru telah terjadi kebakaran bangunan an. Bapak Gonarsih Jl. Bhayangkara Gg. Perintis RT. 35 RW. 07 Kel. Sungai Ulin Kec. Banjarbaru Utara. 1 KK 2 Jiwa. Kerugian kurang lebih 10 Juta Rupiah. Petugas mengerahkan 2 Unit Ops Damkar Truk Tangki Kajama 3500 liter dan 4000 liter. </t>
  </si>
  <si>
    <t xml:space="preserve">7 orang/2 unit
1.. Syafrullah, S.Sos, M.Si
2. Agus Budianto
3. Ade Susanto
4. Misladin
5. M. Yoppie Wirawan
6. Bambang Arry Arsono
7. M. Dadang Kurniwan, S.H
</t>
  </si>
  <si>
    <t>Jum`at, 2 Mei 2025</t>
  </si>
  <si>
    <t>20.25 s/d 21.26 Wita</t>
  </si>
  <si>
    <t>Menindaklanjuti laporan Gup WA Emergency Banjarbaru tentang adanya kebakaran bangunan beralamat Jl. PM. Noor Komp. Kondang Buana Asri RT. 29 RW. 07 Kel. Sungai Ulin Kec. Bajarbaru Utara. 1 Buah Rumah terbakar pemilik an. Ice Trinawatih umur 42 Tahun, kerugian diperkirakan 70 Juta Rupiah. Asal api masih dalam tahap penyelidikan kepolisian. Petugas mengerahkan 1 Unit Ops Damkar Truk Tangki 3500 Liter.</t>
  </si>
  <si>
    <t>8 orang/1 unit
1, Syafrullah, S.Sos, M.Si
2. Agus Budianto
3. Ade Susanto
4. Misladin
5. M Yoppie Wirawan
6. Budi Adi
7. Muhammad Noor
8. Bambang Arry Arsono</t>
  </si>
  <si>
    <t>09.01 s/d 10.30 Wita</t>
  </si>
  <si>
    <t>Menindaklanjuti laporan warga an. Agus No Telp. 081220867198 perihal telah terjadi kebakaran bangunan berlamat Jl. Kong EX RT. 14 RW. 04 Kel. Landasan Ulin Barat Kec. Liang Anggang. Bangunan terbuat dari kayu habis terbakar yang di pakai tempat usaha Laundry, Pemilik an. Natuliana usia 54 Tahun di huni 1 KK 2 Jiwa. Kerugian di perikrakan 45 Juta Rupiah. Asal api masih dalam tahap penyelidikan kepolisian. Petugas mengerahkan 1 Unit Ops Damkar Truk Tangki Kajama 3500 Liter.</t>
  </si>
  <si>
    <t>Agus No Telp. 081220867198</t>
  </si>
  <si>
    <t xml:space="preserve"> 8 orang/ 1 unit
1. Nur Hidayah, SE
2. Budi Adi
3. Muhammad Noor
4. Bambang Arry Arsono
5. Ranu Wibowo
6. Imam Kastalani
7. M. Fikri Nisfuadi
8. M. Dadang Kurniwan, S.H.</t>
  </si>
  <si>
    <t>Toko Kayu Laoundry</t>
  </si>
  <si>
    <t>Senin, 5 Mei 2025</t>
  </si>
  <si>
    <t>23.15 s/d 00.10 Wita</t>
  </si>
  <si>
    <t>Menindaklanjuti laporan Via WA Grup Emergency telah terjadi kebakaran bangunan beralamat Jl. Lingkar Utara RT. 38 RW. 06 Kel. Syamsudin Noor Kec. Landasan Ulin. Pemilik an. Rahman 1 KK 2 Jiwa, 1 KK 1 Jiwa. 1 orang mengalami luka bakar tangan kiri kaki kiri istri Rahman. Asal api masih dalam penyelidikan kepolisian. Kerugian diperkirakan 200 Juta Rupiah. Petugas mengerahkan 1 Unit Ops Damkar Truk Tangki Kajama 3500 Liter.</t>
  </si>
  <si>
    <t>Via WA Grup Emergency</t>
  </si>
  <si>
    <t>13 orang/1 unit
1. Syafrullah, S.Sos, M.Si
2. Nur Hidayah, SE
3. Agus Budianto
4. Ade Susanto
5. Misladin
6. M. Yoppie Wirawan
7. Budi Adi
8. Muhammad Noor
9. Bambang Arry Arsono
10. Ranu Wibowo
11. Imam Kastalani
12. M. Fikri Nisfuadi
13. M. Dadang Kurniwan, S.H.</t>
  </si>
  <si>
    <t>02.30 s/d 03.27 Wita</t>
  </si>
  <si>
    <t xml:space="preserve">Menindaklanjuti laporan Grup WA Emergency Bares telah terjadi kebakaran bangunan rumah beralamat Jl. Mistarcokrokusumo RT. 03 RW. 01 Kel. Bangkal Kec. Cempaka. Pemilik an. Turiah 1 KK 1 Jiwa. Kerugian diperkirakan 250 Juta Rupiah. Asal api masih dalam penyelidikan kepolisian. Petugas mengerahkan 2 Unit Ops Damkar 2 Truk Tangki Kajama 3500 Liter. </t>
  </si>
  <si>
    <t xml:space="preserve"> Grup WA Emergency</t>
  </si>
  <si>
    <t>4 orang/2 unit
1. Agus Budianto
2. Ade Susanto
3. Misladin
4. M Yoppie Wirawan</t>
  </si>
  <si>
    <t>02.25 s/d 03.10 Wita</t>
  </si>
  <si>
    <t>Menindaklanjuti laporan Via Grup WA Emergency Bares  an. Muhammad No Telp. 085174082912 telah terjadi Kebakaran Bangunan Kediaman Dinas BPSDM Provinsi Kal-Sel beralamat Jl. Panglima Batur Timur RT. 03 RW. 04 Kel. Komet Kec. Banjarbaru Utara. Terbakar sebagian kecil bagian dalam plafon di bagian atas dapur. Asal api arus pendek listrik. Kerugian diperkirakan 8 Juta Rupiah. Petugas mengerahkan 1 Unit Ops Damkar Truk Tangki Kajama 3500 Liter.</t>
  </si>
  <si>
    <t xml:space="preserve"> Grup WA Emergency an. Muhammad No Telp. 085174082912</t>
  </si>
  <si>
    <t>Arus Pendek Listrik</t>
  </si>
  <si>
    <t>Kediaman Rumah Dinas BPSDM Prov Kalsel</t>
  </si>
  <si>
    <t>07.25 s/d 08.58 Wita</t>
  </si>
  <si>
    <t>Menindaklanjuti laporan warga an. Mbah Blangkon No Telp. 08533091779 perihal telah terjadi kebakaran bangunan beralamat Jl. Karang Rejo RT. 05 RW. 01 Kel. Guntung Manggis Kec. Landasan Ulin. Akibat yang ditimbulkan bangunan terabakar 70%, kerugian kurang lebih 500 Juta Rupiah. Asal api masih dalam tahap penyelidikan kepolisian. Pemilik bangunan 1 KK 2 Jiwa. Petugas mengerahkan 2 Unit Ops Damkar Truk Tangki Kajama 3500 Liter dan 4000 Liter.</t>
  </si>
  <si>
    <t>Mbah Blangkon No Telp. 08533091779</t>
  </si>
  <si>
    <t>8 orang/2 unit
1. Syafrullah, S.Sos, M.Si
2. Agus Budianto
3. Ade Susanto
4. Misladin
5. M. Yoppie Wirawan
6. Ranu Wibowo
7. Imam Kastalani
8. M. Fikri Nisfuadi</t>
  </si>
  <si>
    <t>23.29 s/d 01.00 Wita</t>
  </si>
  <si>
    <t>Putri No Telp.081231237840</t>
  </si>
  <si>
    <t>Rumah Kost</t>
  </si>
  <si>
    <t>Kamis, 28 Mei 2025</t>
  </si>
  <si>
    <t>14.55 s/d 16.20 Wita</t>
  </si>
  <si>
    <t>Menindaklanjuti laporan warga an. Zein No Telp. 081325553424 perihal telah terjadi kebakaran bangunan bedakan/ tempat tinggal beralamat Jl. A. Yani Km. 31 Kel. Loktabat Selatan Kec. Banjarbaru Selatan. Akibat yang ditimbulkan 1 Bangunan 4 Pintu. Pemilik Bedakan an. Ofan 32 Tahun 1 KK 2 Jiwa, an. M. Ikhsan 32 Tahun 50 Tahun, 2 pintu bedakan Mess Karyawan Tahu Sumedang. Kerugian diperkirakan 150 Juta Rupiah. Petugas mengerahkan 1 Unit Ops Damkar Truk Tangki Kajama 3500 Liter.</t>
  </si>
  <si>
    <t xml:space="preserve">Zein No Telp. 081325553424 </t>
  </si>
  <si>
    <t>Bedakan 1 Banguannan 4 Pintu</t>
  </si>
  <si>
    <t>Jum`at, 29 Mei 2025</t>
  </si>
  <si>
    <t>16.49 s/d 17.58 Wita</t>
  </si>
  <si>
    <t xml:space="preserve">Menindaklanjuti laporan dari Via Grup WA Emergency Banjarbaru telah terjadi kebakaran bangunan di pasar Guntung Manggis beralamat Jl. Guntung Manggis RT. 18 Kel. Guntung Manggis Kec. Landasan Ulin. Pemilik Bangunan an. Bapak Ufik. Kerugian diperkirakn kurang lebih 15 Juta Rupiah. Petugas mengerahkan 1 Unit Ops Damkar Truk Tangki Kajama 3500 dan 4000 Liter.  </t>
  </si>
  <si>
    <t>Via Grup WA Emergency</t>
  </si>
  <si>
    <t>Lapak Jualan Pasar</t>
  </si>
  <si>
    <t>10 orang/1 unit
1. Syafrullah, S.Sos, M.Si
2. Nur Hidayah, SE
3. Agus Budianto
4. Ade Susanto
5. Misladin
6. M. Yoppie Wirawan
7. Budi Adi
8. Muhammad  Noor 
9. Bambang Arry Arsono
10. M. Dadang Kurniwan</t>
  </si>
  <si>
    <t>Minggu, 8 Juni 2025</t>
  </si>
  <si>
    <t>18.38 s/d 19.45 Wita</t>
  </si>
  <si>
    <t>Menindaklanjuti laporan Via Grup Emergency Barres an. Muhammad Zaini No Telp. 085174082912 perihal telah terjadi kebakaran bangunan an. Ibu Endang Usia 55  Tahun beralamat Jl. Berlian Komp. Citra Bangun Persada RT. 015 RW. 03 Blok Q No. 13 Kel. Landasan Ulin Tengah Kec. Liang Anggang. Asal api berasal dari kebocoran tabung Gas Elpiji. Akibat yang ditimbulkan bagian dinding dapur terbakar. Kerugian kurang lebih 2 Juta Rupiah Petugas mengerahkan 1 Unit Ops Damkar Truk Tangki Kajama 3500 Liter.</t>
  </si>
  <si>
    <t>Via Grup Emergency</t>
  </si>
  <si>
    <t>10 orang/1 unit
1. Syafrullah, S.Sos, M.Si
2. Nur Hidayah, SE
3. Budi Adi
4. Muhammad Noor
5. Bambang Arry Arsono
6. Agus Budianto
7. Ade Susanto
8. Misladin 
9. M. Yoppie Wirawan
10. M. Dadang Kurniwan</t>
  </si>
  <si>
    <t>Via Grup Emergency Muhammad Zaini No Telp. 085174082912</t>
  </si>
  <si>
    <t>Senin, 30 Juni 2025</t>
  </si>
  <si>
    <t>08.41 s/d 09.30 Wita</t>
  </si>
  <si>
    <t>Menindaklanjuti laporan an. Rizki No Telp. 083827122487 perihal bahwa telah terjadi kebakaran bangunan di Ruko Sonic Chicken beralamat Jl. R.O Ulin RT. 04 RW. 02 Kel. Loktabat Selatan Kec. Banjarbaru Selatan. Petugas berhasil memadamkan api di bagian dapur dan mengamankan tabung gas elpiji 12kg yang bocor. Pemilik Sonic Chicken an. Iradah Hidayani, kerugian kurang lebih 10 Juta Rupiah, asal api kebocoran tabung gas 12kg, tidak ada korban jiwa. Petugas mengerahkan 2 Unit Ops Damkar Truk Tangki Kajama 3500 liter dan Mobil Hilux Kajama Recue.</t>
  </si>
  <si>
    <t xml:space="preserve">Rizki No Telp. 083827122487 </t>
  </si>
  <si>
    <t>Kebocoran Tabung Gas</t>
  </si>
  <si>
    <t>13 orang/2 unit
1. Syafrullah, S.Sos, M.Si
2. Nur Hidayah, SE
3. Ranu Wibowo
4. Imam Kastalani
5. M. Fikri Nisfuadi
6. Agus Budianto
7. Ade Susanto
8. Misladin
9. M. Yoppie Wirawan
10. Budi Adi
11. Muhammad Noor
12. Bamn\bang Arry Arsono
13. M. Dadang Kurniwan, S.H.</t>
  </si>
  <si>
    <t>Rumah Makan Sonic Chicken</t>
  </si>
  <si>
    <t>07.09 s/d 08.06 Wita</t>
  </si>
  <si>
    <t xml:space="preserve">Menindaklanjuti laporan warga an. Salsabila No Telp. 085796318661 perihal telah terjadi kebakaran bangunan beralamat Jl. A. Yani Km. 36.5 Gg Petai Kel. Sungai Ulin Kec. Banjarabaru Utara. Pemilik bangunan Muhammad Aminudin Usia : 75 Tahun 1 KK 2 Jiwa. Petugas berhasil memadamkan api tersebut. Kerugian diperkirakan kurang lebih 15 Juta Rupiah. Petugas mengerahkan 1 Unit Ops Damkar Truk Tangki Kajama 4000 Liter. </t>
  </si>
  <si>
    <t>Salsabila No Telp. 085796318661</t>
  </si>
  <si>
    <t>06.22 s/d 07.39 Wita</t>
  </si>
  <si>
    <t>Menindaklanjuti laporan warga an. Sri Ulfia Umur : 30 Tahun Pendidikan Terakhir : S1 Pekerjaan : Swasta No Telp. 085252690169 perihal telah terjadi kebakaran bangunan beralamat Jl. Sungai Sumba Komp. Mulia Residance RT. 39 Kel. Guntung Manggis Kec. Landasan Ulin. Pemilik an. Sri Ulfia 1 KK 4 Jiwa, asal api dari kompor listrik, kerugian kurang lebih 20 juta rupiah. Petugas mengerahkan 1 Unit Ops Damkar Truk tangki Kajama 3500 Liter.</t>
  </si>
  <si>
    <t xml:space="preserve"> Sri Ulfia No Telp. 085252690169</t>
  </si>
  <si>
    <t>Kompor</t>
  </si>
  <si>
    <t xml:space="preserve"> 4 orang/1 unit
1. Agus Budianto
2. Ade Susanto
3. Misladin
4. M. Yoppie Wirawan</t>
  </si>
  <si>
    <t>23.22 s/d 00.56 Wita</t>
  </si>
  <si>
    <t>Menindaklanjuti laporan warga an. Alya Umur : 31 Tahun Pendidikan Terakhir : S1 Pekerjaan : Ibu Rumah Tangga No Telp. 08954027082000 perihal telah terjadi kebakaran bangunan beralamat Komp. Wira Pratama II Blok B No. 05 RT. 25 RW. 05 Kel. Kemuning Kec. Banjarbaru Selatan. Pemilik bangunan Henny Rosida Ekawati Umur : 51 Tahun 1 KK 3 Jiwa. Petugas melakukan pemadaman dan api dapat dipadamkan. Kerugian diperkirakan 150 Juta Rupiah. Petugas mengerahkan 2 Unit Ops Damkar Truk Tangki 3500 dan 4000 Liter.</t>
  </si>
  <si>
    <t>Alya  No Telp. 08954027082000</t>
  </si>
  <si>
    <t>10 orang/2 unit
1. Syafrullah, S.Sos, M.Si
2. Nur Hidayah, SE
3. Agus Budianto
4. Ade Susanto
5. Misladin
6. M. Yoppie Wirawan
7.  Budi Adi
8. Muhammad Noor
9. Bambang Arry Arsono
10. M. Fikri Nisfuadi</t>
  </si>
  <si>
    <t>16.53 s/d 18.20 Wita</t>
  </si>
  <si>
    <t>Menindaklanjuti Grup WA Emergency Kota Banjarbaru telah terjadi kebakaran bangunan beralamat Jl. Kelurahan RT.10 RW. 03 Kel. Landasan Ulin Selatan Kec. Liang Anggang. Pemilik rumah an. Kartini 1 KK 4 Jiwa kerugian di tafsir 20 Juta Rupiah. Asal api masih dalam tahap penyelidikan Kepolisian. Petugas mengerahkan 2 Unit Ops Damkar Truk Tangki Kajama 3500 dan 4000 Liter.</t>
  </si>
  <si>
    <t>Grup WA Emergency</t>
  </si>
  <si>
    <t>10 orang/2 unit
1. Syafrullah, S.Sos, M.Si
2. Nur Hidayah, SE
3. Ranu Wibowo
4. Imam Kastalani
5. M. Fikri Nisfuadi
6. Agus Budianto
7.  Ade Susanto
8. Misladin
9. M. Yoppie Wirawan
10. M. Dadang Kurniwan, S.H.</t>
  </si>
  <si>
    <t>20.12 s/d 22.56 Wita</t>
  </si>
  <si>
    <t>Menindaklanjuti laporan dari Grup WA Emergency Kota Banjarbaru perihal telah terjadi kebakaran bangunan beralamat Jl. A. Yani Km. 35 Kantor Polres Banjarbaru Kel. Guntung Paikat Kec. Banjarbaru Selatan. Bangunan yang terbakar ruang SPKT Polres Banjarbaru, kerugian diperkirakan 50 Juta Rupiah. Asal api masih dalam tahap penyelidikan Kepolisian. Petugas mengerahkan 2 Unit Ops Damkar Truk Tangki Kajama 3500 dan 4000 Liter.</t>
  </si>
  <si>
    <t>Kantor POLRES Banjarbaru</t>
  </si>
  <si>
    <t>Minggu, 17 Agustus 2025</t>
  </si>
  <si>
    <t>14.44 s/d 16.40 Wita</t>
  </si>
  <si>
    <t>Menindaklanjuti laporan dari Grup WA Emergency Banjarbaru perihal telah terjadi kebakaran bangunan beralamat Komp. Bumi Landasan Ulin RT. 31 RW. 05 Kel. Guntung Manggis Kec. Landasan Ulin. Pemilik an. Ayi dan yang menghuni an. Yusuf 1 KK 4 Jiwa. Asal api masih dalam tahap penyelidikan Kepolisian dan kerugian di tafsir puluhan juta rupiah. Petugas mengerahkan 2 Unit Ops Damkar Truk Tangki Kajama 3500 Liter dan 4000 Liter.</t>
  </si>
  <si>
    <t>7orang/2 unit
1. Syafrullah, S.Sos, M.Si
2. Ranu Wibowo
3. Imam Kastalani
4. M. Fikri Nisfuadi
5. Budi Adi
6. Muhammad Noor
7. Bambang Arry Arsono</t>
  </si>
  <si>
    <t>Senin, 1 September 2025</t>
  </si>
  <si>
    <t>15.24 s/d 16.40 Wita</t>
  </si>
  <si>
    <t>Menindaklanjuti laporan via WA Grup Emergency Banjarbaru telah terjadi kebakaran bangunan beralamat Jl. Danau Seran Komp. Bumi Berkah Mulia Asri RT. 36 RW. 07 Kel. Guntung Manggis Kec. Landasan Ulin. Pemilik an. Andre 1 KK 3 Jiwa. Yang terbakar bagian kamar utama, kerugian di tafsir 50 Juta rupiah. Petugas melakukan pemadaman dan pendinginan. Petugas mengerahkan 3 Unit Ops Damkar Truk Tangki Kajama 8000, 4000 dan Mobil Hilux Kajama Rescue.</t>
  </si>
  <si>
    <t>13 orang/3 unit
1. Syafrullah, S.Sos, M.Si
2. Nur Hidayah, SE
3. Ranu Wibowo
4. Imam Kastalani
5. M. Fikri Nisfuadi
6. Agus Budianto
7. Ade Susanto
8. Misladin
9. M. Yoppie Wirawan
10. Budi Adi
11. Muhammad Noor
12. Bambang Arry Arsoni
13. M. Dadang Kurniwan, S.H.</t>
  </si>
  <si>
    <t>00.15 s/d 01.40 Wita</t>
  </si>
  <si>
    <t>Menindaklanjuti laporan Call Center 112 bahwa telah terjadi kebakaran bangunan  Jl. Guntung Manggis No. 131 RT. 13 RW. 02 Kel. Guntung Manggis Kec. Landasan Ulin. Pemilik an. Painem Umur : 80 Tahun 1 KK 1 Jiwa. Terdampak 1 Buah dapur, 2 Buah kamar dan 2 Buah Kendaraan Roda 2. Kerugian diperkirakan 80 Juta Rupiah. Petugas dapat memmadamkan api tersebut. Petugas mengerahkan 2 Unit Ops Damkar Truk Tangki Kajama 4000 dan 3500 Liter.</t>
  </si>
  <si>
    <t xml:space="preserve">Call Center 112 </t>
  </si>
  <si>
    <t>Rabu, 17 September 2025</t>
  </si>
  <si>
    <t>18.51 s/d 19.57 Wita</t>
  </si>
  <si>
    <t>Menindaklanjuti laporan via grup WA Emergency Banjarbaru perihal telah terjadi kebakaran bangunan beralamat Jl. Trikora Pemasiran Kel. Landasan Ulin Tengah Kec. Liang Anggang. Terdampak 1 buah bangunan kayu terbakar habis 100% pemilik bangunan an. Mahda 41 Tahun. Asal api masih dalam tahap penyelidikan kepolisian. Kerugian diperkirakan 30 Juta Rupiah. Petugas mengerahkan 1 Unit Ops Damkar Truk Tangki Kajama 4000 Liter.</t>
  </si>
  <si>
    <t xml:space="preserve">Via Grup Emergency </t>
  </si>
  <si>
    <t>13 orang/1 unit
1. Syafrullah, S.Sos, M.Si
2. Nur Hidayah, SE
3. Agus Budianto
4. Ade Susanto
5. Misladin
6. M. Yoppie Wirawan
7. Ranu Wibowo
8. Imam Kastalani
9. M. Fikri Nisfuadi 
10. Budi Adi
11. Muhammad Noor
12. Bambang Arry Arsono
13. M. Dadang Kurniwan, S.H.</t>
  </si>
  <si>
    <t>00.35 s/d 01.40 Wita</t>
  </si>
  <si>
    <t>Menindaklanjuti laporan warga an. Dea Rahma Noerfaizah Umur : 29 Tahun Pendidikan Terakhir : S1 Pekerjaan : Swasta No Telp. 081365543365 perihal telah terjadi kebakaran bangunan beralamat Komp. Bumi Cahaya Bintang Jl. Cancer No. 44 RT. 45 RW. 08 Kel. Sungai Besar Kec. Banjarbaru Selatan. Terdampak terbakar gelagar atap rumah sepanjang 3 meter. Pemilik an. Mutmainah 1 KK 2 Jiwa. Asal api arus pendek listrik. Kerugian diperkirakan 3 Juta Rupiah. Petugas mengerahkan 1 Unit Ops Damkar Truk Tangki Kajama 3500 Liter.</t>
  </si>
  <si>
    <t>Dea Rahma Noerfaizah No Telp. 081365543365</t>
  </si>
  <si>
    <t>Selasa, 23 September 2025</t>
  </si>
  <si>
    <t>07.45 s/d 09.40 Wita</t>
  </si>
  <si>
    <t>Menindaklanjuti laporan warga an. Firmandani No Telp. 081349181228 telah terjadi kebakaran bangunan mess karyawan beralamat Jl. Lingkar Selatan RT. 11 RW. 03 PT Kreasi Multi Guna Kencana Kel. Landasan Ulin Barat Kec. Liang Anggang. Terdampak bangunan terbuat dari kayu habis terbakar. Pemilik bangunan an. Arie Setiawan. Kerugian diperkirakan 100 juta rupiah dan asal api masih dalam tahap penyelidikan kepolisian. Petugas mengerahkan 2 Unit Ops Damkar Truk Tangki Kajama 8000 dan 3500 Liter.</t>
  </si>
  <si>
    <t>Firmandani No Telp. 081349181228</t>
  </si>
  <si>
    <t xml:space="preserve"> 13 orang/2 unit
1. Syafrullah, S.Sos, M.Si
2. Nur Hidayah, SE
3. Ranu Wibow0
4. Imam Kastalani
5. M. Fikri Nisfuadi
6. Agus Budianto
7. Ade Susanto
8. Misladin
9. M. Yoppie Wirawan
10. Budi Adi
11. Muhammad Noor
12. Bambang Arry Arsono
13. M. Dadang Kurniwan, S.H</t>
  </si>
  <si>
    <t>Mess Karyawan Kayu</t>
  </si>
  <si>
    <t>Kamis, 25 September 2025</t>
  </si>
  <si>
    <t>21.32 s/d 22.20 Wita</t>
  </si>
  <si>
    <t>Menindaklanjuti laporan warga an. Siti Noor Azizah No Telp. 085245569994 perihal telah terjadi kebakaran diakibatkan dari konsleting listrik diatas atap rumah tetangga pelapor beralamat Jl. Nusantara Komp. Berlina Jaya No. 27 RT. 05 RW. 07 Kel. Loktabat Selatan Kec. Banjarbaru Selatan. Pemilik an. Astuti 1 KK 3 Jiwa. Petugas melakukan pengecekan dan situasi aman. Petugas mengerahkan 2 Unit Ops Damkar Truk Tangki Kajama 3500 dan 4000 Liter.</t>
  </si>
  <si>
    <t>Siti Noor Azizah No Telp. 085245569994</t>
  </si>
  <si>
    <t>10 orang/2 unit
1. Ranu Wibowo
2. Imam Kastalani
3. M. Fikri Nisfuadi
4. Agus Budianto
5. Ade Susanto
6. Misladin
7. M. Yoppie Wirawan
8. Budi Adi
9. Muhammad Noor
10. M. Dadang Kurniwan, S.H.</t>
  </si>
  <si>
    <t>03.14 s/d 05.02 Wita</t>
  </si>
  <si>
    <t>Menindaklanjuti laporan warga an. Muhammad Irfan Umur : 28 Tahun Pekerjaan : Swasta No Telp. 085391805007 perihal telah terjadi kebakaran bangunan beralamat Jl. Sukamaju Komp. Mustika Green Residance No. 23 RT. 04 RW. 01 Kel. Landasan Ulin Utara Kec. Liang Anggang. Terdampak 1 buah rumah terbakar. Pemilik an. Muhammad Irfan Umur 28 Tahun 1 KK 3 Jiwa. Asal api dalam tahap penyelidikan Kepolisian. Kerugian diperkirakan 70 Juta Rupiah. Petugas mengerahkan 1 Unit Ops Damkar Truk Tangki Kajama 4000 Liter.</t>
  </si>
  <si>
    <t>Muhammad Irfan No Telp. 085391805007</t>
  </si>
  <si>
    <t>15.49 s/d 17.19 Wita</t>
  </si>
  <si>
    <t>Menindaklanjuti laporan Via Grup WA Emergency Banjarbaru telah terjadi kebakaran banunan beralamat Jl. Karang Anyar 2 Komp. Griya Caraka Jl. Caraka VIII No. 6 Kel. Loktabat Utara Kec. Banjarbaru Utara. Terdampak 1 buah rumah terbakar 50% 1 orang luka bakar ringan pemilik an. Humahidi 1 KK 4 Jiwa asal api informasi dari arus pendek listrik pada AC kamar tidur. Petugas mengerahkan 1 Unit Ops Damkar Truk Tangki Kajama 3500 Liter.</t>
  </si>
  <si>
    <t xml:space="preserve">Via Grup Emergency Banjarbaru </t>
  </si>
  <si>
    <t>10.50 s/d 12.00 Wita</t>
  </si>
  <si>
    <t>Menindaklanjuti laporan an. Barong No Telp. 085390651313 perihal telah terjadi kebakaran bangunan beralamat Jl. Putri Junjung Buih No. 18 RT. 03 RW. 01 (Klinik dr. Indra) Kel. Komet Kec. Banjarbaru Utara. Pemilik an. Dr. Indra. Asal api diperkirakan dari pembakaran dupa. Kerugian di tafsir kurang lebih 5 Juta Rupiah. Petugas mengerahkan 2 Unit Ops Damkar Truk Tangki 3500 dan 4000 Liter.</t>
  </si>
  <si>
    <t xml:space="preserve"> Barong No Telp. 085390651313</t>
  </si>
  <si>
    <t>Pembakaran Dupa</t>
  </si>
  <si>
    <t>9 orang/2 unit
1. Nur Hidayah, SE
2. Ranu Wibowo
3. Imam Kastalani
4. M. Fikri Nisfuadi
5. Agus Budianto
6. Ade Susanto
7. Misladin
8. M. Yoppie Wirawan
9. M. Dadang Kurniwan, S.H.</t>
  </si>
  <si>
    <t>REKAP LAPORAN PENYELAMATAN/EVAKUASI TAHUN 2025</t>
  </si>
  <si>
    <t>NO.</t>
  </si>
  <si>
    <t>Kegiatan</t>
  </si>
  <si>
    <t>BULAN</t>
  </si>
  <si>
    <t>JUMLAH PER KEGIATAN</t>
  </si>
  <si>
    <t>JANUARI</t>
  </si>
  <si>
    <t>FEBRUARI</t>
  </si>
  <si>
    <t>MARET</t>
  </si>
  <si>
    <t>APRIL</t>
  </si>
  <si>
    <t>MEI</t>
  </si>
  <si>
    <t>JUNI</t>
  </si>
  <si>
    <t>JULI</t>
  </si>
  <si>
    <t>AGUSTUS</t>
  </si>
  <si>
    <t>SEPTEMBER</t>
  </si>
  <si>
    <t>OKTOBER</t>
  </si>
  <si>
    <t>NOPEMBER</t>
  </si>
  <si>
    <t>DESEMBER</t>
  </si>
  <si>
    <t>Evakuasi Ular</t>
  </si>
  <si>
    <t>Evakuasi Kucing</t>
  </si>
  <si>
    <t>Evakuasi Anjing</t>
  </si>
  <si>
    <t>-</t>
  </si>
  <si>
    <t>Evakuasi Monyet</t>
  </si>
  <si>
    <t>Evakuasi Sarang Tawon</t>
  </si>
  <si>
    <t>Evakuasi Sarang Lebah</t>
  </si>
  <si>
    <t>Evakuasi Biawak</t>
  </si>
  <si>
    <t>Evakuasi Musang</t>
  </si>
  <si>
    <t>Evakuasi Cicak</t>
  </si>
  <si>
    <t>Evakuasi Burung</t>
  </si>
  <si>
    <t>Evakuasi Bekantan</t>
  </si>
  <si>
    <t>Evakuasi Tikus</t>
  </si>
  <si>
    <t>Evakuasi Sigung</t>
  </si>
  <si>
    <t>Evakuasi Tokek</t>
  </si>
  <si>
    <t>Evakuasi Cincin</t>
  </si>
  <si>
    <t>Evakuasi Pohon Tumbang</t>
  </si>
  <si>
    <t>Evakuasi Mobil</t>
  </si>
  <si>
    <t>Evakuasi Handphone</t>
  </si>
  <si>
    <t>Evakuasi Kunci Rumah/Kunci Motor/Kunci Mobil/Kunci Ruko</t>
  </si>
  <si>
    <t>Evakuasi Pintu</t>
  </si>
  <si>
    <t>Evakuasi Ban</t>
  </si>
  <si>
    <t>Evakuasi Tali Tiang Bendera</t>
  </si>
  <si>
    <t>Evakuasi Orang/Anak Terkunci di Kamar/Kamar Mandi/Dalam Mobil</t>
  </si>
  <si>
    <t>Evakuasi Pagar yang Terkunci</t>
  </si>
  <si>
    <t>Penyemprotan Halaman Kantor</t>
  </si>
  <si>
    <t>Evakuasi Anak/Orang Dewasa Terjepit</t>
  </si>
  <si>
    <t>Evakuasi Orang Pingsan</t>
  </si>
  <si>
    <t>Evakuasi Orang Tersetrum</t>
  </si>
  <si>
    <t>Bantuan Pengecekan Suara di Plafon</t>
  </si>
  <si>
    <t xml:space="preserve">Evakuasi Tabung Gas </t>
  </si>
  <si>
    <t>Evakuasi Kamera</t>
  </si>
  <si>
    <t>Evakuasi Mesin air</t>
  </si>
  <si>
    <t>63************01</t>
  </si>
  <si>
    <t>63************05</t>
  </si>
  <si>
    <t>63************08</t>
  </si>
  <si>
    <t>63************04</t>
  </si>
  <si>
    <t>63************03</t>
  </si>
  <si>
    <t>63************06</t>
  </si>
  <si>
    <t>63************02</t>
  </si>
  <si>
    <t>HABDULLAH</t>
  </si>
  <si>
    <t>63************07</t>
  </si>
  <si>
    <t>M ARIFIN</t>
  </si>
  <si>
    <t>63************12</t>
  </si>
  <si>
    <t>SELAMAT</t>
  </si>
  <si>
    <t>63************09</t>
  </si>
  <si>
    <t>MUHAMMAD AHDIANNOOR</t>
  </si>
  <si>
    <t>63************10</t>
  </si>
  <si>
    <t>63************51</t>
  </si>
  <si>
    <t>AHMAD FAUZI</t>
  </si>
  <si>
    <t>M. RAMADHANI</t>
  </si>
  <si>
    <t>63************14</t>
  </si>
  <si>
    <t>M ABDI MAULANA A</t>
  </si>
  <si>
    <t>12************03</t>
  </si>
  <si>
    <t>62************02</t>
  </si>
  <si>
    <t>62************01</t>
  </si>
  <si>
    <t>AKHMAD JULIANI</t>
  </si>
  <si>
    <t>MUHAMMAD RIFAI</t>
  </si>
  <si>
    <t>SUPIYAN HARDI</t>
  </si>
  <si>
    <t>MAHYUNI</t>
  </si>
  <si>
    <t>TRI WAHYU ATHAYU</t>
  </si>
  <si>
    <t>Senin, 20 Oktober 2025</t>
  </si>
  <si>
    <t>18.39 s/d 20.59 Wita</t>
  </si>
  <si>
    <t xml:space="preserve">Menindaklanjuti laporan warga melalui Grup WA Emergency Kota Banjarbaru telah terjadi kebakaran bangunan beralamat SD Kemuning 2 Banjarbaru Jl. Kartani RT. 21 RW. 05 Kel. Kemuning Kec. Banjarbaru Selatan. Petugas melakukan pemadaman. Terdampak 1 buah bangunan ruangan guru habis terbakar. Asal api arus pendek listrik. Kerugian diperkirakan 500 Juta Rupiah. Petugas mengerahkan 4 Unit Ops Damkar Truk tangki Kajama 3500 Liter 2 Unit, 4000 Liter dan 8000 Liter. </t>
  </si>
  <si>
    <t xml:space="preserve">12 orang/2 unit
1. Syafrullah, S.Sos, M.Si
2. Nur Hidayah, SE
3. Ade Susanto
4. Ade Susanto
5. M. Yoppie Wirawan
6. Budi Adi
7. Muhammad Noor
8. Bambang Arry Arsono
9. Ranu Wibowo
10. Imam Kastalani
11. M. Fikri Nisfuadi
12. M. Dadang Kurniwan, S.H.
</t>
  </si>
  <si>
    <t xml:space="preserve">Sekolah SD 2 Kemuning </t>
  </si>
  <si>
    <t>04.23 s/d 05.50 Wita</t>
  </si>
  <si>
    <t>Menindaklanjuti laporan warga an. Catur Rahman No Telp. 083150152463 bahwa terjadi kebakaran bangunan rumah beralamat Jl. Trikora Handil Halayung RT. 06 RW. 02 Kel. Landasan Ulin Tengah. Kec. Liang Anggang. Terdampak 4 buah terbakar pemilik : Ramidi (Orang Tua), Nor Eka Wibowo (Anak), Abdul Kadir (Anak), Tri Jumiati Ningsih (Rumah Kosong). Objek terbakar Traktor Tani - Hand Rotrari, Mesin Perontok Padi, Sepeda Motor Supra, Pengolah Bola Badminton, Surat-Surat Penting. Kerugian di tafsir ratusan juta rupiah. Petugas mengerahkan 1 Unit Ops Damkar Truk Tangki Kajama 3500 Liter.</t>
  </si>
  <si>
    <t>Catur Rahman No Telp. 083150152463</t>
  </si>
  <si>
    <t>19.56 s/d 20.54 Wita</t>
  </si>
  <si>
    <t>Menindaklanjuti laporan Via Grup Wa Emergency Banjarbaru telah terjadi kebakaran bangunan beralamat Jl. HM Mistarcokrokusumo RT. 06 RW. 02 Kel. Bangkal Kec. Cempaka. Terdampak 1 Buah Kamar dan sedikit plafon atas pemilik an. Alm. H. Aspul. Petugas mengerahkan 2 Unit Ops Damkar Truk Tangki Kajama 1000 dan 3500 Liter.</t>
  </si>
  <si>
    <t>5 orang/2 unit
1. Budi Adi
2. Ade Susanto
3. Muhammad Noor
4. Bambang Arry Arsono
5. M. Yoppie Wirawan</t>
  </si>
  <si>
    <t>Jum`at, 12 Desember 2025</t>
  </si>
  <si>
    <t>19.08 s/d 20.00 Wita</t>
  </si>
  <si>
    <t>Menindaklanjuti laporan warga grup WA Emergency Banjarabaru bahwa telah terjadi kebakaran depan ruko yang berisi bbm langsiran dalam jirigen yang mengenai depan ruko Lpg an. Maulani beralmat Jl. Jeruk Sungai Ulin RT. 29 Kel. Sungai Ulin Kec. Banjarbaru Utara. Api tidak sempat mengenai bangunan lain. 2 Jirigen 40 Liter hangus terbakar. Pemilik Ruko Agen Lpg an. Maulani Umur 35 Tahun. Petugas mengerahkan 1 Unit Ops Damkar Truk Tangki Kajama 3500 Liter.</t>
  </si>
  <si>
    <t>Jirigen BBM</t>
  </si>
  <si>
    <t>15 orang/1 unit
1. Syafrullah, S.Sos, M.Si
2. Ranu Wibowo
3. Imam Kastalani
4. Ahmad Riduan
5. Muhammad Noor, SE
6. Agus Budian
7. Misladin
8. M. Fikri Nisfuadi
9. Cipta Bayu Mukti
10. Heriyanto
11. Budi Adi
12. Ade Susanto
13. Muhammad Noor
14. Bambang Arry Arsono
15. M. Yoppie Wirawan</t>
  </si>
  <si>
    <t>Ruko Agen LPG</t>
  </si>
  <si>
    <t>Menindaklanjuti laporan warga melalui Grup WA Emergency Banjarbaru telah terjadi kebakaran bangunan beralamat Jl. Kenanga RT. 06 RW. 09 Kel. Landasan Ulin Timur Kec. Landasan Ulin. Api membakar sebagian dinding dan atap rumah yang berbahan kayu kurang lebih 10% yang terbakar. Asal api dari anak beiiau yang bermain dalam rumah dan megenai gorden dan tumpukan kardus. Kerugian di tafsir kuarng lebih 3 s/d 5 Juta Rupiah. Pemilik an. Rahmani Umur : 31 Tahun 1 KK 3 Jiwa. Petugas mengerahkan 1 Unit Ops Damkar Truk Tangki Kajama 3500 Liter.</t>
  </si>
  <si>
    <t>Anak Bermain Api Dalam Rumah</t>
  </si>
  <si>
    <t>21.31 s/d 22.55 Wita</t>
  </si>
  <si>
    <t>Menindaklanjutin laporan warga melalui Grup WA Emergency Banjarbaru perihal telah terjadi kebakaran bangunan beralamat Jl. Mistarcokrokusumo RT. 05 RW. 02 Kel. Bangkal Kec. Cempaka 1 Buah bangunan kandang ayam dalam keadaan kosong telah terbakar habis. Pemilik an. H. Jani Umur : 57 Tahun. Petugas mengerahkan 2 Unit Ops Damkar Truk Tangki Kajama 3500 dan 4000 Liter.</t>
  </si>
  <si>
    <t>14 orang/2 unit
1. Syafrullah, S.Sos, M.Si
2. Agus Budianto
3. M. Fikri Nisfuadi
4. Cipta Bayu Mukti
5. Heriyanto
6. Budi Adi
7. Ade Susanto
8. Muhammad Noor
9. Bambang Arry Arsono
10. M. Yoppie Wirawan
11. Ranu Wibowo
12. Imam Kastalani
13. Ahmad Riduan
14. Muhammad Noor, SE</t>
  </si>
  <si>
    <t>Menindaklanjuti laporan warga  perihal telah terjadi kebakaran bangunan beralamat Jl. A. Yani Km, 22 Gang Antara RT. 04 RW. 02 Depot Rezky Rasa Mie Ayam Kel. Landasan Ulin Tengah Kec. Liang Anggang. Petugas langsung menuju lokasi kejadian. Pemilik an. Bapak Dwi Hartanto kerugian diperirakan kurang lebih 8 Juta Rupiah. Asal api kebocoran selang regulator. Petugas mengerahkan 2 Unit Ops Damkar Truk Tangki Kajama 3500 Liter dan Truk Tangki Kajama 4000 Liter</t>
  </si>
  <si>
    <t>Warung Makan</t>
  </si>
  <si>
    <t>Toko</t>
  </si>
  <si>
    <t>SD Bangkal 1</t>
  </si>
  <si>
    <t>Menindaklanjuti laporan warga an. Putri No Telp.081231237840 perihal telah terjadi kebakaran bangunan beralamat Jl. Gotong Royong Rt. 02 RW. 06 Kel. Mentaos Kec. Banjarbaru Utara. Akibat yang ditimbulkan kost 2 pintu terbakar. Pemilik an. Ibu Roro 60 Tahun. Kost yang ditempati an. Putri dan Sirayul Mustaqim. Kerugian diperkirakan 100 Juta Rupiah. Asal api masih dalam tahap penyelidikan kepolisian. Petugas mengerahkan 1 Unit Ops Damkar Truk Tangki Kajama 3500 Liter</t>
  </si>
  <si>
    <t>KECAMATAN / KELURAHAN</t>
  </si>
  <si>
    <t>REKAP KEBAKARAN UPT PEMADAM KEBAKARAN KOTA BANJARBARU</t>
  </si>
  <si>
    <t>JUMLAH PER KEC. / KEL.</t>
  </si>
  <si>
    <t>Kecamatan Banjarbaru Utara</t>
  </si>
  <si>
    <t>Kelurahan Komet</t>
  </si>
  <si>
    <t>Kelurahan Mentaos</t>
  </si>
  <si>
    <t>Kelurahan Loktabat Utara</t>
  </si>
  <si>
    <t>Kelurahan Sungai Ulin</t>
  </si>
  <si>
    <t>Kecamatan Banjarbaru Selatan</t>
  </si>
  <si>
    <t>Kelurahan Guntung Paikat</t>
  </si>
  <si>
    <t>Kelurahan Kemuning</t>
  </si>
  <si>
    <t>Kelurahan Loktabat Selatan</t>
  </si>
  <si>
    <t>Kelurahan Sungai Besar</t>
  </si>
  <si>
    <t>Kecamatan Cempaka</t>
  </si>
  <si>
    <t>Kelurahan Cempaka</t>
  </si>
  <si>
    <t>Kelurahan Sungai Tiung</t>
  </si>
  <si>
    <t>Kelurahan Bangkal</t>
  </si>
  <si>
    <t>Kelurahan Palam</t>
  </si>
  <si>
    <t>Kecamatan Landasan Ulin</t>
  </si>
  <si>
    <t>Kelurahan Guntung Manggis</t>
  </si>
  <si>
    <t>Kelurahan Guntung Payung</t>
  </si>
  <si>
    <t>Kelurahan Landasan Ulin Timur</t>
  </si>
  <si>
    <t>Kelurahan Syamsudin Noor</t>
  </si>
  <si>
    <t>Kecamatan Liang Anggang</t>
  </si>
  <si>
    <t>Kelurahan Landasan Ulin Barat</t>
  </si>
  <si>
    <t>Kelurahan Landasan Ulin Selatan</t>
  </si>
  <si>
    <t>Kelurahan Landasan Ulin Tengah</t>
  </si>
  <si>
    <t>Kelurahan Landasan Ulin Utara</t>
  </si>
  <si>
    <t>07.46 Wita</t>
  </si>
  <si>
    <t>14.46 Wita</t>
  </si>
  <si>
    <t>21.44 Wita</t>
  </si>
  <si>
    <t>14.5 Wita</t>
  </si>
  <si>
    <t>11.15 Wita</t>
  </si>
  <si>
    <t>18.42 Wita</t>
  </si>
  <si>
    <t>19.25 Wita</t>
  </si>
  <si>
    <t>01.16</t>
  </si>
  <si>
    <t>20.20 Wita</t>
  </si>
  <si>
    <t>00.51 Wita</t>
  </si>
  <si>
    <t>10.40 Wita</t>
  </si>
  <si>
    <t>22.42 Wita</t>
  </si>
  <si>
    <t>06.20 Wita</t>
  </si>
  <si>
    <t>20.47 Wita</t>
  </si>
  <si>
    <t>20.12 Wita</t>
  </si>
  <si>
    <t>08.44 Wita</t>
  </si>
  <si>
    <t>22.58 Wita</t>
  </si>
  <si>
    <t>02.15 Wita</t>
  </si>
  <si>
    <t>02.12 Wita</t>
  </si>
  <si>
    <t>07,12 Wita</t>
  </si>
  <si>
    <t>23.17 Wita</t>
  </si>
  <si>
    <t>14.43 Wita</t>
  </si>
  <si>
    <t>16.36 Wita</t>
  </si>
  <si>
    <t>18.23 Wita</t>
  </si>
  <si>
    <t>08.29 Wita</t>
  </si>
  <si>
    <t>06.55 Wita</t>
  </si>
  <si>
    <t>06.08 Wita</t>
  </si>
  <si>
    <t>23.11 Wita</t>
  </si>
  <si>
    <t>16.38 Wita</t>
  </si>
  <si>
    <t>20.02 Wita</t>
  </si>
  <si>
    <t>14.29 Wita</t>
  </si>
  <si>
    <t>15.09 Wita</t>
  </si>
  <si>
    <t>00.02 Wita</t>
  </si>
  <si>
    <t>18.33 Wita</t>
  </si>
  <si>
    <t>00.22 Wita</t>
  </si>
  <si>
    <t>07.27 Wita</t>
  </si>
  <si>
    <t>21.19 Wita</t>
  </si>
  <si>
    <t>02.56 Wita</t>
  </si>
  <si>
    <t>15.32 Wita</t>
  </si>
  <si>
    <t>10.37 Wita</t>
  </si>
  <si>
    <t>18.31 Wita</t>
  </si>
  <si>
    <t>04.08</t>
  </si>
  <si>
    <t>19.42 Wita</t>
  </si>
  <si>
    <t>18.55 Wita</t>
  </si>
  <si>
    <t>16.37  Wita</t>
  </si>
  <si>
    <t>Respon Time</t>
  </si>
  <si>
    <t>P.19/141      /TU/DAMKAR/MPBK/2025</t>
  </si>
  <si>
    <t>P.52/141    /TU/DAMKAR/MPBK/2025</t>
  </si>
  <si>
    <t>Lainya</t>
  </si>
  <si>
    <t>Animal Rescue</t>
  </si>
  <si>
    <t>Penyelamatan Pada Ketinggian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</si>
</sst>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rgb="FF000000"/>
      <name val="Times New Roman"/>
      <family val="1"/>
    </font>
    <font>
      <b/>
      <sz val="11"/>
      <color rgb="FF000000"/>
      <name val="Times New Roman"/>
      <family val="1"/>
    </font>
    <font>
      <b/>
      <sz val="13.5"/>
      <color theme="1"/>
      <name val="Arial"/>
      <family val="2"/>
    </font>
    <font>
      <b/>
      <sz val="18"/>
      <color theme="1"/>
      <name val="Arial"/>
      <family val="2"/>
    </font>
    <font>
      <sz val="11"/>
      <color theme="1"/>
      <name val="Arial"/>
      <family val="2"/>
    </font>
    <font>
      <b/>
      <sz val="12"/>
      <color theme="1"/>
      <name val="Times New Roman"/>
      <family val="1"/>
    </font>
    <font>
      <b/>
      <sz val="10"/>
      <color rgb="FF000000"/>
      <name val="Times New Roman"/>
      <family val="1"/>
    </font>
    <font>
      <u/>
      <sz val="11"/>
      <color rgb="FF000000"/>
      <name val="Times New Roman"/>
      <family val="1"/>
    </font>
    <font>
      <sz val="9"/>
      <name val="Calibri"/>
      <family val="2"/>
      <scheme val="minor"/>
    </font>
    <font>
      <sz val="11"/>
      <name val="Calibri"/>
      <family val="2"/>
      <scheme val="minor"/>
    </font>
    <font>
      <sz val="9"/>
      <color theme="1"/>
      <name val="Calibri"/>
      <family val="2"/>
      <scheme val="minor"/>
    </font>
    <font>
      <b/>
      <sz val="11"/>
      <name val="Calibri"/>
      <family val="2"/>
      <scheme val="minor"/>
    </font>
    <font>
      <b/>
      <sz val="11"/>
      <color theme="1"/>
      <name val="Times New Roman"/>
      <family val="1"/>
    </font>
    <font>
      <b/>
      <sz val="10"/>
      <name val="Calibri"/>
      <family val="2"/>
      <scheme val="minor"/>
    </font>
    <font>
      <b/>
      <sz val="12"/>
      <name val="Calibri"/>
      <family val="2"/>
      <scheme val="minor"/>
    </font>
    <font>
      <b/>
      <sz val="9"/>
      <name val="Calibri"/>
      <family val="2"/>
      <scheme val="minor"/>
    </font>
    <font>
      <sz val="8"/>
      <name val="Calibri"/>
      <family val="2"/>
      <scheme val="minor"/>
    </font>
    <font>
      <sz val="6"/>
      <name val="Calibri"/>
      <family val="2"/>
      <scheme val="minor"/>
    </font>
    <font>
      <b/>
      <sz val="8"/>
      <name val="Calibri"/>
      <family val="2"/>
      <scheme val="minor"/>
    </font>
    <font>
      <sz val="10"/>
      <color rgb="FF000000"/>
      <name val="Times New Roman"/>
      <family val="1"/>
    </font>
    <font>
      <sz val="12"/>
      <color rgb="FF000000"/>
      <name val="Times New Roman"/>
      <family val="1"/>
    </font>
    <font>
      <sz val="8"/>
      <name val="Times New Roman"/>
      <charset val="204"/>
    </font>
    <font>
      <sz val="10"/>
      <name val="Times New Roman"/>
      <family val="1"/>
    </font>
    <font>
      <b/>
      <sz val="12"/>
      <color rgb="FF000000"/>
      <name val="Times New Roman"/>
      <family val="1"/>
    </font>
    <font>
      <sz val="10"/>
      <color rgb="FF000000"/>
      <name val="Times New Roman"/>
      <charset val="204"/>
    </font>
    <font>
      <sz val="8"/>
      <name val="Times New Roman"/>
      <family val="1"/>
    </font>
    <font>
      <b/>
      <sz val="11"/>
      <color theme="1"/>
      <name val="Calibri"/>
      <family val="2"/>
      <scheme val="minor"/>
    </font>
    <font>
      <b/>
      <sz val="14"/>
      <color theme="1"/>
      <name val="Calibri"/>
      <family val="2"/>
      <scheme val="minor"/>
    </font>
    <font>
      <sz val="11"/>
      <name val="Times New Roman"/>
      <family val="1"/>
    </font>
  </fonts>
  <fills count="1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00B050"/>
        <bgColor indexed="64"/>
      </patternFill>
    </fill>
    <fill>
      <patternFill patternType="solid">
        <fgColor theme="9" tint="-0.249977111117893"/>
        <bgColor indexed="64"/>
      </patternFill>
    </fill>
    <fill>
      <patternFill patternType="solid">
        <fgColor theme="4" tint="0.39997558519241921"/>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bottom/>
      <diagonal/>
    </border>
  </borders>
  <cellStyleXfs count="4">
    <xf numFmtId="0" fontId="0" fillId="0" borderId="0"/>
    <xf numFmtId="0" fontId="3" fillId="0" borderId="0"/>
    <xf numFmtId="0" fontId="28" fillId="0" borderId="0"/>
    <xf numFmtId="0" fontId="2" fillId="0" borderId="0"/>
  </cellStyleXfs>
  <cellXfs count="306">
    <xf numFmtId="0" fontId="0" fillId="0" borderId="0" xfId="0" applyAlignment="1">
      <alignment horizontal="left" vertical="top"/>
    </xf>
    <xf numFmtId="0" fontId="4" fillId="0" borderId="0" xfId="0" applyFont="1" applyAlignment="1">
      <alignment horizontal="left" vertical="top"/>
    </xf>
    <xf numFmtId="0" fontId="4" fillId="0" borderId="2" xfId="0" applyFont="1" applyBorder="1" applyAlignment="1">
      <alignment horizontal="center" vertical="center"/>
    </xf>
    <xf numFmtId="0" fontId="5" fillId="0" borderId="2"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vertical="top" wrapText="1"/>
    </xf>
    <xf numFmtId="0" fontId="6" fillId="0" borderId="0" xfId="0" applyFont="1" applyAlignment="1">
      <alignment vertical="center" wrapText="1"/>
    </xf>
    <xf numFmtId="0" fontId="7" fillId="0" borderId="0" xfId="0" applyFont="1" applyAlignment="1">
      <alignment vertical="center"/>
    </xf>
    <xf numFmtId="0" fontId="8" fillId="0" borderId="0" xfId="0" applyFont="1"/>
    <xf numFmtId="0" fontId="4" fillId="0" borderId="3" xfId="0" applyFont="1" applyBorder="1" applyAlignment="1">
      <alignment horizontal="left" vertical="top"/>
    </xf>
    <xf numFmtId="0" fontId="10" fillId="0" borderId="0" xfId="0" applyFont="1" applyAlignment="1">
      <alignment horizontal="left" vertical="top"/>
    </xf>
    <xf numFmtId="0" fontId="5" fillId="0" borderId="0" xfId="0" applyFont="1" applyAlignment="1">
      <alignment horizontal="center" vertical="top" wrapText="1"/>
    </xf>
    <xf numFmtId="0" fontId="5" fillId="0" borderId="0" xfId="0" applyFont="1" applyAlignment="1">
      <alignment horizontal="center" vertical="top"/>
    </xf>
    <xf numFmtId="0" fontId="5" fillId="0" borderId="2" xfId="0" applyFont="1" applyBorder="1" applyAlignment="1">
      <alignment vertical="center"/>
    </xf>
    <xf numFmtId="0" fontId="5" fillId="0" borderId="0" xfId="0" applyFont="1" applyAlignment="1">
      <alignment vertical="center"/>
    </xf>
    <xf numFmtId="0" fontId="4" fillId="0" borderId="0" xfId="0" applyFont="1" applyAlignment="1">
      <alignment vertical="center"/>
    </xf>
    <xf numFmtId="0" fontId="4" fillId="0" borderId="0" xfId="0" applyFont="1" applyAlignment="1">
      <alignment vertical="top"/>
    </xf>
    <xf numFmtId="0" fontId="4" fillId="0" borderId="0" xfId="0" applyFont="1" applyAlignment="1">
      <alignment horizontal="center" vertical="center"/>
    </xf>
    <xf numFmtId="0" fontId="0" fillId="0" borderId="0" xfId="0" applyAlignment="1">
      <alignment horizontal="left" vertical="center"/>
    </xf>
    <xf numFmtId="0" fontId="11" fillId="0" borderId="0" xfId="0" applyFont="1" applyAlignment="1">
      <alignment vertical="top"/>
    </xf>
    <xf numFmtId="0" fontId="13" fillId="0" borderId="0" xfId="1" applyFont="1"/>
    <xf numFmtId="0" fontId="14" fillId="0" borderId="12" xfId="1" applyFont="1" applyBorder="1" applyAlignment="1">
      <alignment horizontal="center" vertical="center"/>
    </xf>
    <xf numFmtId="0" fontId="14" fillId="0" borderId="12" xfId="1" applyFont="1" applyBorder="1" applyAlignment="1">
      <alignment horizontal="left" vertical="center" wrapText="1"/>
    </xf>
    <xf numFmtId="0" fontId="14" fillId="0" borderId="11" xfId="1" applyFont="1" applyBorder="1" applyAlignment="1">
      <alignment horizontal="center" vertical="center" wrapText="1"/>
    </xf>
    <xf numFmtId="0" fontId="14" fillId="0" borderId="2" xfId="1" applyFont="1" applyBorder="1" applyAlignment="1">
      <alignment horizontal="left" vertical="center" wrapText="1"/>
    </xf>
    <xf numFmtId="0" fontId="14" fillId="0" borderId="8" xfId="1" applyFont="1" applyBorder="1" applyAlignment="1">
      <alignment horizontal="center" vertical="center" wrapText="1"/>
    </xf>
    <xf numFmtId="0" fontId="14" fillId="0" borderId="7" xfId="1" applyFont="1" applyBorder="1" applyAlignment="1">
      <alignment horizontal="center" vertical="center" wrapText="1"/>
    </xf>
    <xf numFmtId="0" fontId="14" fillId="0" borderId="7" xfId="1" applyFont="1" applyBorder="1" applyAlignment="1">
      <alignment horizontal="center" vertical="center"/>
    </xf>
    <xf numFmtId="0" fontId="14" fillId="0" borderId="2" xfId="1" applyFont="1" applyBorder="1" applyAlignment="1">
      <alignment horizontal="center" vertical="center" wrapText="1"/>
    </xf>
    <xf numFmtId="0" fontId="14" fillId="0" borderId="0" xfId="1" applyFont="1"/>
    <xf numFmtId="0" fontId="14" fillId="0" borderId="4" xfId="1" applyFont="1" applyBorder="1" applyAlignment="1">
      <alignment horizontal="center" vertical="center"/>
    </xf>
    <xf numFmtId="20" fontId="14" fillId="0" borderId="2" xfId="1" applyNumberFormat="1" applyFont="1" applyBorder="1" applyAlignment="1">
      <alignment horizontal="center" vertical="center" wrapText="1"/>
    </xf>
    <xf numFmtId="0" fontId="14" fillId="0" borderId="2" xfId="1" applyFont="1" applyBorder="1" applyAlignment="1">
      <alignment horizontal="center" vertical="center"/>
    </xf>
    <xf numFmtId="0" fontId="3" fillId="0" borderId="0" xfId="1"/>
    <xf numFmtId="20" fontId="14" fillId="0" borderId="7" xfId="1" applyNumberFormat="1" applyFont="1" applyBorder="1" applyAlignment="1">
      <alignment horizontal="center" vertical="center" wrapText="1"/>
    </xf>
    <xf numFmtId="20" fontId="14" fillId="0" borderId="2" xfId="1" quotePrefix="1" applyNumberFormat="1" applyFont="1" applyBorder="1" applyAlignment="1">
      <alignment horizontal="center" vertical="center" wrapText="1"/>
    </xf>
    <xf numFmtId="0" fontId="14" fillId="0" borderId="11" xfId="1" applyFont="1" applyBorder="1" applyAlignment="1">
      <alignment horizontal="left" vertical="center" wrapText="1"/>
    </xf>
    <xf numFmtId="0" fontId="15" fillId="0" borderId="0" xfId="1" applyFont="1" applyAlignment="1">
      <alignment vertical="center"/>
    </xf>
    <xf numFmtId="0" fontId="14" fillId="0" borderId="15" xfId="1" applyFont="1" applyBorder="1" applyAlignment="1">
      <alignment horizontal="left" vertical="center" wrapText="1"/>
    </xf>
    <xf numFmtId="0" fontId="14" fillId="0" borderId="7" xfId="1" applyFont="1" applyBorder="1" applyAlignment="1">
      <alignment horizontal="left" vertical="center" wrapText="1"/>
    </xf>
    <xf numFmtId="0" fontId="14" fillId="0" borderId="4" xfId="1" applyFont="1" applyBorder="1" applyAlignment="1">
      <alignment horizontal="left" vertical="center" wrapText="1"/>
    </xf>
    <xf numFmtId="20" fontId="14" fillId="0" borderId="11" xfId="1" applyNumberFormat="1" applyFont="1" applyBorder="1" applyAlignment="1">
      <alignment horizontal="center" vertical="center" wrapText="1"/>
    </xf>
    <xf numFmtId="0" fontId="14" fillId="0" borderId="11" xfId="1" applyFont="1" applyBorder="1" applyAlignment="1">
      <alignment horizontal="center" vertical="center"/>
    </xf>
    <xf numFmtId="0" fontId="12" fillId="0" borderId="12" xfId="1" applyFont="1" applyBorder="1" applyAlignment="1">
      <alignment horizontal="left" vertical="center" wrapText="1"/>
    </xf>
    <xf numFmtId="0" fontId="12" fillId="0" borderId="11" xfId="1" applyFont="1" applyBorder="1" applyAlignment="1">
      <alignment horizontal="center" vertical="center" wrapText="1"/>
    </xf>
    <xf numFmtId="0" fontId="12" fillId="0" borderId="2" xfId="1" applyFont="1" applyBorder="1" applyAlignment="1">
      <alignment horizontal="left" vertical="center" wrapText="1"/>
    </xf>
    <xf numFmtId="0" fontId="12" fillId="0" borderId="8" xfId="1" applyFont="1" applyBorder="1" applyAlignment="1">
      <alignment horizontal="center" vertical="center" wrapText="1"/>
    </xf>
    <xf numFmtId="0" fontId="12" fillId="0" borderId="7" xfId="1" applyFont="1" applyBorder="1" applyAlignment="1">
      <alignment horizontal="center" vertical="center" wrapText="1"/>
    </xf>
    <xf numFmtId="0" fontId="12" fillId="0" borderId="7" xfId="1" applyFont="1" applyBorder="1" applyAlignment="1">
      <alignment horizontal="center" vertical="center"/>
    </xf>
    <xf numFmtId="0" fontId="12" fillId="0" borderId="2" xfId="1" applyFont="1" applyBorder="1" applyAlignment="1">
      <alignment horizontal="center" vertical="center" wrapText="1"/>
    </xf>
    <xf numFmtId="20" fontId="12" fillId="0" borderId="7" xfId="1" applyNumberFormat="1" applyFont="1" applyBorder="1" applyAlignment="1">
      <alignment horizontal="center" vertical="center" wrapText="1"/>
    </xf>
    <xf numFmtId="0" fontId="12" fillId="0" borderId="2" xfId="1" applyFont="1" applyBorder="1" applyAlignment="1">
      <alignment horizontal="center" vertical="center"/>
    </xf>
    <xf numFmtId="20" fontId="12" fillId="0" borderId="2" xfId="1" applyNumberFormat="1" applyFont="1" applyBorder="1" applyAlignment="1">
      <alignment horizontal="center" vertical="center" wrapText="1"/>
    </xf>
    <xf numFmtId="0" fontId="12" fillId="0" borderId="11" xfId="1" applyFont="1" applyBorder="1" applyAlignment="1">
      <alignment horizontal="left" vertical="center" wrapText="1"/>
    </xf>
    <xf numFmtId="0" fontId="13" fillId="0" borderId="0" xfId="1" applyFont="1" applyAlignment="1">
      <alignment vertical="center"/>
    </xf>
    <xf numFmtId="0" fontId="13" fillId="0" borderId="0" xfId="1" applyFont="1" applyAlignment="1">
      <alignment horizontal="left"/>
    </xf>
    <xf numFmtId="0" fontId="12" fillId="0" borderId="0" xfId="1" applyFont="1" applyAlignment="1">
      <alignment wrapText="1"/>
    </xf>
    <xf numFmtId="0" fontId="17" fillId="0" borderId="7" xfId="1" applyFont="1" applyBorder="1" applyAlignment="1">
      <alignment horizontal="center"/>
    </xf>
    <xf numFmtId="0" fontId="17" fillId="0" borderId="11" xfId="1" applyFont="1" applyBorder="1" applyAlignment="1">
      <alignment horizontal="center" vertical="center"/>
    </xf>
    <xf numFmtId="0" fontId="17" fillId="0" borderId="8" xfId="1" applyFont="1" applyBorder="1" applyAlignment="1">
      <alignment horizontal="center" vertical="center" wrapText="1"/>
    </xf>
    <xf numFmtId="0" fontId="17" fillId="0" borderId="7" xfId="1" applyFont="1" applyBorder="1" applyAlignment="1">
      <alignment horizontal="center" vertical="center"/>
    </xf>
    <xf numFmtId="0" fontId="0" fillId="0" borderId="0" xfId="0" applyAlignment="1">
      <alignment horizontal="center" vertical="top"/>
    </xf>
    <xf numFmtId="0" fontId="20" fillId="0" borderId="8" xfId="0" applyFont="1" applyBorder="1" applyAlignment="1">
      <alignment horizontal="center" vertical="center"/>
    </xf>
    <xf numFmtId="0" fontId="20" fillId="0" borderId="7" xfId="0" applyFont="1" applyBorder="1" applyAlignment="1">
      <alignment horizontal="center"/>
    </xf>
    <xf numFmtId="0" fontId="20" fillId="0" borderId="10"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1" xfId="0" applyFont="1" applyBorder="1" applyAlignment="1">
      <alignment horizontal="center" vertical="center"/>
    </xf>
    <xf numFmtId="0" fontId="20" fillId="0" borderId="4"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7" xfId="0" applyFont="1" applyBorder="1" applyAlignment="1">
      <alignment vertical="center" wrapText="1"/>
    </xf>
    <xf numFmtId="0" fontId="20" fillId="0" borderId="7" xfId="0" applyFont="1" applyBorder="1" applyAlignment="1">
      <alignment horizontal="center" vertical="center"/>
    </xf>
    <xf numFmtId="0" fontId="20" fillId="0" borderId="14" xfId="0" applyFont="1" applyBorder="1" applyAlignment="1">
      <alignment horizontal="center" vertical="center" wrapText="1"/>
    </xf>
    <xf numFmtId="0" fontId="14" fillId="0" borderId="12" xfId="0" applyFont="1" applyBorder="1" applyAlignment="1">
      <alignment horizontal="center" vertical="center"/>
    </xf>
    <xf numFmtId="0" fontId="14" fillId="0" borderId="12" xfId="0" applyFont="1" applyBorder="1" applyAlignment="1">
      <alignment horizontal="left" vertical="center" wrapText="1"/>
    </xf>
    <xf numFmtId="20" fontId="14" fillId="0" borderId="2" xfId="0" applyNumberFormat="1" applyFont="1" applyBorder="1" applyAlignment="1">
      <alignment horizontal="center" vertical="center" wrapText="1"/>
    </xf>
    <xf numFmtId="0" fontId="14" fillId="0" borderId="2" xfId="0" applyFont="1" applyBorder="1" applyAlignment="1">
      <alignment horizontal="left" vertical="center" wrapText="1"/>
    </xf>
    <xf numFmtId="0" fontId="14" fillId="0" borderId="2" xfId="0" applyFont="1" applyBorder="1" applyAlignment="1">
      <alignment horizontal="center" vertical="center"/>
    </xf>
    <xf numFmtId="0" fontId="14" fillId="0" borderId="4" xfId="0" applyFont="1" applyBorder="1" applyAlignment="1">
      <alignment horizontal="center" vertical="center" wrapText="1"/>
    </xf>
    <xf numFmtId="1" fontId="14" fillId="0" borderId="6" xfId="0" applyNumberFormat="1" applyFont="1" applyBorder="1" applyAlignment="1">
      <alignment horizontal="center" vertical="center" wrapText="1"/>
    </xf>
    <xf numFmtId="0" fontId="14" fillId="0" borderId="2" xfId="0" applyFont="1" applyBorder="1" applyAlignment="1">
      <alignment horizontal="center" vertical="center" wrapText="1"/>
    </xf>
    <xf numFmtId="0" fontId="14" fillId="0" borderId="6" xfId="0" applyFont="1" applyBorder="1" applyAlignment="1">
      <alignment horizontal="center" vertical="center" wrapText="1"/>
    </xf>
    <xf numFmtId="20" fontId="14" fillId="0" borderId="12" xfId="0" applyNumberFormat="1" applyFont="1" applyBorder="1" applyAlignment="1">
      <alignment horizontal="center" vertical="center" wrapText="1"/>
    </xf>
    <xf numFmtId="20" fontId="14" fillId="0" borderId="2" xfId="0" quotePrefix="1" applyNumberFormat="1" applyFont="1" applyBorder="1" applyAlignment="1">
      <alignment horizontal="center" vertical="center" wrapText="1"/>
    </xf>
    <xf numFmtId="0" fontId="0" fillId="0" borderId="0" xfId="0" applyAlignment="1">
      <alignment horizontal="center" vertical="center"/>
    </xf>
    <xf numFmtId="0" fontId="10" fillId="0" borderId="2" xfId="0" applyFont="1" applyBorder="1" applyAlignment="1">
      <alignment horizontal="left" vertical="top"/>
    </xf>
    <xf numFmtId="0" fontId="10" fillId="0" borderId="2" xfId="0" applyFont="1" applyBorder="1" applyAlignment="1">
      <alignment horizontal="center" vertical="center"/>
    </xf>
    <xf numFmtId="0" fontId="23" fillId="0" borderId="2" xfId="0" applyFont="1" applyBorder="1" applyAlignment="1">
      <alignment horizontal="center" vertical="center"/>
    </xf>
    <xf numFmtId="0" fontId="0" fillId="0" borderId="3" xfId="0" applyBorder="1" applyAlignment="1">
      <alignment horizontal="left" vertical="top"/>
    </xf>
    <xf numFmtId="0" fontId="5"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22" fillId="0" borderId="7" xfId="1" applyFont="1" applyBorder="1" applyAlignment="1">
      <alignment vertical="center" wrapText="1"/>
    </xf>
    <xf numFmtId="0" fontId="4" fillId="0" borderId="4" xfId="0" applyFont="1" applyBorder="1" applyAlignment="1">
      <alignment horizontal="center" vertical="center"/>
    </xf>
    <xf numFmtId="0" fontId="13" fillId="0" borderId="0" xfId="1" applyFont="1" applyAlignment="1">
      <alignment horizontal="center"/>
    </xf>
    <xf numFmtId="0" fontId="14" fillId="0" borderId="0" xfId="1" applyFont="1" applyBorder="1" applyAlignment="1">
      <alignment horizontal="center" vertical="center"/>
    </xf>
    <xf numFmtId="0" fontId="14" fillId="0" borderId="0" xfId="1" applyFont="1" applyBorder="1" applyAlignment="1">
      <alignment horizontal="left" vertical="center" wrapText="1"/>
    </xf>
    <xf numFmtId="20" fontId="14" fillId="0" borderId="0" xfId="1" applyNumberFormat="1" applyFont="1" applyBorder="1" applyAlignment="1">
      <alignment horizontal="center" vertical="center"/>
    </xf>
    <xf numFmtId="20" fontId="14" fillId="0" borderId="0" xfId="1" applyNumberFormat="1" applyFont="1" applyBorder="1" applyAlignment="1">
      <alignment horizontal="center" vertical="center" wrapText="1"/>
    </xf>
    <xf numFmtId="1" fontId="14" fillId="0" borderId="0" xfId="1" applyNumberFormat="1" applyFont="1" applyBorder="1" applyAlignment="1">
      <alignment horizontal="center" vertical="center" wrapText="1"/>
    </xf>
    <xf numFmtId="0" fontId="14" fillId="0" borderId="0" xfId="1" applyFont="1" applyBorder="1" applyAlignment="1">
      <alignment horizontal="center" vertical="center" wrapText="1"/>
    </xf>
    <xf numFmtId="0" fontId="23" fillId="0" borderId="0" xfId="0" applyFont="1" applyAlignment="1">
      <alignment horizontal="left" vertical="top"/>
    </xf>
    <xf numFmtId="0" fontId="0" fillId="0" borderId="2" xfId="0" applyBorder="1" applyAlignment="1">
      <alignment horizontal="left" vertical="top"/>
    </xf>
    <xf numFmtId="2" fontId="23" fillId="0" borderId="6" xfId="0" applyNumberFormat="1" applyFont="1" applyBorder="1" applyAlignment="1">
      <alignment vertical="center"/>
    </xf>
    <xf numFmtId="2" fontId="4" fillId="0" borderId="4" xfId="0" applyNumberFormat="1" applyFont="1" applyBorder="1" applyAlignment="1">
      <alignment horizontal="center" vertical="center"/>
    </xf>
    <xf numFmtId="0" fontId="26" fillId="0" borderId="4"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7" xfId="0" applyFont="1" applyBorder="1" applyAlignment="1">
      <alignment horizontal="center" vertical="center"/>
    </xf>
    <xf numFmtId="0" fontId="27" fillId="0" borderId="0" xfId="0" applyFont="1" applyAlignment="1">
      <alignment horizontal="left" vertical="top"/>
    </xf>
    <xf numFmtId="0" fontId="5" fillId="0" borderId="0" xfId="0" applyFont="1" applyAlignment="1">
      <alignment horizontal="center" vertical="top" wrapText="1"/>
    </xf>
    <xf numFmtId="0" fontId="5" fillId="0" borderId="2" xfId="0" applyFont="1" applyBorder="1" applyAlignment="1">
      <alignment horizontal="center" vertical="center"/>
    </xf>
    <xf numFmtId="0" fontId="14" fillId="0" borderId="0" xfId="1" applyFont="1" applyAlignment="1">
      <alignment horizontal="center" vertical="center"/>
    </xf>
    <xf numFmtId="0" fontId="3" fillId="0" borderId="0" xfId="1" applyAlignment="1">
      <alignment horizontal="center" vertical="center"/>
    </xf>
    <xf numFmtId="20" fontId="14" fillId="0" borderId="4" xfId="1" applyNumberFormat="1" applyFont="1" applyBorder="1" applyAlignment="1">
      <alignment horizontal="center" vertical="center"/>
    </xf>
    <xf numFmtId="20" fontId="14" fillId="0" borderId="5" xfId="1" applyNumberFormat="1" applyFont="1" applyBorder="1" applyAlignment="1">
      <alignment horizontal="center" vertical="center"/>
    </xf>
    <xf numFmtId="20" fontId="14" fillId="0" borderId="6" xfId="1" applyNumberFormat="1" applyFont="1" applyBorder="1" applyAlignment="1">
      <alignment horizontal="center" vertical="center"/>
    </xf>
    <xf numFmtId="0" fontId="13" fillId="0" borderId="0" xfId="1" applyFont="1" applyAlignment="1">
      <alignment horizontal="center" vertical="center"/>
    </xf>
    <xf numFmtId="0" fontId="4" fillId="0" borderId="2" xfId="0" applyFont="1" applyBorder="1" applyAlignment="1">
      <alignment horizontal="center" vertical="center"/>
    </xf>
    <xf numFmtId="0" fontId="13" fillId="0" borderId="0" xfId="1" applyFont="1" applyAlignment="1">
      <alignment wrapText="1"/>
    </xf>
    <xf numFmtId="0" fontId="4" fillId="0" borderId="0" xfId="0" applyFont="1" applyAlignment="1">
      <alignment horizontal="center" vertical="top"/>
    </xf>
    <xf numFmtId="0" fontId="11" fillId="0" borderId="0" xfId="0" applyFont="1" applyAlignment="1">
      <alignment horizontal="center" vertical="top"/>
    </xf>
    <xf numFmtId="1" fontId="14" fillId="0" borderId="6" xfId="0" applyNumberFormat="1" applyFont="1" applyBorder="1" applyAlignment="1">
      <alignment horizontal="center" vertical="center" wrapText="1"/>
    </xf>
    <xf numFmtId="0" fontId="14" fillId="0" borderId="4" xfId="0" applyFont="1" applyBorder="1" applyAlignment="1">
      <alignment horizontal="center" vertical="center" wrapText="1"/>
    </xf>
    <xf numFmtId="0" fontId="14" fillId="0" borderId="6" xfId="0" applyFont="1" applyBorder="1" applyAlignment="1">
      <alignment horizontal="center" vertical="center" wrapText="1"/>
    </xf>
    <xf numFmtId="0" fontId="2" fillId="0" borderId="0" xfId="3"/>
    <xf numFmtId="0" fontId="30" fillId="0" borderId="2" xfId="3" applyFont="1" applyBorder="1" applyAlignment="1">
      <alignment horizontal="center" vertical="center"/>
    </xf>
    <xf numFmtId="0" fontId="2" fillId="0" borderId="2" xfId="3" applyBorder="1" applyAlignment="1">
      <alignment horizontal="center" vertical="center"/>
    </xf>
    <xf numFmtId="0" fontId="2" fillId="0" borderId="2" xfId="3" applyBorder="1"/>
    <xf numFmtId="0" fontId="13" fillId="0" borderId="2" xfId="3" applyFont="1" applyBorder="1" applyAlignment="1">
      <alignment horizontal="center" vertical="center" wrapText="1"/>
    </xf>
    <xf numFmtId="0" fontId="15" fillId="0" borderId="7" xfId="3" applyFont="1" applyBorder="1" applyAlignment="1">
      <alignment horizontal="center" vertical="center" wrapText="1"/>
    </xf>
    <xf numFmtId="49" fontId="30" fillId="0" borderId="2" xfId="3" applyNumberFormat="1" applyFont="1" applyBorder="1" applyAlignment="1">
      <alignment horizontal="center" vertical="center"/>
    </xf>
    <xf numFmtId="0" fontId="30" fillId="2" borderId="2" xfId="3" applyFont="1" applyFill="1" applyBorder="1"/>
    <xf numFmtId="0" fontId="2" fillId="0" borderId="0" xfId="3" applyAlignment="1">
      <alignment horizontal="center" vertical="center"/>
    </xf>
    <xf numFmtId="0" fontId="2" fillId="3" borderId="0" xfId="3" applyFill="1"/>
    <xf numFmtId="0" fontId="30" fillId="0" borderId="0" xfId="3" applyFont="1" applyAlignment="1">
      <alignment horizontal="center" vertical="center"/>
    </xf>
    <xf numFmtId="1" fontId="4" fillId="0" borderId="1" xfId="0" applyNumberFormat="1" applyFont="1" applyBorder="1" applyAlignment="1">
      <alignment horizontal="center" vertical="top" shrinkToFit="1"/>
    </xf>
    <xf numFmtId="0" fontId="32" fillId="0" borderId="1" xfId="0" applyFont="1" applyBorder="1" applyAlignment="1">
      <alignment horizontal="center" vertical="top" wrapText="1"/>
    </xf>
    <xf numFmtId="0" fontId="32" fillId="0" borderId="1" xfId="0" applyFont="1" applyBorder="1" applyAlignment="1">
      <alignment horizontal="left" vertical="top"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7" xfId="0" applyFont="1" applyBorder="1" applyAlignment="1">
      <alignment horizontal="center" vertical="center"/>
    </xf>
    <xf numFmtId="0" fontId="14" fillId="0" borderId="12" xfId="0" applyFont="1" applyBorder="1" applyAlignment="1">
      <alignment horizontal="center" vertical="center" wrapText="1"/>
    </xf>
    <xf numFmtId="0" fontId="14" fillId="0" borderId="11" xfId="0" applyFont="1" applyBorder="1" applyAlignment="1">
      <alignment horizontal="left" vertical="center" wrapText="1"/>
    </xf>
    <xf numFmtId="20" fontId="14" fillId="0" borderId="11" xfId="0" applyNumberFormat="1" applyFont="1" applyBorder="1" applyAlignment="1">
      <alignment horizontal="center" vertical="center" wrapText="1"/>
    </xf>
    <xf numFmtId="0" fontId="2" fillId="4" borderId="16" xfId="3" applyFill="1" applyBorder="1"/>
    <xf numFmtId="0" fontId="2" fillId="4" borderId="17" xfId="3" applyFill="1" applyBorder="1" applyAlignment="1">
      <alignment horizontal="center" vertical="center"/>
    </xf>
    <xf numFmtId="0" fontId="2" fillId="4" borderId="16" xfId="3" applyFill="1" applyBorder="1" applyAlignment="1">
      <alignment horizontal="center" vertical="center"/>
    </xf>
    <xf numFmtId="0" fontId="2" fillId="0" borderId="11" xfId="3" applyBorder="1"/>
    <xf numFmtId="0" fontId="2" fillId="0" borderId="11" xfId="3" applyBorder="1" applyAlignment="1">
      <alignment horizontal="center" vertical="center"/>
    </xf>
    <xf numFmtId="0" fontId="2" fillId="0" borderId="7" xfId="3" applyBorder="1" applyAlignment="1">
      <alignment horizontal="center" vertical="center"/>
    </xf>
    <xf numFmtId="0" fontId="2" fillId="0" borderId="7" xfId="3" applyBorder="1"/>
    <xf numFmtId="0" fontId="2" fillId="0" borderId="14" xfId="3" applyBorder="1" applyAlignment="1">
      <alignment horizontal="center" vertical="center"/>
    </xf>
    <xf numFmtId="0" fontId="2" fillId="0" borderId="12" xfId="3" applyBorder="1" applyAlignment="1">
      <alignment horizontal="center" vertical="center"/>
    </xf>
    <xf numFmtId="0" fontId="2" fillId="0" borderId="6" xfId="3" applyBorder="1" applyAlignment="1">
      <alignment horizontal="center" vertical="center"/>
    </xf>
    <xf numFmtId="0" fontId="2" fillId="0" borderId="4" xfId="3" applyBorder="1" applyAlignment="1">
      <alignment horizontal="center" vertical="center"/>
    </xf>
    <xf numFmtId="0" fontId="2" fillId="0" borderId="18" xfId="3" applyBorder="1"/>
    <xf numFmtId="0" fontId="2" fillId="0" borderId="18" xfId="3" applyBorder="1" applyAlignment="1">
      <alignment horizontal="center" vertical="center"/>
    </xf>
    <xf numFmtId="0" fontId="30" fillId="0" borderId="4" xfId="3" applyFont="1" applyBorder="1" applyAlignment="1">
      <alignment horizontal="center" vertical="center"/>
    </xf>
    <xf numFmtId="0" fontId="30" fillId="0" borderId="15" xfId="3" applyFont="1" applyBorder="1" applyAlignment="1">
      <alignment horizontal="center" vertical="center"/>
    </xf>
    <xf numFmtId="0" fontId="30" fillId="2" borderId="2" xfId="3" applyFont="1" applyFill="1" applyBorder="1" applyAlignment="1">
      <alignment horizontal="center" vertical="center"/>
    </xf>
    <xf numFmtId="0" fontId="1" fillId="0" borderId="0" xfId="3" applyFont="1"/>
    <xf numFmtId="0" fontId="2" fillId="0" borderId="0" xfId="3" applyBorder="1" applyAlignment="1">
      <alignment horizontal="center" vertical="center"/>
    </xf>
    <xf numFmtId="0" fontId="13" fillId="0" borderId="0" xfId="3" applyFont="1" applyBorder="1" applyAlignment="1">
      <alignment horizontal="center" vertical="center" wrapText="1"/>
    </xf>
    <xf numFmtId="0" fontId="13" fillId="0" borderId="0" xfId="3" applyFont="1" applyBorder="1" applyAlignment="1">
      <alignment horizontal="left" vertical="center" wrapText="1"/>
    </xf>
    <xf numFmtId="0" fontId="30" fillId="0" borderId="0" xfId="3" applyFont="1" applyBorder="1" applyAlignment="1">
      <alignment horizontal="center" vertical="center"/>
    </xf>
    <xf numFmtId="0" fontId="30" fillId="0" borderId="0" xfId="3" applyFont="1" applyAlignment="1">
      <alignment horizontal="center"/>
    </xf>
    <xf numFmtId="0" fontId="13" fillId="5" borderId="2" xfId="3" applyFont="1" applyFill="1" applyBorder="1" applyAlignment="1">
      <alignment horizontal="left" vertical="center" wrapText="1"/>
    </xf>
    <xf numFmtId="0" fontId="2" fillId="6" borderId="2" xfId="3" applyFill="1" applyBorder="1"/>
    <xf numFmtId="0" fontId="13" fillId="6" borderId="2" xfId="3" applyFont="1" applyFill="1" applyBorder="1" applyAlignment="1">
      <alignment horizontal="left" vertical="center" wrapText="1"/>
    </xf>
    <xf numFmtId="0" fontId="13" fillId="6" borderId="2" xfId="3" applyFont="1" applyFill="1" applyBorder="1"/>
    <xf numFmtId="0" fontId="13" fillId="6" borderId="2" xfId="3" applyFont="1" applyFill="1" applyBorder="1" applyAlignment="1">
      <alignment wrapText="1"/>
    </xf>
    <xf numFmtId="0" fontId="13" fillId="7" borderId="2" xfId="3" applyFont="1" applyFill="1" applyBorder="1" applyAlignment="1">
      <alignment horizontal="left" vertical="center"/>
    </xf>
    <xf numFmtId="0" fontId="13" fillId="8" borderId="2" xfId="3" applyFont="1" applyFill="1" applyBorder="1" applyAlignment="1">
      <alignment horizontal="left" vertical="center" wrapText="1"/>
    </xf>
    <xf numFmtId="0" fontId="13" fillId="8" borderId="2" xfId="3" applyFont="1" applyFill="1" applyBorder="1" applyAlignment="1">
      <alignment horizontal="left" vertical="top" wrapText="1"/>
    </xf>
    <xf numFmtId="0" fontId="1" fillId="6" borderId="0" xfId="3" applyFont="1" applyFill="1"/>
    <xf numFmtId="0" fontId="1" fillId="8" borderId="0" xfId="3" applyFont="1" applyFill="1"/>
    <xf numFmtId="0" fontId="1" fillId="7" borderId="0" xfId="3" applyFont="1" applyFill="1"/>
    <xf numFmtId="0" fontId="1" fillId="9" borderId="0" xfId="3" applyFont="1" applyFill="1"/>
    <xf numFmtId="0" fontId="30" fillId="9" borderId="0" xfId="3" applyFont="1" applyFill="1" applyAlignment="1">
      <alignment horizontal="center"/>
    </xf>
    <xf numFmtId="0" fontId="30" fillId="7" borderId="0" xfId="3" applyFont="1" applyFill="1" applyAlignment="1">
      <alignment horizontal="center"/>
    </xf>
    <xf numFmtId="0" fontId="30" fillId="6" borderId="0" xfId="3" applyFont="1" applyFill="1" applyAlignment="1">
      <alignment horizontal="center"/>
    </xf>
    <xf numFmtId="0" fontId="30" fillId="8" borderId="0" xfId="3" applyFont="1" applyFill="1" applyAlignment="1">
      <alignment horizontal="center"/>
    </xf>
    <xf numFmtId="0" fontId="5" fillId="0" borderId="0" xfId="0" applyFont="1" applyAlignment="1">
      <alignment horizontal="center" vertical="top"/>
    </xf>
    <xf numFmtId="0" fontId="6" fillId="0" borderId="0" xfId="0" applyFont="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xf>
    <xf numFmtId="0" fontId="8" fillId="0" borderId="3" xfId="0" applyFont="1" applyBorder="1" applyAlignment="1">
      <alignment horizontal="center"/>
    </xf>
    <xf numFmtId="0" fontId="5" fillId="0" borderId="0" xfId="0" applyFont="1" applyAlignment="1">
      <alignment horizontal="center" vertical="top" wrapText="1"/>
    </xf>
    <xf numFmtId="0" fontId="24" fillId="0" borderId="2" xfId="0" applyFont="1" applyBorder="1" applyAlignment="1">
      <alignment horizontal="center" vertical="center"/>
    </xf>
    <xf numFmtId="0" fontId="4" fillId="0" borderId="0" xfId="0" applyFont="1" applyAlignment="1">
      <alignment horizontal="center" vertical="top"/>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11" fillId="0" borderId="0" xfId="0" applyFont="1" applyAlignment="1">
      <alignment horizontal="center" vertical="top"/>
    </xf>
    <xf numFmtId="0" fontId="24" fillId="0" borderId="2" xfId="0" applyFont="1" applyBorder="1" applyAlignment="1">
      <alignment horizontal="center" vertical="center" wrapTex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center" vertical="center"/>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4" fillId="0" borderId="2" xfId="0" applyFont="1" applyBorder="1" applyAlignment="1">
      <alignment horizontal="center" vertical="center"/>
    </xf>
    <xf numFmtId="20" fontId="14" fillId="0" borderId="4" xfId="1" applyNumberFormat="1" applyFont="1" applyBorder="1" applyAlignment="1">
      <alignment horizontal="center" vertical="center"/>
    </xf>
    <xf numFmtId="20" fontId="14" fillId="0" borderId="5" xfId="1" applyNumberFormat="1" applyFont="1" applyBorder="1" applyAlignment="1">
      <alignment horizontal="center" vertical="center"/>
    </xf>
    <xf numFmtId="20" fontId="14" fillId="0" borderId="6" xfId="1" applyNumberFormat="1" applyFont="1" applyBorder="1" applyAlignment="1">
      <alignment horizontal="center" vertical="center"/>
    </xf>
    <xf numFmtId="1" fontId="14" fillId="0" borderId="4" xfId="1" applyNumberFormat="1" applyFont="1" applyBorder="1" applyAlignment="1">
      <alignment horizontal="center" vertical="center" wrapText="1"/>
    </xf>
    <xf numFmtId="1" fontId="14" fillId="0" borderId="5" xfId="1" applyNumberFormat="1" applyFont="1" applyBorder="1" applyAlignment="1">
      <alignment horizontal="center" vertical="center" wrapText="1"/>
    </xf>
    <xf numFmtId="1" fontId="14" fillId="0" borderId="6" xfId="1" applyNumberFormat="1" applyFont="1" applyBorder="1" applyAlignment="1">
      <alignment horizontal="center" vertical="center" wrapText="1"/>
    </xf>
    <xf numFmtId="0" fontId="14" fillId="0" borderId="4" xfId="1" applyFont="1" applyBorder="1" applyAlignment="1">
      <alignment horizontal="center" vertical="center" wrapText="1"/>
    </xf>
    <xf numFmtId="0" fontId="14" fillId="0" borderId="5" xfId="1" applyFont="1" applyBorder="1" applyAlignment="1">
      <alignment horizontal="center" vertical="center" wrapText="1"/>
    </xf>
    <xf numFmtId="0" fontId="14" fillId="0" borderId="6" xfId="1" applyFont="1" applyBorder="1" applyAlignment="1">
      <alignment horizontal="center" vertical="center" wrapText="1"/>
    </xf>
    <xf numFmtId="20" fontId="14" fillId="0" borderId="4" xfId="1" applyNumberFormat="1" applyFont="1" applyBorder="1" applyAlignment="1">
      <alignment horizontal="center" vertical="center" wrapText="1"/>
    </xf>
    <xf numFmtId="20" fontId="14" fillId="0" borderId="5" xfId="1" applyNumberFormat="1" applyFont="1" applyBorder="1" applyAlignment="1">
      <alignment horizontal="center" vertical="center" wrapText="1"/>
    </xf>
    <xf numFmtId="20" fontId="14" fillId="0" borderId="6" xfId="1" applyNumberFormat="1" applyFont="1" applyBorder="1" applyAlignment="1">
      <alignment horizontal="center" vertical="center" wrapText="1"/>
    </xf>
    <xf numFmtId="0" fontId="16" fillId="0" borderId="0" xfId="1" applyFont="1" applyAlignment="1">
      <alignment horizontal="center"/>
    </xf>
    <xf numFmtId="0" fontId="12" fillId="0" borderId="4" xfId="1" applyFont="1" applyBorder="1" applyAlignment="1">
      <alignment horizontal="center" vertical="center" wrapText="1"/>
    </xf>
    <xf numFmtId="0" fontId="12" fillId="0" borderId="5" xfId="1" applyFont="1" applyBorder="1" applyAlignment="1">
      <alignment horizontal="center" vertical="center" wrapText="1"/>
    </xf>
    <xf numFmtId="0" fontId="12" fillId="0" borderId="6" xfId="1" applyFont="1" applyBorder="1" applyAlignment="1">
      <alignment horizontal="center" vertical="center" wrapText="1"/>
    </xf>
    <xf numFmtId="1" fontId="12" fillId="0" borderId="4" xfId="1" applyNumberFormat="1" applyFont="1" applyBorder="1" applyAlignment="1">
      <alignment horizontal="center" vertical="center" wrapText="1"/>
    </xf>
    <xf numFmtId="1" fontId="12" fillId="0" borderId="5" xfId="1" applyNumberFormat="1" applyFont="1" applyBorder="1" applyAlignment="1">
      <alignment horizontal="center" vertical="center" wrapText="1"/>
    </xf>
    <xf numFmtId="1" fontId="12" fillId="0" borderId="6" xfId="1" applyNumberFormat="1" applyFont="1" applyBorder="1" applyAlignment="1">
      <alignment horizontal="center" vertical="center" wrapText="1"/>
    </xf>
    <xf numFmtId="0" fontId="17" fillId="0" borderId="4" xfId="1" applyFont="1" applyBorder="1" applyAlignment="1">
      <alignment horizontal="center" vertical="center"/>
    </xf>
    <xf numFmtId="0" fontId="17" fillId="0" borderId="6" xfId="1" applyFont="1" applyBorder="1" applyAlignment="1">
      <alignment horizontal="center" vertical="center"/>
    </xf>
    <xf numFmtId="0" fontId="17" fillId="0" borderId="8" xfId="1" applyFont="1" applyBorder="1" applyAlignment="1">
      <alignment horizontal="center" vertical="center" wrapText="1"/>
    </xf>
    <xf numFmtId="0" fontId="17" fillId="0" borderId="9" xfId="1" applyFont="1" applyBorder="1" applyAlignment="1">
      <alignment horizontal="center" vertical="center" wrapText="1"/>
    </xf>
    <xf numFmtId="0" fontId="17" fillId="0" borderId="10" xfId="1" applyFont="1" applyBorder="1" applyAlignment="1">
      <alignment horizontal="center" vertical="center" wrapText="1"/>
    </xf>
    <xf numFmtId="0" fontId="17" fillId="0" borderId="12" xfId="1" applyFont="1" applyBorder="1" applyAlignment="1">
      <alignment horizontal="center" vertical="center" wrapText="1"/>
    </xf>
    <xf numFmtId="0" fontId="17" fillId="0" borderId="13" xfId="1" applyFont="1" applyBorder="1" applyAlignment="1">
      <alignment horizontal="center" vertical="center" wrapText="1"/>
    </xf>
    <xf numFmtId="0" fontId="17" fillId="0" borderId="14" xfId="1" applyFont="1" applyBorder="1" applyAlignment="1">
      <alignment horizontal="center" vertical="center" wrapText="1"/>
    </xf>
    <xf numFmtId="0" fontId="19" fillId="0" borderId="7" xfId="1" applyFont="1" applyBorder="1" applyAlignment="1">
      <alignment horizontal="center" vertical="center" wrapText="1"/>
    </xf>
    <xf numFmtId="0" fontId="19" fillId="0" borderId="11" xfId="1" applyFont="1" applyBorder="1" applyAlignment="1">
      <alignment horizontal="center" vertical="center" wrapText="1"/>
    </xf>
    <xf numFmtId="0" fontId="17" fillId="0" borderId="7" xfId="1" applyFont="1" applyBorder="1" applyAlignment="1">
      <alignment horizontal="center" vertical="center"/>
    </xf>
    <xf numFmtId="0" fontId="17" fillId="0" borderId="11" xfId="1" applyFont="1" applyBorder="1" applyAlignment="1">
      <alignment horizontal="center" vertical="center"/>
    </xf>
    <xf numFmtId="0" fontId="17" fillId="0" borderId="8" xfId="1" applyFont="1" applyBorder="1" applyAlignment="1">
      <alignment horizontal="center" vertical="center"/>
    </xf>
    <xf numFmtId="0" fontId="17" fillId="0" borderId="9" xfId="1" applyFont="1" applyBorder="1" applyAlignment="1">
      <alignment horizontal="center" vertical="center"/>
    </xf>
    <xf numFmtId="0" fontId="17" fillId="0" borderId="10" xfId="1" applyFont="1" applyBorder="1" applyAlignment="1">
      <alignment horizontal="center" vertical="center"/>
    </xf>
    <xf numFmtId="0" fontId="17" fillId="0" borderId="12" xfId="1" applyFont="1" applyBorder="1" applyAlignment="1">
      <alignment horizontal="center" vertical="center"/>
    </xf>
    <xf numFmtId="0" fontId="17" fillId="0" borderId="13" xfId="1" applyFont="1" applyBorder="1" applyAlignment="1">
      <alignment horizontal="center" vertical="center"/>
    </xf>
    <xf numFmtId="0" fontId="17" fillId="0" borderId="14" xfId="1" applyFont="1" applyBorder="1" applyAlignment="1">
      <alignment horizontal="center" vertical="center"/>
    </xf>
    <xf numFmtId="0" fontId="18" fillId="0" borderId="7" xfId="1" applyFont="1" applyBorder="1" applyAlignment="1">
      <alignment horizontal="center" vertical="center"/>
    </xf>
    <xf numFmtId="0" fontId="18" fillId="0" borderId="11" xfId="1" applyFont="1" applyBorder="1" applyAlignment="1">
      <alignment horizontal="center" vertical="center"/>
    </xf>
    <xf numFmtId="0" fontId="17" fillId="0" borderId="7" xfId="1" applyFont="1" applyBorder="1" applyAlignment="1">
      <alignment horizontal="center" vertical="center" textRotation="90" wrapText="1"/>
    </xf>
    <xf numFmtId="0" fontId="17" fillId="0" borderId="11" xfId="1" applyFont="1" applyBorder="1" applyAlignment="1">
      <alignment horizontal="center" vertical="center" textRotation="90" wrapText="1"/>
    </xf>
    <xf numFmtId="0" fontId="2" fillId="3" borderId="0" xfId="3" applyFill="1" applyAlignment="1">
      <alignment horizontal="center" vertical="center"/>
    </xf>
    <xf numFmtId="0" fontId="31" fillId="0" borderId="0" xfId="3" applyFont="1" applyAlignment="1">
      <alignment horizontal="center" vertical="center"/>
    </xf>
    <xf numFmtId="0" fontId="30" fillId="0" borderId="2" xfId="3" applyFont="1" applyBorder="1" applyAlignment="1">
      <alignment horizontal="center" vertical="center" wrapText="1"/>
    </xf>
    <xf numFmtId="20" fontId="14" fillId="0" borderId="4" xfId="0" applyNumberFormat="1" applyFont="1" applyBorder="1" applyAlignment="1">
      <alignment horizontal="center" vertical="center"/>
    </xf>
    <xf numFmtId="20" fontId="14" fillId="0" borderId="5" xfId="0" applyNumberFormat="1" applyFont="1" applyBorder="1" applyAlignment="1">
      <alignment horizontal="center" vertical="center"/>
    </xf>
    <xf numFmtId="20" fontId="14" fillId="0" borderId="6" xfId="0" applyNumberFormat="1" applyFont="1" applyBorder="1" applyAlignment="1">
      <alignment horizontal="center" vertical="center"/>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6" xfId="0" applyFont="1" applyBorder="1" applyAlignment="1">
      <alignment horizontal="center" vertical="center" wrapText="1"/>
    </xf>
    <xf numFmtId="0" fontId="20" fillId="0" borderId="4" xfId="0" applyFont="1" applyBorder="1" applyAlignment="1">
      <alignment horizontal="center" vertical="center"/>
    </xf>
    <xf numFmtId="0" fontId="20" fillId="0" borderId="6" xfId="0" applyFont="1" applyBorder="1" applyAlignment="1">
      <alignment horizontal="center" vertical="center"/>
    </xf>
    <xf numFmtId="0" fontId="20" fillId="0" borderId="7"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11" xfId="0" applyFont="1" applyBorder="1" applyAlignment="1">
      <alignment horizontal="center" vertical="center" wrapText="1"/>
    </xf>
    <xf numFmtId="0" fontId="20" fillId="0" borderId="7" xfId="0" applyFont="1" applyBorder="1" applyAlignment="1">
      <alignment horizontal="center" vertical="center"/>
    </xf>
    <xf numFmtId="0" fontId="20" fillId="0" borderId="11" xfId="0" applyFont="1" applyBorder="1" applyAlignment="1">
      <alignment horizontal="center" vertical="center"/>
    </xf>
    <xf numFmtId="0" fontId="20" fillId="0" borderId="8" xfId="0" applyFont="1" applyBorder="1" applyAlignment="1">
      <alignment horizontal="center" vertical="center"/>
    </xf>
    <xf numFmtId="0" fontId="20" fillId="0" borderId="9" xfId="0" applyFont="1" applyBorder="1" applyAlignment="1">
      <alignment horizontal="center" vertical="center"/>
    </xf>
    <xf numFmtId="0" fontId="20" fillId="0" borderId="10"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20" fillId="0" borderId="14" xfId="0" applyFont="1" applyBorder="1" applyAlignment="1">
      <alignment horizontal="center" vertical="center"/>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1" fontId="14" fillId="0" borderId="4" xfId="0" applyNumberFormat="1" applyFont="1" applyBorder="1" applyAlignment="1">
      <alignment horizontal="center" vertical="center" wrapText="1"/>
    </xf>
    <xf numFmtId="1" fontId="14" fillId="0" borderId="5" xfId="0" applyNumberFormat="1" applyFont="1" applyBorder="1" applyAlignment="1">
      <alignment horizontal="center" vertical="center" wrapText="1"/>
    </xf>
    <xf numFmtId="1" fontId="14" fillId="0" borderId="6" xfId="0" applyNumberFormat="1" applyFont="1" applyBorder="1" applyAlignment="1">
      <alignment horizontal="center" vertical="center" wrapText="1"/>
    </xf>
    <xf numFmtId="0" fontId="20" fillId="0" borderId="7" xfId="0" applyFont="1" applyBorder="1" applyAlignment="1">
      <alignment horizontal="center" vertical="center" textRotation="90" wrapText="1"/>
    </xf>
    <xf numFmtId="0" fontId="20" fillId="0" borderId="11" xfId="0" applyFont="1" applyBorder="1" applyAlignment="1">
      <alignment horizontal="center" vertical="center" textRotation="90" wrapText="1"/>
    </xf>
    <xf numFmtId="0" fontId="23" fillId="0" borderId="0" xfId="0" applyFont="1" applyAlignment="1">
      <alignment horizontal="center" vertical="top"/>
    </xf>
    <xf numFmtId="0" fontId="23" fillId="0" borderId="7"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4" xfId="0" applyFont="1" applyBorder="1" applyAlignment="1">
      <alignment horizontal="center" vertical="center"/>
    </xf>
    <xf numFmtId="0" fontId="23" fillId="0" borderId="6" xfId="0" applyFont="1" applyBorder="1" applyAlignment="1">
      <alignment horizontal="center" vertical="center"/>
    </xf>
    <xf numFmtId="0" fontId="26" fillId="0" borderId="4"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7" xfId="0" applyFont="1" applyBorder="1" applyAlignment="1">
      <alignment horizontal="center" vertical="center" textRotation="90" wrapText="1"/>
    </xf>
    <xf numFmtId="0" fontId="26" fillId="0" borderId="11" xfId="0" applyFont="1" applyBorder="1" applyAlignment="1">
      <alignment horizontal="center" vertical="center" textRotation="90" wrapText="1"/>
    </xf>
    <xf numFmtId="0" fontId="26" fillId="0" borderId="4" xfId="0" applyFont="1" applyBorder="1" applyAlignment="1">
      <alignment horizontal="center" vertical="center"/>
    </xf>
    <xf numFmtId="0" fontId="26" fillId="0" borderId="6" xfId="0" applyFont="1" applyBorder="1" applyAlignment="1">
      <alignment horizontal="center" vertical="center"/>
    </xf>
    <xf numFmtId="0" fontId="2" fillId="2" borderId="0" xfId="3" applyFill="1"/>
  </cellXfs>
  <cellStyles count="4">
    <cellStyle name="Normal" xfId="0" builtinId="0"/>
    <cellStyle name="Normal 2" xfId="1" xr:uid="{00000000-0005-0000-0000-000001000000}"/>
    <cellStyle name="Normal 2 2" xfId="2" xr:uid="{00000000-0005-0000-0000-000002000000}"/>
    <cellStyle name="Normal 3" xfId="3" xr:uid="{8C643E39-D812-4A83-BC16-7B819A57CEC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1</xdr:row>
      <xdr:rowOff>19050</xdr:rowOff>
    </xdr:from>
    <xdr:to>
      <xdr:col>1</xdr:col>
      <xdr:colOff>171451</xdr:colOff>
      <xdr:row>5</xdr:row>
      <xdr:rowOff>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1" y="19050"/>
          <a:ext cx="704850" cy="7429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19050</xdr:rowOff>
    </xdr:from>
    <xdr:to>
      <xdr:col>2</xdr:col>
      <xdr:colOff>180976</xdr:colOff>
      <xdr:row>4</xdr:row>
      <xdr:rowOff>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1" y="19050"/>
          <a:ext cx="704850" cy="74295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19050</xdr:rowOff>
    </xdr:from>
    <xdr:to>
      <xdr:col>2</xdr:col>
      <xdr:colOff>180976</xdr:colOff>
      <xdr:row>4</xdr:row>
      <xdr:rowOff>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1" y="19050"/>
          <a:ext cx="704850" cy="7429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19050</xdr:rowOff>
    </xdr:from>
    <xdr:to>
      <xdr:col>2</xdr:col>
      <xdr:colOff>38101</xdr:colOff>
      <xdr:row>4</xdr:row>
      <xdr:rowOff>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1" y="19050"/>
          <a:ext cx="704850" cy="7429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xdr:colOff>
      <xdr:row>1</xdr:row>
      <xdr:rowOff>95249</xdr:rowOff>
    </xdr:from>
    <xdr:to>
      <xdr:col>3</xdr:col>
      <xdr:colOff>85725</xdr:colOff>
      <xdr:row>4</xdr:row>
      <xdr:rowOff>180975</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533401" y="257174"/>
          <a:ext cx="752474" cy="781051"/>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431005</xdr:colOff>
      <xdr:row>3</xdr:row>
      <xdr:rowOff>161926</xdr:rowOff>
    </xdr:to>
    <xdr:pic>
      <xdr:nvPicPr>
        <xdr:cNvPr id="5" name="Picture 4">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0" y="19050"/>
          <a:ext cx="838199" cy="847726"/>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257176</xdr:colOff>
      <xdr:row>1</xdr:row>
      <xdr:rowOff>104774</xdr:rowOff>
    </xdr:from>
    <xdr:to>
      <xdr:col>6</xdr:col>
      <xdr:colOff>210111</xdr:colOff>
      <xdr:row>4</xdr:row>
      <xdr:rowOff>190500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2628901" y="266699"/>
          <a:ext cx="752474" cy="781051"/>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288"/>
  <sheetViews>
    <sheetView workbookViewId="0">
      <selection activeCell="L11" sqref="L11"/>
    </sheetView>
  </sheetViews>
  <sheetFormatPr defaultRowHeight="15" x14ac:dyDescent="0.2"/>
  <cols>
    <col min="2" max="2" width="5.83203125" style="1" customWidth="1"/>
    <col min="3" max="3" width="35.83203125" style="1" customWidth="1"/>
    <col min="4" max="4" width="49.5" style="1" customWidth="1"/>
    <col min="5" max="5" width="6.33203125" customWidth="1"/>
    <col min="6" max="6" width="2.5" customWidth="1"/>
  </cols>
  <sheetData>
    <row r="2" spans="1:12" ht="15" customHeight="1" x14ac:dyDescent="0.2">
      <c r="A2" s="5"/>
      <c r="B2" s="184" t="s">
        <v>3</v>
      </c>
      <c r="C2" s="184"/>
      <c r="D2" s="184"/>
      <c r="E2" s="184"/>
      <c r="F2" s="184"/>
      <c r="G2" s="6"/>
      <c r="H2" s="6"/>
      <c r="I2" s="6"/>
      <c r="J2" s="6"/>
      <c r="K2" s="6"/>
      <c r="L2" s="6"/>
    </row>
    <row r="3" spans="1:12" ht="15" customHeight="1" x14ac:dyDescent="0.2">
      <c r="A3" s="5"/>
      <c r="B3" s="185" t="s">
        <v>4</v>
      </c>
      <c r="C3" s="185"/>
      <c r="D3" s="185"/>
      <c r="E3" s="185"/>
      <c r="F3" s="185"/>
      <c r="G3" s="7"/>
      <c r="H3" s="7"/>
      <c r="I3" s="7"/>
      <c r="J3" s="7"/>
      <c r="K3" s="7"/>
      <c r="L3" s="7"/>
    </row>
    <row r="4" spans="1:12" ht="15" customHeight="1" x14ac:dyDescent="0.2">
      <c r="A4" s="5"/>
      <c r="B4" s="186" t="s">
        <v>6</v>
      </c>
      <c r="C4" s="186"/>
      <c r="D4" s="186"/>
      <c r="E4" s="186"/>
      <c r="F4" s="186"/>
      <c r="G4" s="8"/>
      <c r="H4" s="8"/>
      <c r="I4" s="8"/>
      <c r="J4" s="8"/>
      <c r="K4" s="8"/>
      <c r="L4" s="8"/>
    </row>
    <row r="5" spans="1:12" ht="15" customHeight="1" thickBot="1" x14ac:dyDescent="0.25">
      <c r="A5" s="4"/>
      <c r="B5" s="187" t="s">
        <v>5</v>
      </c>
      <c r="C5" s="187"/>
      <c r="D5" s="187"/>
      <c r="E5" s="187"/>
      <c r="F5" s="187"/>
      <c r="G5" s="8"/>
      <c r="H5" s="8"/>
      <c r="I5" s="8"/>
      <c r="J5" s="8"/>
      <c r="K5" s="8"/>
      <c r="L5" s="8"/>
    </row>
    <row r="6" spans="1:12" ht="15" customHeight="1" thickTop="1" x14ac:dyDescent="0.2"/>
    <row r="7" spans="1:12" ht="15" customHeight="1" x14ac:dyDescent="0.2">
      <c r="B7" s="183" t="s">
        <v>9</v>
      </c>
      <c r="C7" s="183"/>
      <c r="D7" s="183"/>
      <c r="E7" s="183"/>
    </row>
    <row r="8" spans="1:12" ht="16.5" customHeight="1" x14ac:dyDescent="0.2">
      <c r="B8" s="188" t="s">
        <v>7</v>
      </c>
      <c r="C8" s="188"/>
      <c r="D8" s="188"/>
      <c r="E8" s="188"/>
    </row>
    <row r="9" spans="1:12" ht="15" customHeight="1" x14ac:dyDescent="0.2">
      <c r="B9" s="183" t="s">
        <v>8</v>
      </c>
      <c r="C9" s="183"/>
      <c r="D9" s="183"/>
      <c r="E9" s="10"/>
    </row>
    <row r="10" spans="1:12" ht="15" customHeight="1" x14ac:dyDescent="0.2"/>
    <row r="11" spans="1:12" ht="21" customHeight="1" x14ac:dyDescent="0.2">
      <c r="B11" s="3" t="s">
        <v>2</v>
      </c>
      <c r="C11" s="3" t="s">
        <v>0</v>
      </c>
      <c r="D11" s="3" t="s">
        <v>1</v>
      </c>
    </row>
    <row r="12" spans="1:12" ht="15" customHeight="1" x14ac:dyDescent="0.2">
      <c r="B12" s="136">
        <v>1</v>
      </c>
      <c r="C12" s="137" t="s">
        <v>2824</v>
      </c>
      <c r="D12" s="138" t="s">
        <v>86</v>
      </c>
    </row>
    <row r="13" spans="1:12" ht="15" customHeight="1" x14ac:dyDescent="0.2">
      <c r="B13" s="136">
        <v>2</v>
      </c>
      <c r="C13" s="137" t="s">
        <v>2824</v>
      </c>
      <c r="D13" s="138" t="s">
        <v>87</v>
      </c>
    </row>
    <row r="14" spans="1:12" ht="15" customHeight="1" x14ac:dyDescent="0.2">
      <c r="B14" s="136">
        <v>3</v>
      </c>
      <c r="C14" s="137" t="s">
        <v>2825</v>
      </c>
      <c r="D14" s="138" t="s">
        <v>88</v>
      </c>
    </row>
    <row r="15" spans="1:12" ht="15" customHeight="1" x14ac:dyDescent="0.2">
      <c r="B15" s="136">
        <v>4</v>
      </c>
      <c r="C15" s="137" t="s">
        <v>2826</v>
      </c>
      <c r="D15" s="138" t="s">
        <v>89</v>
      </c>
    </row>
    <row r="16" spans="1:12" ht="15" customHeight="1" x14ac:dyDescent="0.2">
      <c r="B16" s="136">
        <v>5</v>
      </c>
      <c r="C16" s="137" t="s">
        <v>2824</v>
      </c>
      <c r="D16" s="138" t="s">
        <v>90</v>
      </c>
    </row>
    <row r="17" spans="2:4" ht="15" customHeight="1" x14ac:dyDescent="0.2">
      <c r="B17" s="136">
        <v>6</v>
      </c>
      <c r="C17" s="137" t="s">
        <v>2827</v>
      </c>
      <c r="D17" s="138" t="s">
        <v>91</v>
      </c>
    </row>
    <row r="18" spans="2:4" ht="15" customHeight="1" x14ac:dyDescent="0.2">
      <c r="B18" s="136">
        <v>7</v>
      </c>
      <c r="C18" s="137" t="s">
        <v>2828</v>
      </c>
      <c r="D18" s="138" t="s">
        <v>92</v>
      </c>
    </row>
    <row r="19" spans="2:4" ht="15" customHeight="1" x14ac:dyDescent="0.2">
      <c r="B19" s="136">
        <v>8</v>
      </c>
      <c r="C19" s="137" t="s">
        <v>2824</v>
      </c>
      <c r="D19" s="138" t="s">
        <v>93</v>
      </c>
    </row>
    <row r="20" spans="2:4" ht="15" customHeight="1" x14ac:dyDescent="0.2">
      <c r="B20" s="136">
        <v>9</v>
      </c>
      <c r="C20" s="137" t="s">
        <v>2829</v>
      </c>
      <c r="D20" s="138" t="s">
        <v>94</v>
      </c>
    </row>
    <row r="21" spans="2:4" ht="15" customHeight="1" x14ac:dyDescent="0.2">
      <c r="B21" s="136">
        <v>10</v>
      </c>
      <c r="C21" s="137" t="s">
        <v>2830</v>
      </c>
      <c r="D21" s="138" t="s">
        <v>95</v>
      </c>
    </row>
    <row r="22" spans="2:4" ht="15" customHeight="1" x14ac:dyDescent="0.2">
      <c r="B22" s="136">
        <v>11</v>
      </c>
      <c r="C22" s="137" t="s">
        <v>2827</v>
      </c>
      <c r="D22" s="138" t="s">
        <v>96</v>
      </c>
    </row>
    <row r="23" spans="2:4" ht="15" customHeight="1" x14ac:dyDescent="0.2">
      <c r="B23" s="136">
        <v>12</v>
      </c>
      <c r="C23" s="137" t="s">
        <v>2830</v>
      </c>
      <c r="D23" s="138" t="s">
        <v>97</v>
      </c>
    </row>
    <row r="24" spans="2:4" ht="15" customHeight="1" x14ac:dyDescent="0.2">
      <c r="B24" s="136">
        <v>13</v>
      </c>
      <c r="C24" s="137" t="s">
        <v>2830</v>
      </c>
      <c r="D24" s="138" t="s">
        <v>98</v>
      </c>
    </row>
    <row r="25" spans="2:4" ht="15" customHeight="1" x14ac:dyDescent="0.2">
      <c r="B25" s="136">
        <v>14</v>
      </c>
      <c r="C25" s="137" t="s">
        <v>2824</v>
      </c>
      <c r="D25" s="138" t="s">
        <v>99</v>
      </c>
    </row>
    <row r="26" spans="2:4" ht="15" customHeight="1" x14ac:dyDescent="0.2">
      <c r="B26" s="136">
        <v>15</v>
      </c>
      <c r="C26" s="137" t="s">
        <v>2828</v>
      </c>
      <c r="D26" s="138" t="s">
        <v>100</v>
      </c>
    </row>
    <row r="27" spans="2:4" ht="15" customHeight="1" x14ac:dyDescent="0.2">
      <c r="B27" s="136">
        <v>16</v>
      </c>
      <c r="C27" s="137" t="s">
        <v>2830</v>
      </c>
      <c r="D27" s="138" t="s">
        <v>2831</v>
      </c>
    </row>
    <row r="28" spans="2:4" ht="15" customHeight="1" x14ac:dyDescent="0.2">
      <c r="B28" s="136">
        <v>17</v>
      </c>
      <c r="C28" s="137" t="s">
        <v>2832</v>
      </c>
      <c r="D28" s="138" t="s">
        <v>101</v>
      </c>
    </row>
    <row r="29" spans="2:4" ht="15" customHeight="1" x14ac:dyDescent="0.2">
      <c r="B29" s="136">
        <v>18</v>
      </c>
      <c r="C29" s="137" t="s">
        <v>2830</v>
      </c>
      <c r="D29" s="138" t="s">
        <v>102</v>
      </c>
    </row>
    <row r="30" spans="2:4" ht="15" customHeight="1" x14ac:dyDescent="0.2">
      <c r="B30" s="136">
        <v>19</v>
      </c>
      <c r="C30" s="137" t="s">
        <v>2825</v>
      </c>
      <c r="D30" s="138" t="s">
        <v>103</v>
      </c>
    </row>
    <row r="31" spans="2:4" ht="15" customHeight="1" x14ac:dyDescent="0.2">
      <c r="B31" s="136">
        <v>20</v>
      </c>
      <c r="C31" s="137" t="s">
        <v>2827</v>
      </c>
      <c r="D31" s="138" t="s">
        <v>104</v>
      </c>
    </row>
    <row r="32" spans="2:4" ht="15" customHeight="1" x14ac:dyDescent="0.2">
      <c r="B32" s="136">
        <v>21</v>
      </c>
      <c r="C32" s="137" t="s">
        <v>2832</v>
      </c>
      <c r="D32" s="138" t="s">
        <v>105</v>
      </c>
    </row>
    <row r="33" spans="2:4" ht="15" customHeight="1" x14ac:dyDescent="0.2">
      <c r="B33" s="136">
        <v>22</v>
      </c>
      <c r="C33" s="137" t="s">
        <v>2830</v>
      </c>
      <c r="D33" s="138" t="s">
        <v>106</v>
      </c>
    </row>
    <row r="34" spans="2:4" ht="15" customHeight="1" x14ac:dyDescent="0.2">
      <c r="B34" s="136">
        <v>23</v>
      </c>
      <c r="C34" s="137" t="s">
        <v>2824</v>
      </c>
      <c r="D34" s="138" t="s">
        <v>107</v>
      </c>
    </row>
    <row r="35" spans="2:4" ht="15" customHeight="1" x14ac:dyDescent="0.2">
      <c r="B35" s="136">
        <v>24</v>
      </c>
      <c r="C35" s="137" t="s">
        <v>2827</v>
      </c>
      <c r="D35" s="138" t="s">
        <v>108</v>
      </c>
    </row>
    <row r="36" spans="2:4" ht="15" customHeight="1" x14ac:dyDescent="0.2">
      <c r="B36" s="136">
        <v>25</v>
      </c>
      <c r="C36" s="137" t="s">
        <v>2830</v>
      </c>
      <c r="D36" s="138" t="s">
        <v>109</v>
      </c>
    </row>
    <row r="37" spans="2:4" ht="15" customHeight="1" x14ac:dyDescent="0.2">
      <c r="B37" s="136">
        <v>26</v>
      </c>
      <c r="C37" s="137" t="s">
        <v>2828</v>
      </c>
      <c r="D37" s="138" t="s">
        <v>110</v>
      </c>
    </row>
    <row r="38" spans="2:4" ht="15" customHeight="1" x14ac:dyDescent="0.2">
      <c r="B38" s="136">
        <v>27</v>
      </c>
      <c r="C38" s="137" t="s">
        <v>2825</v>
      </c>
      <c r="D38" s="138" t="s">
        <v>111</v>
      </c>
    </row>
    <row r="39" spans="2:4" ht="15" customHeight="1" x14ac:dyDescent="0.2">
      <c r="B39" s="136">
        <v>28</v>
      </c>
      <c r="C39" s="137" t="s">
        <v>2824</v>
      </c>
      <c r="D39" s="138" t="s">
        <v>112</v>
      </c>
    </row>
    <row r="40" spans="2:4" ht="15" customHeight="1" x14ac:dyDescent="0.2">
      <c r="B40" s="136">
        <v>29</v>
      </c>
      <c r="C40" s="137" t="s">
        <v>2824</v>
      </c>
      <c r="D40" s="138" t="s">
        <v>113</v>
      </c>
    </row>
    <row r="41" spans="2:4" ht="15" customHeight="1" x14ac:dyDescent="0.2">
      <c r="B41" s="136">
        <v>30</v>
      </c>
      <c r="C41" s="137" t="s">
        <v>2828</v>
      </c>
      <c r="D41" s="138" t="s">
        <v>2833</v>
      </c>
    </row>
    <row r="42" spans="2:4" ht="15" customHeight="1" x14ac:dyDescent="0.2">
      <c r="B42" s="136">
        <v>31</v>
      </c>
      <c r="C42" s="137" t="s">
        <v>2828</v>
      </c>
      <c r="D42" s="138" t="s">
        <v>114</v>
      </c>
    </row>
    <row r="43" spans="2:4" ht="15" customHeight="1" x14ac:dyDescent="0.2">
      <c r="B43" s="136">
        <v>32</v>
      </c>
      <c r="C43" s="137" t="s">
        <v>2824</v>
      </c>
      <c r="D43" s="138" t="s">
        <v>223</v>
      </c>
    </row>
    <row r="44" spans="2:4" ht="15" customHeight="1" x14ac:dyDescent="0.2">
      <c r="B44" s="136">
        <v>33</v>
      </c>
      <c r="C44" s="137" t="s">
        <v>2824</v>
      </c>
      <c r="D44" s="138" t="s">
        <v>224</v>
      </c>
    </row>
    <row r="45" spans="2:4" ht="15" customHeight="1" x14ac:dyDescent="0.2">
      <c r="B45" s="136">
        <v>34</v>
      </c>
      <c r="C45" s="137" t="s">
        <v>2824</v>
      </c>
      <c r="D45" s="138" t="s">
        <v>225</v>
      </c>
    </row>
    <row r="46" spans="2:4" ht="15" customHeight="1" x14ac:dyDescent="0.2">
      <c r="B46" s="136">
        <v>35</v>
      </c>
      <c r="C46" s="137" t="s">
        <v>2827</v>
      </c>
      <c r="D46" s="138" t="s">
        <v>226</v>
      </c>
    </row>
    <row r="47" spans="2:4" ht="15" customHeight="1" x14ac:dyDescent="0.2">
      <c r="B47" s="136">
        <v>36</v>
      </c>
      <c r="C47" s="137" t="s">
        <v>2829</v>
      </c>
      <c r="D47" s="138" t="s">
        <v>227</v>
      </c>
    </row>
    <row r="48" spans="2:4" ht="15" customHeight="1" x14ac:dyDescent="0.2">
      <c r="B48" s="136">
        <v>37</v>
      </c>
      <c r="C48" s="137" t="s">
        <v>2834</v>
      </c>
      <c r="D48" s="138" t="s">
        <v>228</v>
      </c>
    </row>
    <row r="49" spans="2:4" ht="15" customHeight="1" x14ac:dyDescent="0.2">
      <c r="B49" s="136">
        <v>38</v>
      </c>
      <c r="C49" s="137" t="s">
        <v>2828</v>
      </c>
      <c r="D49" s="138" t="s">
        <v>116</v>
      </c>
    </row>
    <row r="50" spans="2:4" ht="15" customHeight="1" x14ac:dyDescent="0.2">
      <c r="B50" s="136">
        <v>39</v>
      </c>
      <c r="C50" s="137" t="s">
        <v>2828</v>
      </c>
      <c r="D50" s="138" t="s">
        <v>117</v>
      </c>
    </row>
    <row r="51" spans="2:4" ht="15" customHeight="1" x14ac:dyDescent="0.2">
      <c r="B51" s="136">
        <v>40</v>
      </c>
      <c r="C51" s="137" t="s">
        <v>2824</v>
      </c>
      <c r="D51" s="138" t="s">
        <v>118</v>
      </c>
    </row>
    <row r="52" spans="2:4" ht="15" customHeight="1" x14ac:dyDescent="0.2">
      <c r="B52" s="136">
        <v>41</v>
      </c>
      <c r="C52" s="137" t="s">
        <v>2824</v>
      </c>
      <c r="D52" s="138" t="s">
        <v>119</v>
      </c>
    </row>
    <row r="53" spans="2:4" ht="15" customHeight="1" x14ac:dyDescent="0.2">
      <c r="B53" s="136">
        <v>42</v>
      </c>
      <c r="C53" s="137" t="s">
        <v>2830</v>
      </c>
      <c r="D53" s="138" t="s">
        <v>120</v>
      </c>
    </row>
    <row r="54" spans="2:4" ht="15" customHeight="1" x14ac:dyDescent="0.2">
      <c r="B54" s="136">
        <v>43</v>
      </c>
      <c r="C54" s="137" t="s">
        <v>2824</v>
      </c>
      <c r="D54" s="138" t="s">
        <v>121</v>
      </c>
    </row>
    <row r="55" spans="2:4" ht="15" customHeight="1" x14ac:dyDescent="0.2">
      <c r="B55" s="136">
        <v>44</v>
      </c>
      <c r="C55" s="137" t="s">
        <v>2824</v>
      </c>
      <c r="D55" s="138" t="s">
        <v>122</v>
      </c>
    </row>
    <row r="56" spans="2:4" ht="15" customHeight="1" x14ac:dyDescent="0.2">
      <c r="B56" s="136">
        <v>45</v>
      </c>
      <c r="C56" s="137" t="s">
        <v>2830</v>
      </c>
      <c r="D56" s="138" t="s">
        <v>123</v>
      </c>
    </row>
    <row r="57" spans="2:4" ht="15" customHeight="1" x14ac:dyDescent="0.2">
      <c r="B57" s="136">
        <v>46</v>
      </c>
      <c r="C57" s="137" t="s">
        <v>2828</v>
      </c>
      <c r="D57" s="138" t="s">
        <v>124</v>
      </c>
    </row>
    <row r="58" spans="2:4" ht="15" customHeight="1" x14ac:dyDescent="0.2">
      <c r="B58" s="136">
        <v>47</v>
      </c>
      <c r="C58" s="137" t="s">
        <v>2824</v>
      </c>
      <c r="D58" s="138" t="s">
        <v>125</v>
      </c>
    </row>
    <row r="59" spans="2:4" ht="15" customHeight="1" x14ac:dyDescent="0.2">
      <c r="B59" s="136">
        <v>48</v>
      </c>
      <c r="C59" s="137" t="s">
        <v>2824</v>
      </c>
      <c r="D59" s="138" t="s">
        <v>126</v>
      </c>
    </row>
    <row r="60" spans="2:4" ht="15" customHeight="1" x14ac:dyDescent="0.2">
      <c r="B60" s="136">
        <v>49</v>
      </c>
      <c r="C60" s="137" t="s">
        <v>2824</v>
      </c>
      <c r="D60" s="138" t="s">
        <v>127</v>
      </c>
    </row>
    <row r="61" spans="2:4" ht="15" customHeight="1" x14ac:dyDescent="0.2">
      <c r="B61" s="136">
        <v>50</v>
      </c>
      <c r="C61" s="137" t="s">
        <v>2824</v>
      </c>
      <c r="D61" s="138" t="s">
        <v>128</v>
      </c>
    </row>
    <row r="62" spans="2:4" ht="15" customHeight="1" x14ac:dyDescent="0.2">
      <c r="B62" s="136">
        <v>51</v>
      </c>
      <c r="C62" s="137" t="s">
        <v>2824</v>
      </c>
      <c r="D62" s="138" t="s">
        <v>129</v>
      </c>
    </row>
    <row r="63" spans="2:4" ht="15" customHeight="1" x14ac:dyDescent="0.2">
      <c r="B63" s="136">
        <v>52</v>
      </c>
      <c r="C63" s="137" t="s">
        <v>2824</v>
      </c>
      <c r="D63" s="138" t="s">
        <v>130</v>
      </c>
    </row>
    <row r="64" spans="2:4" ht="15" customHeight="1" x14ac:dyDescent="0.2">
      <c r="B64" s="136">
        <v>53</v>
      </c>
      <c r="C64" s="137" t="s">
        <v>2827</v>
      </c>
      <c r="D64" s="138" t="s">
        <v>131</v>
      </c>
    </row>
    <row r="65" spans="2:4" ht="15" customHeight="1" x14ac:dyDescent="0.2">
      <c r="B65" s="136">
        <v>54</v>
      </c>
      <c r="C65" s="137" t="s">
        <v>2824</v>
      </c>
      <c r="D65" s="138" t="s">
        <v>132</v>
      </c>
    </row>
    <row r="66" spans="2:4" ht="15" customHeight="1" x14ac:dyDescent="0.2">
      <c r="B66" s="136">
        <v>55</v>
      </c>
      <c r="C66" s="137" t="s">
        <v>2828</v>
      </c>
      <c r="D66" s="138" t="s">
        <v>2835</v>
      </c>
    </row>
    <row r="67" spans="2:4" ht="15" customHeight="1" x14ac:dyDescent="0.2">
      <c r="B67" s="136">
        <v>56</v>
      </c>
      <c r="C67" s="137" t="s">
        <v>2824</v>
      </c>
      <c r="D67" s="138" t="s">
        <v>133</v>
      </c>
    </row>
    <row r="68" spans="2:4" ht="15" customHeight="1" x14ac:dyDescent="0.2">
      <c r="B68" s="136">
        <v>57</v>
      </c>
      <c r="C68" s="137" t="s">
        <v>2830</v>
      </c>
      <c r="D68" s="138" t="s">
        <v>134</v>
      </c>
    </row>
    <row r="69" spans="2:4" ht="15" customHeight="1" x14ac:dyDescent="0.2">
      <c r="B69" s="136">
        <v>58</v>
      </c>
      <c r="C69" s="137" t="s">
        <v>2828</v>
      </c>
      <c r="D69" s="138" t="s">
        <v>135</v>
      </c>
    </row>
    <row r="70" spans="2:4" ht="15" customHeight="1" x14ac:dyDescent="0.2">
      <c r="B70" s="136">
        <v>59</v>
      </c>
      <c r="C70" s="137" t="s">
        <v>2824</v>
      </c>
      <c r="D70" s="138" t="s">
        <v>136</v>
      </c>
    </row>
    <row r="71" spans="2:4" ht="15" customHeight="1" x14ac:dyDescent="0.2">
      <c r="B71" s="136">
        <v>60</v>
      </c>
      <c r="C71" s="137" t="s">
        <v>2824</v>
      </c>
      <c r="D71" s="138" t="s">
        <v>137</v>
      </c>
    </row>
    <row r="72" spans="2:4" ht="15" customHeight="1" x14ac:dyDescent="0.2">
      <c r="B72" s="136">
        <v>61</v>
      </c>
      <c r="C72" s="137" t="s">
        <v>2832</v>
      </c>
      <c r="D72" s="138" t="s">
        <v>229</v>
      </c>
    </row>
    <row r="73" spans="2:4" ht="15" customHeight="1" x14ac:dyDescent="0.2">
      <c r="B73" s="136">
        <v>62</v>
      </c>
      <c r="C73" s="137" t="s">
        <v>2828</v>
      </c>
      <c r="D73" s="138" t="s">
        <v>230</v>
      </c>
    </row>
    <row r="74" spans="2:4" ht="15" customHeight="1" x14ac:dyDescent="0.2">
      <c r="B74" s="136">
        <v>63</v>
      </c>
      <c r="C74" s="137" t="s">
        <v>2826</v>
      </c>
      <c r="D74" s="138" t="s">
        <v>231</v>
      </c>
    </row>
    <row r="75" spans="2:4" ht="15" customHeight="1" x14ac:dyDescent="0.2">
      <c r="B75" s="136">
        <v>64</v>
      </c>
      <c r="C75" s="137" t="s">
        <v>2834</v>
      </c>
      <c r="D75" s="138" t="s">
        <v>232</v>
      </c>
    </row>
    <row r="76" spans="2:4" ht="15" customHeight="1" x14ac:dyDescent="0.2">
      <c r="B76" s="136">
        <v>65</v>
      </c>
      <c r="C76" s="137" t="s">
        <v>2836</v>
      </c>
      <c r="D76" s="138" t="s">
        <v>233</v>
      </c>
    </row>
    <row r="77" spans="2:4" ht="15" customHeight="1" x14ac:dyDescent="0.2">
      <c r="B77" s="136">
        <v>66</v>
      </c>
      <c r="C77" s="137" t="s">
        <v>2832</v>
      </c>
      <c r="D77" s="138" t="s">
        <v>234</v>
      </c>
    </row>
    <row r="78" spans="2:4" ht="15" customHeight="1" x14ac:dyDescent="0.2">
      <c r="B78" s="136">
        <v>67</v>
      </c>
      <c r="C78" s="137" t="s">
        <v>2827</v>
      </c>
      <c r="D78" s="138" t="s">
        <v>235</v>
      </c>
    </row>
    <row r="79" spans="2:4" ht="15" customHeight="1" x14ac:dyDescent="0.2">
      <c r="B79" s="136">
        <v>68</v>
      </c>
      <c r="C79" s="137" t="s">
        <v>2825</v>
      </c>
      <c r="D79" s="138" t="s">
        <v>2837</v>
      </c>
    </row>
    <row r="80" spans="2:4" ht="15" customHeight="1" x14ac:dyDescent="0.2">
      <c r="B80" s="136">
        <v>69</v>
      </c>
      <c r="C80" s="137" t="s">
        <v>2827</v>
      </c>
      <c r="D80" s="138" t="s">
        <v>236</v>
      </c>
    </row>
    <row r="81" spans="2:4" ht="15" customHeight="1" x14ac:dyDescent="0.2">
      <c r="B81" s="136">
        <v>70</v>
      </c>
      <c r="C81" s="137" t="s">
        <v>2825</v>
      </c>
      <c r="D81" s="138" t="s">
        <v>138</v>
      </c>
    </row>
    <row r="82" spans="2:4" ht="15" customHeight="1" x14ac:dyDescent="0.2">
      <c r="B82" s="136">
        <v>71</v>
      </c>
      <c r="C82" s="137" t="s">
        <v>2830</v>
      </c>
      <c r="D82" s="138" t="s">
        <v>139</v>
      </c>
    </row>
    <row r="83" spans="2:4" ht="15" customHeight="1" x14ac:dyDescent="0.2">
      <c r="B83" s="136">
        <v>72</v>
      </c>
      <c r="C83" s="137" t="s">
        <v>2824</v>
      </c>
      <c r="D83" s="138" t="s">
        <v>140</v>
      </c>
    </row>
    <row r="84" spans="2:4" ht="15" customHeight="1" x14ac:dyDescent="0.2">
      <c r="B84" s="136">
        <v>73</v>
      </c>
      <c r="C84" s="137" t="s">
        <v>2830</v>
      </c>
      <c r="D84" s="138" t="s">
        <v>141</v>
      </c>
    </row>
    <row r="85" spans="2:4" ht="15" customHeight="1" x14ac:dyDescent="0.2">
      <c r="B85" s="136">
        <v>74</v>
      </c>
      <c r="C85" s="137" t="s">
        <v>2824</v>
      </c>
      <c r="D85" s="138" t="s">
        <v>144</v>
      </c>
    </row>
    <row r="86" spans="2:4" ht="15" customHeight="1" x14ac:dyDescent="0.2">
      <c r="B86" s="136">
        <v>75</v>
      </c>
      <c r="C86" s="137" t="s">
        <v>2824</v>
      </c>
      <c r="D86" s="138" t="s">
        <v>145</v>
      </c>
    </row>
    <row r="87" spans="2:4" ht="15" customHeight="1" x14ac:dyDescent="0.2">
      <c r="B87" s="136">
        <v>76</v>
      </c>
      <c r="C87" s="137" t="s">
        <v>2830</v>
      </c>
      <c r="D87" s="138" t="s">
        <v>146</v>
      </c>
    </row>
    <row r="88" spans="2:4" ht="15" customHeight="1" x14ac:dyDescent="0.2">
      <c r="B88" s="136">
        <v>77</v>
      </c>
      <c r="C88" s="137" t="s">
        <v>2824</v>
      </c>
      <c r="D88" s="138" t="s">
        <v>147</v>
      </c>
    </row>
    <row r="89" spans="2:4" ht="15" customHeight="1" x14ac:dyDescent="0.2">
      <c r="B89" s="136">
        <v>78</v>
      </c>
      <c r="C89" s="137" t="s">
        <v>2824</v>
      </c>
      <c r="D89" s="138" t="s">
        <v>148</v>
      </c>
    </row>
    <row r="90" spans="2:4" ht="15" customHeight="1" x14ac:dyDescent="0.2">
      <c r="B90" s="136">
        <v>79</v>
      </c>
      <c r="C90" s="137" t="s">
        <v>2828</v>
      </c>
      <c r="D90" s="138" t="s">
        <v>149</v>
      </c>
    </row>
    <row r="91" spans="2:4" ht="15" customHeight="1" x14ac:dyDescent="0.2">
      <c r="B91" s="136">
        <v>80</v>
      </c>
      <c r="C91" s="137" t="s">
        <v>2830</v>
      </c>
      <c r="D91" s="138" t="s">
        <v>150</v>
      </c>
    </row>
    <row r="92" spans="2:4" ht="15" customHeight="1" x14ac:dyDescent="0.2">
      <c r="B92" s="136">
        <v>81</v>
      </c>
      <c r="C92" s="137" t="s">
        <v>2830</v>
      </c>
      <c r="D92" s="138" t="s">
        <v>151</v>
      </c>
    </row>
    <row r="93" spans="2:4" ht="15" customHeight="1" x14ac:dyDescent="0.2">
      <c r="B93" s="136">
        <v>82</v>
      </c>
      <c r="C93" s="137" t="s">
        <v>2830</v>
      </c>
      <c r="D93" s="138" t="s">
        <v>152</v>
      </c>
    </row>
    <row r="94" spans="2:4" ht="15" customHeight="1" x14ac:dyDescent="0.2">
      <c r="B94" s="136">
        <v>83</v>
      </c>
      <c r="C94" s="137" t="s">
        <v>2824</v>
      </c>
      <c r="D94" s="138" t="s">
        <v>153</v>
      </c>
    </row>
    <row r="95" spans="2:4" ht="15" customHeight="1" x14ac:dyDescent="0.2">
      <c r="B95" s="136">
        <v>84</v>
      </c>
      <c r="C95" s="137" t="s">
        <v>2826</v>
      </c>
      <c r="D95" s="138" t="s">
        <v>154</v>
      </c>
    </row>
    <row r="96" spans="2:4" ht="15" customHeight="1" x14ac:dyDescent="0.2">
      <c r="B96" s="136">
        <v>85</v>
      </c>
      <c r="C96" s="137" t="s">
        <v>2827</v>
      </c>
      <c r="D96" s="138" t="s">
        <v>237</v>
      </c>
    </row>
    <row r="97" spans="2:4" ht="15" customHeight="1" x14ac:dyDescent="0.2">
      <c r="B97" s="136">
        <v>86</v>
      </c>
      <c r="C97" s="137" t="s">
        <v>2838</v>
      </c>
      <c r="D97" s="138" t="s">
        <v>238</v>
      </c>
    </row>
    <row r="98" spans="2:4" ht="15" customHeight="1" x14ac:dyDescent="0.2">
      <c r="B98" s="136">
        <v>87</v>
      </c>
      <c r="C98" s="137" t="s">
        <v>2830</v>
      </c>
      <c r="D98" s="138" t="s">
        <v>239</v>
      </c>
    </row>
    <row r="99" spans="2:4" ht="15" customHeight="1" x14ac:dyDescent="0.2">
      <c r="B99" s="136">
        <v>88</v>
      </c>
      <c r="C99" s="137" t="s">
        <v>2825</v>
      </c>
      <c r="D99" s="138" t="s">
        <v>240</v>
      </c>
    </row>
    <row r="100" spans="2:4" ht="15" customHeight="1" x14ac:dyDescent="0.2">
      <c r="B100" s="136">
        <v>89</v>
      </c>
      <c r="C100" s="137" t="s">
        <v>2827</v>
      </c>
      <c r="D100" s="138" t="s">
        <v>241</v>
      </c>
    </row>
    <row r="101" spans="2:4" ht="15" customHeight="1" x14ac:dyDescent="0.2">
      <c r="B101" s="136">
        <v>90</v>
      </c>
      <c r="C101" s="137" t="s">
        <v>2828</v>
      </c>
      <c r="D101" s="138" t="s">
        <v>242</v>
      </c>
    </row>
    <row r="102" spans="2:4" ht="15" customHeight="1" x14ac:dyDescent="0.2">
      <c r="B102" s="136">
        <v>91</v>
      </c>
      <c r="C102" s="137" t="s">
        <v>2827</v>
      </c>
      <c r="D102" s="138" t="s">
        <v>243</v>
      </c>
    </row>
    <row r="103" spans="2:4" ht="15" customHeight="1" x14ac:dyDescent="0.2">
      <c r="B103" s="136">
        <v>92</v>
      </c>
      <c r="C103" s="137" t="s">
        <v>2839</v>
      </c>
      <c r="D103" s="138" t="s">
        <v>244</v>
      </c>
    </row>
    <row r="104" spans="2:4" ht="15" customHeight="1" x14ac:dyDescent="0.2">
      <c r="B104" s="136">
        <v>93</v>
      </c>
      <c r="C104" s="137" t="s">
        <v>2824</v>
      </c>
      <c r="D104" s="138" t="s">
        <v>2840</v>
      </c>
    </row>
    <row r="105" spans="2:4" ht="15" customHeight="1" x14ac:dyDescent="0.2">
      <c r="B105" s="136">
        <v>94</v>
      </c>
      <c r="C105" s="137" t="s">
        <v>2832</v>
      </c>
      <c r="D105" s="138" t="s">
        <v>245</v>
      </c>
    </row>
    <row r="106" spans="2:4" ht="15" customHeight="1" x14ac:dyDescent="0.2">
      <c r="B106" s="136">
        <v>95</v>
      </c>
      <c r="C106" s="137" t="s">
        <v>2824</v>
      </c>
      <c r="D106" s="138" t="s">
        <v>246</v>
      </c>
    </row>
    <row r="107" spans="2:4" ht="15" customHeight="1" x14ac:dyDescent="0.2">
      <c r="B107" s="136">
        <v>96</v>
      </c>
      <c r="C107" s="137" t="s">
        <v>2824</v>
      </c>
      <c r="D107" s="138" t="s">
        <v>2841</v>
      </c>
    </row>
    <row r="108" spans="2:4" ht="15" customHeight="1" x14ac:dyDescent="0.2">
      <c r="B108" s="136">
        <v>97</v>
      </c>
      <c r="C108" s="137" t="s">
        <v>2824</v>
      </c>
      <c r="D108" s="138" t="s">
        <v>155</v>
      </c>
    </row>
    <row r="109" spans="2:4" ht="15" customHeight="1" x14ac:dyDescent="0.2">
      <c r="B109" s="136">
        <v>98</v>
      </c>
      <c r="C109" s="137" t="s">
        <v>2824</v>
      </c>
      <c r="D109" s="138" t="s">
        <v>156</v>
      </c>
    </row>
    <row r="110" spans="2:4" ht="15" customHeight="1" x14ac:dyDescent="0.2">
      <c r="B110" s="136">
        <v>99</v>
      </c>
      <c r="C110" s="137" t="s">
        <v>2824</v>
      </c>
      <c r="D110" s="138" t="s">
        <v>157</v>
      </c>
    </row>
    <row r="111" spans="2:4" ht="15" customHeight="1" x14ac:dyDescent="0.2">
      <c r="B111" s="136">
        <v>100</v>
      </c>
      <c r="C111" s="137" t="s">
        <v>2824</v>
      </c>
      <c r="D111" s="138" t="s">
        <v>158</v>
      </c>
    </row>
    <row r="112" spans="2:4" ht="15" customHeight="1" x14ac:dyDescent="0.2">
      <c r="B112" s="136">
        <v>101</v>
      </c>
      <c r="C112" s="137" t="s">
        <v>2824</v>
      </c>
      <c r="D112" s="138" t="s">
        <v>159</v>
      </c>
    </row>
    <row r="113" spans="2:4" ht="15" customHeight="1" x14ac:dyDescent="0.2">
      <c r="B113" s="136">
        <v>102</v>
      </c>
      <c r="C113" s="137" t="s">
        <v>2828</v>
      </c>
      <c r="D113" s="138" t="s">
        <v>270</v>
      </c>
    </row>
    <row r="114" spans="2:4" ht="15" customHeight="1" x14ac:dyDescent="0.2">
      <c r="B114" s="136">
        <v>103</v>
      </c>
      <c r="C114" s="137" t="s">
        <v>2828</v>
      </c>
      <c r="D114" s="138" t="s">
        <v>247</v>
      </c>
    </row>
    <row r="115" spans="2:4" ht="15" customHeight="1" x14ac:dyDescent="0.2">
      <c r="B115" s="136">
        <v>104</v>
      </c>
      <c r="C115" s="137" t="s">
        <v>2830</v>
      </c>
      <c r="D115" s="138" t="s">
        <v>248</v>
      </c>
    </row>
    <row r="116" spans="2:4" ht="15" customHeight="1" x14ac:dyDescent="0.2">
      <c r="B116" s="136">
        <v>105</v>
      </c>
      <c r="C116" s="137" t="s">
        <v>2824</v>
      </c>
      <c r="D116" s="138" t="s">
        <v>249</v>
      </c>
    </row>
    <row r="117" spans="2:4" ht="15" customHeight="1" x14ac:dyDescent="0.2">
      <c r="B117" s="136">
        <v>106</v>
      </c>
      <c r="C117" s="137" t="s">
        <v>2828</v>
      </c>
      <c r="D117" s="138" t="s">
        <v>250</v>
      </c>
    </row>
    <row r="118" spans="2:4" ht="15" customHeight="1" x14ac:dyDescent="0.2">
      <c r="B118" s="136">
        <v>107</v>
      </c>
      <c r="C118" s="137" t="s">
        <v>2832</v>
      </c>
      <c r="D118" s="138" t="s">
        <v>251</v>
      </c>
    </row>
    <row r="119" spans="2:4" ht="15" customHeight="1" x14ac:dyDescent="0.2">
      <c r="B119" s="136">
        <v>108</v>
      </c>
      <c r="C119" s="137" t="s">
        <v>2830</v>
      </c>
      <c r="D119" s="138" t="s">
        <v>252</v>
      </c>
    </row>
    <row r="120" spans="2:4" ht="15" customHeight="1" x14ac:dyDescent="0.2">
      <c r="B120" s="136">
        <v>109</v>
      </c>
      <c r="C120" s="137" t="s">
        <v>2826</v>
      </c>
      <c r="D120" s="138" t="s">
        <v>253</v>
      </c>
    </row>
    <row r="121" spans="2:4" ht="15" customHeight="1" x14ac:dyDescent="0.2">
      <c r="B121" s="136">
        <v>110</v>
      </c>
      <c r="C121" s="137" t="s">
        <v>2828</v>
      </c>
      <c r="D121" s="138" t="s">
        <v>254</v>
      </c>
    </row>
    <row r="122" spans="2:4" ht="15" customHeight="1" x14ac:dyDescent="0.2">
      <c r="B122" s="136">
        <v>111</v>
      </c>
      <c r="C122" s="137" t="s">
        <v>2842</v>
      </c>
      <c r="D122" s="138" t="s">
        <v>255</v>
      </c>
    </row>
    <row r="123" spans="2:4" ht="15" customHeight="1" x14ac:dyDescent="0.2">
      <c r="B123" s="136">
        <v>112</v>
      </c>
      <c r="C123" s="137" t="s">
        <v>2824</v>
      </c>
      <c r="D123" s="138" t="s">
        <v>256</v>
      </c>
    </row>
    <row r="124" spans="2:4" ht="15" customHeight="1" x14ac:dyDescent="0.2">
      <c r="B124" s="136">
        <v>113</v>
      </c>
      <c r="C124" s="137" t="s">
        <v>2825</v>
      </c>
      <c r="D124" s="138" t="s">
        <v>257</v>
      </c>
    </row>
    <row r="125" spans="2:4" ht="15" customHeight="1" x14ac:dyDescent="0.2">
      <c r="B125" s="136">
        <v>114</v>
      </c>
      <c r="C125" s="137" t="s">
        <v>2828</v>
      </c>
      <c r="D125" s="138" t="s">
        <v>258</v>
      </c>
    </row>
    <row r="126" spans="2:4" ht="15" customHeight="1" x14ac:dyDescent="0.2">
      <c r="B126" s="136">
        <v>115</v>
      </c>
      <c r="C126" s="137" t="s">
        <v>2830</v>
      </c>
      <c r="D126" s="138" t="s">
        <v>259</v>
      </c>
    </row>
    <row r="127" spans="2:4" ht="15" customHeight="1" x14ac:dyDescent="0.2">
      <c r="B127" s="136">
        <v>116</v>
      </c>
      <c r="C127" s="137" t="s">
        <v>2829</v>
      </c>
      <c r="D127" s="138" t="s">
        <v>260</v>
      </c>
    </row>
    <row r="128" spans="2:4" ht="15" customHeight="1" x14ac:dyDescent="0.2">
      <c r="B128" s="136">
        <v>117</v>
      </c>
      <c r="C128" s="137" t="s">
        <v>2827</v>
      </c>
      <c r="D128" s="138" t="s">
        <v>261</v>
      </c>
    </row>
    <row r="129" spans="2:4" ht="15" customHeight="1" x14ac:dyDescent="0.2">
      <c r="B129" s="136">
        <v>118</v>
      </c>
      <c r="C129" s="137" t="s">
        <v>2827</v>
      </c>
      <c r="D129" s="138" t="s">
        <v>262</v>
      </c>
    </row>
    <row r="130" spans="2:4" ht="15" customHeight="1" x14ac:dyDescent="0.2">
      <c r="B130" s="136">
        <v>119</v>
      </c>
      <c r="C130" s="137" t="s">
        <v>2825</v>
      </c>
      <c r="D130" s="138" t="s">
        <v>263</v>
      </c>
    </row>
    <row r="131" spans="2:4" ht="15" customHeight="1" x14ac:dyDescent="0.2">
      <c r="B131" s="136">
        <v>120</v>
      </c>
      <c r="C131" s="137" t="s">
        <v>2828</v>
      </c>
      <c r="D131" s="138" t="s">
        <v>264</v>
      </c>
    </row>
    <row r="132" spans="2:4" ht="15" customHeight="1" x14ac:dyDescent="0.2">
      <c r="B132" s="136">
        <v>121</v>
      </c>
      <c r="C132" s="137" t="s">
        <v>2825</v>
      </c>
      <c r="D132" s="138" t="s">
        <v>265</v>
      </c>
    </row>
    <row r="133" spans="2:4" ht="15" customHeight="1" x14ac:dyDescent="0.2">
      <c r="B133" s="136">
        <v>122</v>
      </c>
      <c r="C133" s="137" t="s">
        <v>2825</v>
      </c>
      <c r="D133" s="138" t="s">
        <v>266</v>
      </c>
    </row>
    <row r="134" spans="2:4" ht="15" customHeight="1" x14ac:dyDescent="0.2">
      <c r="B134" s="136">
        <v>123</v>
      </c>
      <c r="C134" s="137" t="s">
        <v>2825</v>
      </c>
      <c r="D134" s="138" t="s">
        <v>267</v>
      </c>
    </row>
    <row r="135" spans="2:4" ht="15" customHeight="1" x14ac:dyDescent="0.2">
      <c r="B135" s="136">
        <v>124</v>
      </c>
      <c r="C135" s="137" t="s">
        <v>2824</v>
      </c>
      <c r="D135" s="138" t="s">
        <v>2843</v>
      </c>
    </row>
    <row r="136" spans="2:4" ht="15" customHeight="1" x14ac:dyDescent="0.2">
      <c r="B136" s="136">
        <v>125</v>
      </c>
      <c r="C136" s="137" t="s">
        <v>2828</v>
      </c>
      <c r="D136" s="138" t="s">
        <v>268</v>
      </c>
    </row>
    <row r="137" spans="2:4" ht="15" customHeight="1" x14ac:dyDescent="0.2">
      <c r="B137" s="136">
        <v>126</v>
      </c>
      <c r="C137" s="137" t="s">
        <v>2832</v>
      </c>
      <c r="D137" s="138" t="s">
        <v>269</v>
      </c>
    </row>
    <row r="138" spans="2:4" ht="15" customHeight="1" x14ac:dyDescent="0.2">
      <c r="B138" s="136">
        <v>127</v>
      </c>
      <c r="C138" s="137" t="s">
        <v>2830</v>
      </c>
      <c r="D138" s="138" t="s">
        <v>271</v>
      </c>
    </row>
    <row r="139" spans="2:4" ht="15" customHeight="1" x14ac:dyDescent="0.2">
      <c r="B139" s="136">
        <v>128</v>
      </c>
      <c r="C139" s="137" t="s">
        <v>2829</v>
      </c>
      <c r="D139" s="138" t="s">
        <v>272</v>
      </c>
    </row>
    <row r="140" spans="2:4" ht="15" customHeight="1" x14ac:dyDescent="0.2">
      <c r="B140" s="136">
        <v>129</v>
      </c>
      <c r="C140" s="137" t="s">
        <v>2827</v>
      </c>
      <c r="D140" s="138" t="s">
        <v>273</v>
      </c>
    </row>
    <row r="141" spans="2:4" ht="15" customHeight="1" x14ac:dyDescent="0.2">
      <c r="B141" s="136">
        <v>130</v>
      </c>
      <c r="C141" s="137" t="s">
        <v>2832</v>
      </c>
      <c r="D141" s="138" t="s">
        <v>274</v>
      </c>
    </row>
    <row r="142" spans="2:4" ht="15" customHeight="1" x14ac:dyDescent="0.2">
      <c r="B142" s="136">
        <v>131</v>
      </c>
      <c r="C142" s="137" t="s">
        <v>2827</v>
      </c>
      <c r="D142" s="138" t="s">
        <v>275</v>
      </c>
    </row>
    <row r="143" spans="2:4" ht="15" customHeight="1" x14ac:dyDescent="0.2">
      <c r="B143" s="136">
        <v>132</v>
      </c>
      <c r="C143" s="137" t="s">
        <v>2827</v>
      </c>
      <c r="D143" s="138" t="s">
        <v>276</v>
      </c>
    </row>
    <row r="144" spans="2:4" ht="15" customHeight="1" x14ac:dyDescent="0.2">
      <c r="B144" s="136">
        <v>133</v>
      </c>
      <c r="C144" s="137" t="s">
        <v>2825</v>
      </c>
      <c r="D144" s="138" t="s">
        <v>277</v>
      </c>
    </row>
    <row r="145" spans="2:4" ht="15" customHeight="1" x14ac:dyDescent="0.2">
      <c r="B145" s="136">
        <v>134</v>
      </c>
      <c r="C145" s="137" t="s">
        <v>2824</v>
      </c>
      <c r="D145" s="138" t="s">
        <v>278</v>
      </c>
    </row>
    <row r="146" spans="2:4" ht="15" customHeight="1" x14ac:dyDescent="0.2">
      <c r="B146" s="136">
        <v>135</v>
      </c>
      <c r="C146" s="137" t="s">
        <v>2827</v>
      </c>
      <c r="D146" s="138" t="s">
        <v>279</v>
      </c>
    </row>
    <row r="147" spans="2:4" ht="15" customHeight="1" x14ac:dyDescent="0.2">
      <c r="B147" s="136">
        <v>136</v>
      </c>
      <c r="C147" s="137" t="s">
        <v>2828</v>
      </c>
      <c r="D147" s="138" t="s">
        <v>280</v>
      </c>
    </row>
    <row r="148" spans="2:4" ht="15" customHeight="1" x14ac:dyDescent="0.2">
      <c r="B148" s="136">
        <v>137</v>
      </c>
      <c r="C148" s="137" t="s">
        <v>2827</v>
      </c>
      <c r="D148" s="138" t="s">
        <v>281</v>
      </c>
    </row>
    <row r="149" spans="2:4" ht="15" customHeight="1" x14ac:dyDescent="0.2">
      <c r="B149" s="136">
        <v>138</v>
      </c>
      <c r="C149" s="137" t="s">
        <v>2830</v>
      </c>
      <c r="D149" s="138" t="s">
        <v>282</v>
      </c>
    </row>
    <row r="150" spans="2:4" ht="15" customHeight="1" x14ac:dyDescent="0.2">
      <c r="B150" s="136">
        <v>139</v>
      </c>
      <c r="C150" s="137" t="s">
        <v>2825</v>
      </c>
      <c r="D150" s="138" t="s">
        <v>188</v>
      </c>
    </row>
    <row r="151" spans="2:4" ht="15" customHeight="1" x14ac:dyDescent="0.2">
      <c r="B151" s="136">
        <v>140</v>
      </c>
      <c r="C151" s="137" t="s">
        <v>2828</v>
      </c>
      <c r="D151" s="138" t="s">
        <v>283</v>
      </c>
    </row>
    <row r="152" spans="2:4" ht="15" customHeight="1" x14ac:dyDescent="0.2">
      <c r="B152" s="136">
        <v>141</v>
      </c>
      <c r="C152" s="137" t="s">
        <v>2830</v>
      </c>
      <c r="D152" s="138" t="s">
        <v>284</v>
      </c>
    </row>
    <row r="153" spans="2:4" ht="15" customHeight="1" x14ac:dyDescent="0.2">
      <c r="B153" s="136">
        <v>142</v>
      </c>
      <c r="C153" s="137" t="s">
        <v>2825</v>
      </c>
      <c r="D153" s="138" t="s">
        <v>285</v>
      </c>
    </row>
    <row r="154" spans="2:4" ht="15" customHeight="1" x14ac:dyDescent="0.2">
      <c r="B154" s="136">
        <v>143</v>
      </c>
      <c r="C154" s="137" t="s">
        <v>2827</v>
      </c>
      <c r="D154" s="138" t="s">
        <v>286</v>
      </c>
    </row>
    <row r="155" spans="2:4" ht="15" customHeight="1" x14ac:dyDescent="0.2">
      <c r="B155" s="136">
        <v>144</v>
      </c>
      <c r="C155" s="137" t="s">
        <v>2828</v>
      </c>
      <c r="D155" s="138" t="s">
        <v>287</v>
      </c>
    </row>
    <row r="156" spans="2:4" ht="15" customHeight="1" x14ac:dyDescent="0.2">
      <c r="B156" s="136">
        <v>145</v>
      </c>
      <c r="C156" s="137" t="s">
        <v>2832</v>
      </c>
      <c r="D156" s="138" t="s">
        <v>288</v>
      </c>
    </row>
    <row r="157" spans="2:4" ht="15" customHeight="1" x14ac:dyDescent="0.2">
      <c r="B157" s="136">
        <v>146</v>
      </c>
      <c r="C157" s="137" t="s">
        <v>2828</v>
      </c>
      <c r="D157" s="138" t="s">
        <v>289</v>
      </c>
    </row>
    <row r="158" spans="2:4" ht="15" customHeight="1" x14ac:dyDescent="0.2">
      <c r="B158" s="136">
        <v>147</v>
      </c>
      <c r="C158" s="137" t="s">
        <v>2824</v>
      </c>
      <c r="D158" s="138" t="s">
        <v>290</v>
      </c>
    </row>
    <row r="159" spans="2:4" ht="15" customHeight="1" x14ac:dyDescent="0.2">
      <c r="B159" s="136">
        <v>148</v>
      </c>
      <c r="C159" s="137" t="s">
        <v>2830</v>
      </c>
      <c r="D159" s="138" t="s">
        <v>291</v>
      </c>
    </row>
    <row r="160" spans="2:4" ht="15" customHeight="1" x14ac:dyDescent="0.2">
      <c r="B160" s="136">
        <v>149</v>
      </c>
      <c r="C160" s="137" t="s">
        <v>2827</v>
      </c>
      <c r="D160" s="138" t="s">
        <v>292</v>
      </c>
    </row>
    <row r="161" spans="2:4" ht="15" customHeight="1" x14ac:dyDescent="0.2">
      <c r="B161" s="136">
        <v>150</v>
      </c>
      <c r="C161" s="137" t="s">
        <v>2832</v>
      </c>
      <c r="D161" s="138" t="s">
        <v>293</v>
      </c>
    </row>
    <row r="162" spans="2:4" ht="15" customHeight="1" x14ac:dyDescent="0.2">
      <c r="B162" s="136">
        <v>151</v>
      </c>
      <c r="C162" s="137" t="s">
        <v>2844</v>
      </c>
      <c r="D162" s="138" t="s">
        <v>82</v>
      </c>
    </row>
    <row r="163" spans="2:4" ht="15" customHeight="1" x14ac:dyDescent="0.2">
      <c r="B163" s="136">
        <v>152</v>
      </c>
      <c r="C163" s="137" t="s">
        <v>2845</v>
      </c>
      <c r="D163" s="138" t="s">
        <v>83</v>
      </c>
    </row>
    <row r="164" spans="2:4" ht="15" customHeight="1" x14ac:dyDescent="0.2">
      <c r="B164" s="136">
        <v>153</v>
      </c>
      <c r="C164" s="137" t="s">
        <v>2845</v>
      </c>
      <c r="D164" s="138" t="s">
        <v>84</v>
      </c>
    </row>
    <row r="165" spans="2:4" ht="15" customHeight="1" x14ac:dyDescent="0.2">
      <c r="B165" s="136">
        <v>154</v>
      </c>
      <c r="C165" s="137" t="s">
        <v>2846</v>
      </c>
      <c r="D165" s="138" t="s">
        <v>85</v>
      </c>
    </row>
    <row r="166" spans="2:4" ht="15" customHeight="1" x14ac:dyDescent="0.2">
      <c r="B166" s="136">
        <v>155</v>
      </c>
      <c r="C166" s="137" t="s">
        <v>2828</v>
      </c>
      <c r="D166" s="138" t="s">
        <v>2847</v>
      </c>
    </row>
    <row r="167" spans="2:4" ht="15" customHeight="1" x14ac:dyDescent="0.2">
      <c r="B167" s="136">
        <v>156</v>
      </c>
      <c r="C167" s="137" t="s">
        <v>2824</v>
      </c>
      <c r="D167" s="138" t="s">
        <v>294</v>
      </c>
    </row>
    <row r="168" spans="2:4" ht="15" customHeight="1" x14ac:dyDescent="0.2">
      <c r="B168" s="136">
        <v>157</v>
      </c>
      <c r="C168" s="137" t="s">
        <v>2830</v>
      </c>
      <c r="D168" s="138" t="s">
        <v>295</v>
      </c>
    </row>
    <row r="169" spans="2:4" ht="15" customHeight="1" x14ac:dyDescent="0.2">
      <c r="B169" s="136">
        <v>158</v>
      </c>
      <c r="C169" s="137" t="s">
        <v>2830</v>
      </c>
      <c r="D169" s="138" t="s">
        <v>296</v>
      </c>
    </row>
    <row r="170" spans="2:4" ht="15" customHeight="1" x14ac:dyDescent="0.2">
      <c r="B170" s="136">
        <v>159</v>
      </c>
      <c r="C170" s="137" t="s">
        <v>2830</v>
      </c>
      <c r="D170" s="138" t="s">
        <v>297</v>
      </c>
    </row>
    <row r="171" spans="2:4" ht="15" customHeight="1" x14ac:dyDescent="0.2">
      <c r="B171" s="136">
        <v>160</v>
      </c>
      <c r="C171" s="137" t="s">
        <v>2825</v>
      </c>
      <c r="D171" s="138" t="s">
        <v>2848</v>
      </c>
    </row>
    <row r="172" spans="2:4" ht="15" customHeight="1" x14ac:dyDescent="0.2">
      <c r="B172" s="136">
        <v>161</v>
      </c>
      <c r="C172" s="137" t="s">
        <v>2827</v>
      </c>
      <c r="D172" s="138" t="s">
        <v>298</v>
      </c>
    </row>
    <row r="173" spans="2:4" ht="15" customHeight="1" x14ac:dyDescent="0.2">
      <c r="B173" s="136">
        <v>162</v>
      </c>
      <c r="C173" s="137" t="s">
        <v>2828</v>
      </c>
      <c r="D173" s="138" t="s">
        <v>299</v>
      </c>
    </row>
    <row r="174" spans="2:4" ht="15" customHeight="1" x14ac:dyDescent="0.2">
      <c r="B174" s="136">
        <v>163</v>
      </c>
      <c r="C174" s="137" t="s">
        <v>2830</v>
      </c>
      <c r="D174" s="138" t="s">
        <v>300</v>
      </c>
    </row>
    <row r="175" spans="2:4" ht="15" customHeight="1" x14ac:dyDescent="0.2">
      <c r="B175" s="136">
        <v>164</v>
      </c>
      <c r="C175" s="137" t="s">
        <v>2824</v>
      </c>
      <c r="D175" s="138" t="s">
        <v>301</v>
      </c>
    </row>
    <row r="176" spans="2:4" ht="15" customHeight="1" x14ac:dyDescent="0.2">
      <c r="B176" s="136">
        <v>165</v>
      </c>
      <c r="C176" s="137" t="s">
        <v>2828</v>
      </c>
      <c r="D176" s="138" t="s">
        <v>302</v>
      </c>
    </row>
    <row r="177" spans="2:4" ht="15" customHeight="1" x14ac:dyDescent="0.2">
      <c r="B177" s="136">
        <v>166</v>
      </c>
      <c r="C177" s="137" t="s">
        <v>2828</v>
      </c>
      <c r="D177" s="138" t="s">
        <v>303</v>
      </c>
    </row>
    <row r="178" spans="2:4" ht="15" customHeight="1" x14ac:dyDescent="0.2">
      <c r="B178" s="136">
        <v>167</v>
      </c>
      <c r="C178" s="137" t="s">
        <v>2830</v>
      </c>
      <c r="D178" s="138" t="s">
        <v>304</v>
      </c>
    </row>
    <row r="179" spans="2:4" ht="15" customHeight="1" x14ac:dyDescent="0.2">
      <c r="B179" s="136">
        <v>168</v>
      </c>
      <c r="C179" s="137" t="s">
        <v>2830</v>
      </c>
      <c r="D179" s="138" t="s">
        <v>305</v>
      </c>
    </row>
    <row r="180" spans="2:4" ht="15" customHeight="1" x14ac:dyDescent="0.2">
      <c r="B180" s="136">
        <v>169</v>
      </c>
      <c r="C180" s="137" t="s">
        <v>2828</v>
      </c>
      <c r="D180" s="138" t="s">
        <v>306</v>
      </c>
    </row>
    <row r="181" spans="2:4" ht="15" customHeight="1" x14ac:dyDescent="0.2">
      <c r="B181" s="136">
        <v>170</v>
      </c>
      <c r="C181" s="137" t="s">
        <v>2824</v>
      </c>
      <c r="D181" s="138" t="s">
        <v>307</v>
      </c>
    </row>
    <row r="182" spans="2:4" ht="15" customHeight="1" x14ac:dyDescent="0.2">
      <c r="B182" s="136">
        <v>171</v>
      </c>
      <c r="C182" s="137" t="s">
        <v>2829</v>
      </c>
      <c r="D182" s="138" t="s">
        <v>308</v>
      </c>
    </row>
    <row r="183" spans="2:4" ht="15" customHeight="1" x14ac:dyDescent="0.2">
      <c r="B183" s="136">
        <v>172</v>
      </c>
      <c r="C183" s="137" t="s">
        <v>2830</v>
      </c>
      <c r="D183" s="138" t="s">
        <v>160</v>
      </c>
    </row>
    <row r="184" spans="2:4" ht="15" customHeight="1" x14ac:dyDescent="0.2">
      <c r="B184" s="136">
        <v>173</v>
      </c>
      <c r="C184" s="137" t="s">
        <v>2824</v>
      </c>
      <c r="D184" s="138" t="s">
        <v>161</v>
      </c>
    </row>
    <row r="185" spans="2:4" ht="15" customHeight="1" x14ac:dyDescent="0.2">
      <c r="B185" s="136">
        <v>174</v>
      </c>
      <c r="C185" s="137" t="s">
        <v>2830</v>
      </c>
      <c r="D185" s="138" t="s">
        <v>162</v>
      </c>
    </row>
    <row r="186" spans="2:4" ht="15" customHeight="1" x14ac:dyDescent="0.2">
      <c r="B186" s="136">
        <v>175</v>
      </c>
      <c r="C186" s="137" t="s">
        <v>2830</v>
      </c>
      <c r="D186" s="138" t="s">
        <v>163</v>
      </c>
    </row>
    <row r="187" spans="2:4" ht="15" customHeight="1" x14ac:dyDescent="0.2">
      <c r="B187" s="136">
        <v>176</v>
      </c>
      <c r="C187" s="137" t="s">
        <v>2824</v>
      </c>
      <c r="D187" s="138" t="s">
        <v>164</v>
      </c>
    </row>
    <row r="188" spans="2:4" ht="15" customHeight="1" x14ac:dyDescent="0.2">
      <c r="B188" s="136">
        <v>177</v>
      </c>
      <c r="C188" s="137" t="s">
        <v>2830</v>
      </c>
      <c r="D188" s="138" t="s">
        <v>165</v>
      </c>
    </row>
    <row r="189" spans="2:4" ht="15" customHeight="1" x14ac:dyDescent="0.2">
      <c r="B189" s="136">
        <v>178</v>
      </c>
      <c r="C189" s="137" t="s">
        <v>2828</v>
      </c>
      <c r="D189" s="138" t="s">
        <v>166</v>
      </c>
    </row>
    <row r="190" spans="2:4" ht="15" customHeight="1" x14ac:dyDescent="0.2">
      <c r="B190" s="136">
        <v>179</v>
      </c>
      <c r="C190" s="137" t="s">
        <v>2828</v>
      </c>
      <c r="D190" s="138" t="s">
        <v>167</v>
      </c>
    </row>
    <row r="191" spans="2:4" ht="15" customHeight="1" x14ac:dyDescent="0.2">
      <c r="B191" s="136">
        <v>180</v>
      </c>
      <c r="C191" s="137" t="s">
        <v>2824</v>
      </c>
      <c r="D191" s="138" t="s">
        <v>168</v>
      </c>
    </row>
    <row r="192" spans="2:4" ht="15" customHeight="1" x14ac:dyDescent="0.2">
      <c r="B192" s="136">
        <v>181</v>
      </c>
      <c r="C192" s="137" t="s">
        <v>2824</v>
      </c>
      <c r="D192" s="138" t="s">
        <v>169</v>
      </c>
    </row>
    <row r="193" spans="2:4" ht="15" customHeight="1" x14ac:dyDescent="0.2">
      <c r="B193" s="136">
        <v>182</v>
      </c>
      <c r="C193" s="137" t="s">
        <v>2828</v>
      </c>
      <c r="D193" s="138" t="s">
        <v>2849</v>
      </c>
    </row>
    <row r="194" spans="2:4" ht="15" customHeight="1" x14ac:dyDescent="0.2">
      <c r="B194" s="136">
        <v>183</v>
      </c>
      <c r="C194" s="137" t="s">
        <v>2824</v>
      </c>
      <c r="D194" s="138" t="s">
        <v>170</v>
      </c>
    </row>
    <row r="195" spans="2:4" ht="15" customHeight="1" x14ac:dyDescent="0.2">
      <c r="B195" s="136">
        <v>184</v>
      </c>
      <c r="C195" s="137" t="s">
        <v>2827</v>
      </c>
      <c r="D195" s="138" t="s">
        <v>171</v>
      </c>
    </row>
    <row r="196" spans="2:4" ht="15" customHeight="1" x14ac:dyDescent="0.2">
      <c r="B196" s="136">
        <v>185</v>
      </c>
      <c r="C196" s="137" t="s">
        <v>2830</v>
      </c>
      <c r="D196" s="138" t="s">
        <v>172</v>
      </c>
    </row>
    <row r="197" spans="2:4" ht="15" customHeight="1" x14ac:dyDescent="0.2">
      <c r="B197" s="136">
        <v>186</v>
      </c>
      <c r="C197" s="137" t="s">
        <v>2825</v>
      </c>
      <c r="D197" s="138" t="s">
        <v>173</v>
      </c>
    </row>
    <row r="198" spans="2:4" ht="15" customHeight="1" x14ac:dyDescent="0.2">
      <c r="B198" s="136">
        <v>187</v>
      </c>
      <c r="C198" s="137" t="s">
        <v>2830</v>
      </c>
      <c r="D198" s="138" t="s">
        <v>174</v>
      </c>
    </row>
    <row r="199" spans="2:4" ht="15" customHeight="1" x14ac:dyDescent="0.2">
      <c r="B199" s="136">
        <v>188</v>
      </c>
      <c r="C199" s="137" t="s">
        <v>2824</v>
      </c>
      <c r="D199" s="138" t="s">
        <v>175</v>
      </c>
    </row>
    <row r="200" spans="2:4" ht="15" customHeight="1" x14ac:dyDescent="0.2">
      <c r="B200" s="136">
        <v>189</v>
      </c>
      <c r="C200" s="137" t="s">
        <v>2830</v>
      </c>
      <c r="D200" s="138" t="s">
        <v>176</v>
      </c>
    </row>
    <row r="201" spans="2:4" ht="15" customHeight="1" x14ac:dyDescent="0.2">
      <c r="B201" s="136">
        <v>190</v>
      </c>
      <c r="C201" s="137" t="s">
        <v>2830</v>
      </c>
      <c r="D201" s="138" t="s">
        <v>177</v>
      </c>
    </row>
    <row r="202" spans="2:4" ht="15" customHeight="1" x14ac:dyDescent="0.2">
      <c r="B202" s="136">
        <v>191</v>
      </c>
      <c r="C202" s="137" t="s">
        <v>2830</v>
      </c>
      <c r="D202" s="138" t="s">
        <v>178</v>
      </c>
    </row>
    <row r="203" spans="2:4" ht="15" customHeight="1" x14ac:dyDescent="0.2">
      <c r="B203" s="136">
        <v>192</v>
      </c>
      <c r="C203" s="137" t="s">
        <v>2824</v>
      </c>
      <c r="D203" s="138" t="s">
        <v>179</v>
      </c>
    </row>
    <row r="204" spans="2:4" ht="15" customHeight="1" x14ac:dyDescent="0.2">
      <c r="B204" s="136">
        <v>193</v>
      </c>
      <c r="C204" s="137" t="s">
        <v>2824</v>
      </c>
      <c r="D204" s="138" t="s">
        <v>180</v>
      </c>
    </row>
    <row r="205" spans="2:4" ht="15" customHeight="1" x14ac:dyDescent="0.2">
      <c r="B205" s="136">
        <v>194</v>
      </c>
      <c r="C205" s="137" t="s">
        <v>2824</v>
      </c>
      <c r="D205" s="138" t="s">
        <v>181</v>
      </c>
    </row>
    <row r="206" spans="2:4" ht="15" customHeight="1" x14ac:dyDescent="0.2">
      <c r="B206" s="136">
        <v>195</v>
      </c>
      <c r="C206" s="137" t="s">
        <v>2830</v>
      </c>
      <c r="D206" s="138" t="s">
        <v>182</v>
      </c>
    </row>
    <row r="207" spans="2:4" ht="15" customHeight="1" x14ac:dyDescent="0.2">
      <c r="B207" s="136">
        <v>196</v>
      </c>
      <c r="C207" s="137" t="s">
        <v>2828</v>
      </c>
      <c r="D207" s="138" t="s">
        <v>2850</v>
      </c>
    </row>
    <row r="208" spans="2:4" ht="15" customHeight="1" x14ac:dyDescent="0.2">
      <c r="B208" s="136">
        <v>197</v>
      </c>
      <c r="C208" s="137" t="s">
        <v>2824</v>
      </c>
      <c r="D208" s="138" t="s">
        <v>183</v>
      </c>
    </row>
    <row r="209" spans="2:4" ht="15" customHeight="1" x14ac:dyDescent="0.2">
      <c r="B209" s="136">
        <v>198</v>
      </c>
      <c r="C209" s="137" t="s">
        <v>2824</v>
      </c>
      <c r="D209" s="138" t="s">
        <v>184</v>
      </c>
    </row>
    <row r="210" spans="2:4" ht="15" customHeight="1" x14ac:dyDescent="0.2">
      <c r="B210" s="136">
        <v>199</v>
      </c>
      <c r="C210" s="137" t="s">
        <v>2830</v>
      </c>
      <c r="D210" s="138" t="s">
        <v>185</v>
      </c>
    </row>
    <row r="211" spans="2:4" ht="15" customHeight="1" x14ac:dyDescent="0.2">
      <c r="B211" s="136">
        <v>200</v>
      </c>
      <c r="C211" s="137" t="s">
        <v>2828</v>
      </c>
      <c r="D211" s="138" t="s">
        <v>309</v>
      </c>
    </row>
    <row r="212" spans="2:4" ht="15" customHeight="1" x14ac:dyDescent="0.2">
      <c r="B212" s="136">
        <v>201</v>
      </c>
      <c r="C212" s="137" t="s">
        <v>2824</v>
      </c>
      <c r="D212" s="138" t="s">
        <v>310</v>
      </c>
    </row>
    <row r="213" spans="2:4" ht="15" customHeight="1" x14ac:dyDescent="0.2">
      <c r="B213" s="136">
        <v>202</v>
      </c>
      <c r="C213" s="137" t="s">
        <v>2828</v>
      </c>
      <c r="D213" s="138" t="s">
        <v>311</v>
      </c>
    </row>
    <row r="214" spans="2:4" ht="15" customHeight="1" x14ac:dyDescent="0.2">
      <c r="B214" s="136">
        <v>203</v>
      </c>
      <c r="C214" s="137" t="s">
        <v>2824</v>
      </c>
      <c r="D214" s="138" t="s">
        <v>312</v>
      </c>
    </row>
    <row r="215" spans="2:4" ht="15" customHeight="1" x14ac:dyDescent="0.2">
      <c r="B215" s="136">
        <v>204</v>
      </c>
      <c r="C215" s="137" t="s">
        <v>2830</v>
      </c>
      <c r="D215" s="138" t="s">
        <v>313</v>
      </c>
    </row>
    <row r="216" spans="2:4" ht="15" customHeight="1" x14ac:dyDescent="0.2">
      <c r="B216" s="136">
        <v>205</v>
      </c>
      <c r="C216" s="137" t="s">
        <v>2824</v>
      </c>
      <c r="D216" s="138" t="s">
        <v>186</v>
      </c>
    </row>
    <row r="217" spans="2:4" ht="15" customHeight="1" x14ac:dyDescent="0.2">
      <c r="B217" s="136">
        <v>206</v>
      </c>
      <c r="C217" s="137" t="s">
        <v>2828</v>
      </c>
      <c r="D217" s="138" t="s">
        <v>187</v>
      </c>
    </row>
    <row r="218" spans="2:4" ht="15" customHeight="1" x14ac:dyDescent="0.2">
      <c r="B218" s="136">
        <v>207</v>
      </c>
      <c r="C218" s="137" t="s">
        <v>2830</v>
      </c>
      <c r="D218" s="138" t="s">
        <v>188</v>
      </c>
    </row>
    <row r="219" spans="2:4" ht="15" customHeight="1" x14ac:dyDescent="0.2">
      <c r="B219" s="136">
        <v>208</v>
      </c>
      <c r="C219" s="137" t="s">
        <v>2824</v>
      </c>
      <c r="D219" s="138" t="s">
        <v>189</v>
      </c>
    </row>
    <row r="220" spans="2:4" ht="15" customHeight="1" x14ac:dyDescent="0.2">
      <c r="B220" s="136">
        <v>209</v>
      </c>
      <c r="C220" s="137" t="s">
        <v>2824</v>
      </c>
      <c r="D220" s="138" t="s">
        <v>190</v>
      </c>
    </row>
    <row r="221" spans="2:4" ht="15" customHeight="1" x14ac:dyDescent="0.2">
      <c r="B221" s="136">
        <v>210</v>
      </c>
      <c r="C221" s="137" t="s">
        <v>2827</v>
      </c>
      <c r="D221" s="138" t="s">
        <v>191</v>
      </c>
    </row>
    <row r="222" spans="2:4" ht="15" customHeight="1" x14ac:dyDescent="0.2">
      <c r="B222" s="136">
        <v>211</v>
      </c>
      <c r="C222" s="137" t="s">
        <v>2824</v>
      </c>
      <c r="D222" s="138" t="s">
        <v>192</v>
      </c>
    </row>
    <row r="223" spans="2:4" ht="15" customHeight="1" x14ac:dyDescent="0.2">
      <c r="B223" s="136">
        <v>212</v>
      </c>
      <c r="C223" s="137" t="s">
        <v>2827</v>
      </c>
      <c r="D223" s="138" t="s">
        <v>193</v>
      </c>
    </row>
    <row r="224" spans="2:4" ht="15" customHeight="1" x14ac:dyDescent="0.2">
      <c r="B224" s="136">
        <v>213</v>
      </c>
      <c r="C224" s="137" t="s">
        <v>2828</v>
      </c>
      <c r="D224" s="138" t="s">
        <v>194</v>
      </c>
    </row>
    <row r="225" spans="2:4" ht="15" customHeight="1" x14ac:dyDescent="0.2">
      <c r="B225" s="136">
        <v>214</v>
      </c>
      <c r="C225" s="137" t="s">
        <v>2825</v>
      </c>
      <c r="D225" s="138" t="s">
        <v>195</v>
      </c>
    </row>
    <row r="226" spans="2:4" ht="15" customHeight="1" x14ac:dyDescent="0.2">
      <c r="B226" s="136">
        <v>215</v>
      </c>
      <c r="C226" s="137" t="s">
        <v>2827</v>
      </c>
      <c r="D226" s="138" t="s">
        <v>196</v>
      </c>
    </row>
    <row r="227" spans="2:4" ht="15" customHeight="1" x14ac:dyDescent="0.2">
      <c r="B227" s="136">
        <v>216</v>
      </c>
      <c r="C227" s="137" t="s">
        <v>2828</v>
      </c>
      <c r="D227" s="138" t="s">
        <v>197</v>
      </c>
    </row>
    <row r="228" spans="2:4" ht="15" customHeight="1" x14ac:dyDescent="0.2">
      <c r="B228" s="136">
        <v>217</v>
      </c>
      <c r="C228" s="137" t="s">
        <v>2830</v>
      </c>
      <c r="D228" s="138" t="s">
        <v>198</v>
      </c>
    </row>
    <row r="229" spans="2:4" ht="15" customHeight="1" x14ac:dyDescent="0.2">
      <c r="B229" s="136">
        <v>218</v>
      </c>
      <c r="C229" s="137" t="s">
        <v>2824</v>
      </c>
      <c r="D229" s="138" t="s">
        <v>199</v>
      </c>
    </row>
    <row r="230" spans="2:4" ht="15" customHeight="1" x14ac:dyDescent="0.2">
      <c r="B230" s="136">
        <v>219</v>
      </c>
      <c r="C230" s="137" t="s">
        <v>2828</v>
      </c>
      <c r="D230" s="138" t="s">
        <v>200</v>
      </c>
    </row>
    <row r="231" spans="2:4" ht="15" customHeight="1" x14ac:dyDescent="0.2">
      <c r="B231" s="136">
        <v>220</v>
      </c>
      <c r="C231" s="137" t="s">
        <v>2828</v>
      </c>
      <c r="D231" s="138" t="s">
        <v>201</v>
      </c>
    </row>
    <row r="232" spans="2:4" ht="15" customHeight="1" x14ac:dyDescent="0.2">
      <c r="B232" s="136">
        <v>221</v>
      </c>
      <c r="C232" s="137" t="s">
        <v>2824</v>
      </c>
      <c r="D232" s="138" t="s">
        <v>202</v>
      </c>
    </row>
    <row r="233" spans="2:4" ht="15" customHeight="1" x14ac:dyDescent="0.2">
      <c r="B233" s="136">
        <v>222</v>
      </c>
      <c r="C233" s="137" t="s">
        <v>2830</v>
      </c>
      <c r="D233" s="138" t="s">
        <v>203</v>
      </c>
    </row>
    <row r="234" spans="2:4" ht="15" customHeight="1" x14ac:dyDescent="0.2">
      <c r="B234" s="136">
        <v>223</v>
      </c>
      <c r="C234" s="137" t="s">
        <v>2830</v>
      </c>
      <c r="D234" s="138" t="s">
        <v>204</v>
      </c>
    </row>
    <row r="235" spans="2:4" ht="15" customHeight="1" x14ac:dyDescent="0.2">
      <c r="B235" s="136">
        <v>224</v>
      </c>
      <c r="C235" s="137" t="s">
        <v>2828</v>
      </c>
      <c r="D235" s="138" t="s">
        <v>205</v>
      </c>
    </row>
    <row r="236" spans="2:4" ht="15" customHeight="1" x14ac:dyDescent="0.2">
      <c r="B236" s="136">
        <v>225</v>
      </c>
      <c r="C236" s="137" t="s">
        <v>2830</v>
      </c>
      <c r="D236" s="138" t="s">
        <v>206</v>
      </c>
    </row>
    <row r="237" spans="2:4" ht="15" customHeight="1" x14ac:dyDescent="0.2">
      <c r="B237" s="136">
        <v>226</v>
      </c>
      <c r="C237" s="137" t="s">
        <v>2824</v>
      </c>
      <c r="D237" s="138" t="s">
        <v>207</v>
      </c>
    </row>
    <row r="238" spans="2:4" ht="15" customHeight="1" x14ac:dyDescent="0.2">
      <c r="B238" s="136">
        <v>227</v>
      </c>
      <c r="C238" s="137" t="s">
        <v>2824</v>
      </c>
      <c r="D238" s="138" t="s">
        <v>208</v>
      </c>
    </row>
    <row r="239" spans="2:4" ht="15" customHeight="1" x14ac:dyDescent="0.2">
      <c r="B239" s="136">
        <v>228</v>
      </c>
      <c r="C239" s="137" t="s">
        <v>2824</v>
      </c>
      <c r="D239" s="138" t="s">
        <v>209</v>
      </c>
    </row>
    <row r="240" spans="2:4" ht="15" customHeight="1" x14ac:dyDescent="0.2">
      <c r="B240" s="136">
        <v>229</v>
      </c>
      <c r="C240" s="137" t="s">
        <v>2828</v>
      </c>
      <c r="D240" s="138" t="s">
        <v>210</v>
      </c>
    </row>
    <row r="241" spans="2:4" ht="15" customHeight="1" x14ac:dyDescent="0.2">
      <c r="B241" s="136">
        <v>230</v>
      </c>
      <c r="C241" s="137" t="s">
        <v>2827</v>
      </c>
      <c r="D241" s="138" t="s">
        <v>211</v>
      </c>
    </row>
    <row r="242" spans="2:4" ht="15" customHeight="1" x14ac:dyDescent="0.2">
      <c r="B242" s="136">
        <v>231</v>
      </c>
      <c r="C242" s="137" t="s">
        <v>2824</v>
      </c>
      <c r="D242" s="138" t="s">
        <v>212</v>
      </c>
    </row>
    <row r="243" spans="2:4" ht="15" customHeight="1" x14ac:dyDescent="0.2">
      <c r="B243" s="136">
        <v>232</v>
      </c>
      <c r="C243" s="137" t="s">
        <v>2824</v>
      </c>
      <c r="D243" s="138" t="s">
        <v>213</v>
      </c>
    </row>
    <row r="244" spans="2:4" ht="15" customHeight="1" x14ac:dyDescent="0.2">
      <c r="B244" s="136">
        <v>233</v>
      </c>
      <c r="C244" s="137" t="s">
        <v>2830</v>
      </c>
      <c r="D244" s="138" t="s">
        <v>314</v>
      </c>
    </row>
    <row r="245" spans="2:4" ht="15" customHeight="1" x14ac:dyDescent="0.2">
      <c r="B245" s="136">
        <v>234</v>
      </c>
      <c r="C245" s="137" t="s">
        <v>2830</v>
      </c>
      <c r="D245" s="138" t="s">
        <v>315</v>
      </c>
    </row>
    <row r="246" spans="2:4" ht="15" customHeight="1" x14ac:dyDescent="0.2">
      <c r="B246" s="136">
        <v>235</v>
      </c>
      <c r="C246" s="137" t="s">
        <v>2824</v>
      </c>
      <c r="D246" s="138" t="s">
        <v>316</v>
      </c>
    </row>
    <row r="247" spans="2:4" ht="15" customHeight="1" x14ac:dyDescent="0.2">
      <c r="B247" s="136">
        <v>236</v>
      </c>
      <c r="C247" s="137" t="s">
        <v>2824</v>
      </c>
      <c r="D247" s="138" t="s">
        <v>317</v>
      </c>
    </row>
    <row r="248" spans="2:4" ht="15" customHeight="1" x14ac:dyDescent="0.2">
      <c r="B248" s="136">
        <v>237</v>
      </c>
      <c r="C248" s="137" t="s">
        <v>2828</v>
      </c>
      <c r="D248" s="138" t="s">
        <v>318</v>
      </c>
    </row>
    <row r="249" spans="2:4" ht="15" customHeight="1" x14ac:dyDescent="0.2">
      <c r="B249" s="136">
        <v>238</v>
      </c>
      <c r="C249" s="137" t="s">
        <v>2827</v>
      </c>
      <c r="D249" s="138" t="s">
        <v>319</v>
      </c>
    </row>
    <row r="250" spans="2:4" ht="15" customHeight="1" x14ac:dyDescent="0.2">
      <c r="B250" s="136">
        <v>239</v>
      </c>
      <c r="C250" s="137" t="s">
        <v>2825</v>
      </c>
      <c r="D250" s="138" t="s">
        <v>320</v>
      </c>
    </row>
    <row r="251" spans="2:4" ht="15" customHeight="1" x14ac:dyDescent="0.2">
      <c r="B251" s="136">
        <v>240</v>
      </c>
      <c r="C251" s="137" t="s">
        <v>2828</v>
      </c>
      <c r="D251" s="138" t="s">
        <v>321</v>
      </c>
    </row>
    <row r="252" spans="2:4" ht="15" customHeight="1" x14ac:dyDescent="0.2">
      <c r="B252" s="136">
        <v>241</v>
      </c>
      <c r="C252" s="137" t="s">
        <v>2830</v>
      </c>
      <c r="D252" s="138" t="s">
        <v>322</v>
      </c>
    </row>
    <row r="253" spans="2:4" ht="15" customHeight="1" x14ac:dyDescent="0.2">
      <c r="B253" s="136">
        <v>242</v>
      </c>
      <c r="C253" s="137" t="s">
        <v>2827</v>
      </c>
      <c r="D253" s="138" t="s">
        <v>323</v>
      </c>
    </row>
    <row r="254" spans="2:4" ht="15" customHeight="1" x14ac:dyDescent="0.2">
      <c r="B254" s="136">
        <v>243</v>
      </c>
      <c r="C254" s="137" t="s">
        <v>2836</v>
      </c>
      <c r="D254" s="138" t="s">
        <v>324</v>
      </c>
    </row>
    <row r="255" spans="2:4" ht="15" customHeight="1" x14ac:dyDescent="0.2">
      <c r="B255" s="136">
        <v>244</v>
      </c>
      <c r="C255" s="137" t="s">
        <v>2824</v>
      </c>
      <c r="D255" s="138" t="s">
        <v>326</v>
      </c>
    </row>
    <row r="256" spans="2:4" ht="15" customHeight="1" x14ac:dyDescent="0.2">
      <c r="B256" s="136">
        <v>245</v>
      </c>
      <c r="C256" s="137" t="s">
        <v>2824</v>
      </c>
      <c r="D256" s="138" t="s">
        <v>325</v>
      </c>
    </row>
    <row r="257" spans="2:4" ht="15" customHeight="1" x14ac:dyDescent="0.2">
      <c r="B257" s="136">
        <v>246</v>
      </c>
      <c r="C257" s="137" t="s">
        <v>2824</v>
      </c>
      <c r="D257" s="138" t="s">
        <v>327</v>
      </c>
    </row>
    <row r="258" spans="2:4" ht="15" customHeight="1" x14ac:dyDescent="0.2">
      <c r="B258" s="136">
        <v>247</v>
      </c>
      <c r="C258" s="137" t="s">
        <v>2824</v>
      </c>
      <c r="D258" s="138" t="s">
        <v>328</v>
      </c>
    </row>
    <row r="259" spans="2:4" ht="15" customHeight="1" x14ac:dyDescent="0.2">
      <c r="B259" s="136">
        <v>248</v>
      </c>
      <c r="C259" s="137" t="s">
        <v>2830</v>
      </c>
      <c r="D259" s="138" t="s">
        <v>329</v>
      </c>
    </row>
    <row r="260" spans="2:4" ht="15" customHeight="1" x14ac:dyDescent="0.2">
      <c r="B260" s="136">
        <v>249</v>
      </c>
      <c r="C260" s="137" t="s">
        <v>2830</v>
      </c>
      <c r="D260" s="138" t="s">
        <v>330</v>
      </c>
    </row>
    <row r="261" spans="2:4" ht="15" customHeight="1" x14ac:dyDescent="0.2">
      <c r="B261" s="136">
        <v>250</v>
      </c>
      <c r="C261" s="137" t="s">
        <v>2828</v>
      </c>
      <c r="D261" s="138" t="s">
        <v>331</v>
      </c>
    </row>
    <row r="262" spans="2:4" ht="15" customHeight="1" x14ac:dyDescent="0.2">
      <c r="B262" s="136">
        <v>251</v>
      </c>
      <c r="C262" s="137" t="s">
        <v>2828</v>
      </c>
      <c r="D262" s="138" t="s">
        <v>332</v>
      </c>
    </row>
    <row r="263" spans="2:4" ht="15" customHeight="1" x14ac:dyDescent="0.2">
      <c r="B263" s="136">
        <v>252</v>
      </c>
      <c r="C263" s="137" t="s">
        <v>2824</v>
      </c>
      <c r="D263" s="138" t="s">
        <v>115</v>
      </c>
    </row>
    <row r="264" spans="2:4" ht="15" customHeight="1" x14ac:dyDescent="0.2">
      <c r="B264" s="136">
        <v>253</v>
      </c>
      <c r="C264" s="137" t="s">
        <v>2828</v>
      </c>
      <c r="D264" s="138" t="s">
        <v>214</v>
      </c>
    </row>
    <row r="265" spans="2:4" ht="15" customHeight="1" x14ac:dyDescent="0.2">
      <c r="B265" s="136">
        <v>254</v>
      </c>
      <c r="C265" s="137" t="s">
        <v>2828</v>
      </c>
      <c r="D265" s="138" t="s">
        <v>215</v>
      </c>
    </row>
    <row r="266" spans="2:4" ht="15" customHeight="1" x14ac:dyDescent="0.2">
      <c r="B266" s="136">
        <v>255</v>
      </c>
      <c r="C266" s="137" t="s">
        <v>2830</v>
      </c>
      <c r="D266" s="138" t="s">
        <v>216</v>
      </c>
    </row>
    <row r="267" spans="2:4" ht="15" customHeight="1" x14ac:dyDescent="0.2">
      <c r="B267" s="136">
        <v>256</v>
      </c>
      <c r="C267" s="137" t="s">
        <v>2830</v>
      </c>
      <c r="D267" s="138" t="s">
        <v>217</v>
      </c>
    </row>
    <row r="268" spans="2:4" ht="15" customHeight="1" x14ac:dyDescent="0.2">
      <c r="B268" s="136">
        <v>257</v>
      </c>
      <c r="C268" s="137" t="s">
        <v>2824</v>
      </c>
      <c r="D268" s="138" t="s">
        <v>218</v>
      </c>
    </row>
    <row r="269" spans="2:4" ht="15" customHeight="1" x14ac:dyDescent="0.2">
      <c r="B269" s="136">
        <v>258</v>
      </c>
      <c r="C269" s="137" t="s">
        <v>2824</v>
      </c>
      <c r="D269" s="138" t="s">
        <v>219</v>
      </c>
    </row>
    <row r="270" spans="2:4" x14ac:dyDescent="0.2">
      <c r="B270" s="136">
        <v>259</v>
      </c>
      <c r="C270" s="137" t="s">
        <v>2824</v>
      </c>
      <c r="D270" s="138" t="s">
        <v>220</v>
      </c>
    </row>
    <row r="271" spans="2:4" x14ac:dyDescent="0.2">
      <c r="B271" s="136">
        <v>260</v>
      </c>
      <c r="C271" s="137" t="s">
        <v>2824</v>
      </c>
      <c r="D271" s="138" t="s">
        <v>221</v>
      </c>
    </row>
    <row r="272" spans="2:4" x14ac:dyDescent="0.2">
      <c r="B272" s="136">
        <v>261</v>
      </c>
      <c r="C272" s="137" t="s">
        <v>2827</v>
      </c>
      <c r="D272" s="138" t="s">
        <v>2851</v>
      </c>
    </row>
    <row r="273" spans="2:9" x14ac:dyDescent="0.2">
      <c r="B273" s="136">
        <v>262</v>
      </c>
      <c r="C273" s="137" t="s">
        <v>2824</v>
      </c>
      <c r="D273" s="138" t="s">
        <v>222</v>
      </c>
    </row>
    <row r="274" spans="2:9" x14ac:dyDescent="0.2">
      <c r="B274" s="136">
        <v>263</v>
      </c>
      <c r="C274" s="137" t="s">
        <v>2825</v>
      </c>
      <c r="D274" s="138" t="s">
        <v>143</v>
      </c>
    </row>
    <row r="275" spans="2:9" x14ac:dyDescent="0.2">
      <c r="B275" s="136">
        <v>264</v>
      </c>
      <c r="C275" s="137" t="s">
        <v>2825</v>
      </c>
      <c r="D275" s="138" t="s">
        <v>142</v>
      </c>
    </row>
    <row r="277" spans="2:9" x14ac:dyDescent="0.2">
      <c r="D277" s="120" t="s">
        <v>1232</v>
      </c>
      <c r="E277" s="16"/>
      <c r="F277" s="16"/>
      <c r="G277" s="16"/>
      <c r="H277" s="16"/>
      <c r="I277" s="16"/>
    </row>
    <row r="278" spans="2:9" x14ac:dyDescent="0.2">
      <c r="D278" s="120" t="s">
        <v>29</v>
      </c>
      <c r="E278" s="16"/>
      <c r="F278" s="16"/>
      <c r="G278" s="16"/>
      <c r="H278" s="16"/>
      <c r="I278" s="16"/>
    </row>
    <row r="279" spans="2:9" x14ac:dyDescent="0.2">
      <c r="D279" s="120"/>
      <c r="E279" s="16"/>
      <c r="F279" s="16"/>
      <c r="G279" s="16"/>
      <c r="H279" s="16"/>
      <c r="I279" s="16"/>
    </row>
    <row r="280" spans="2:9" x14ac:dyDescent="0.2">
      <c r="D280" s="120"/>
      <c r="E280" s="16"/>
      <c r="F280" s="16"/>
      <c r="G280" s="16"/>
      <c r="H280" s="16"/>
      <c r="I280" s="16"/>
    </row>
    <row r="281" spans="2:9" x14ac:dyDescent="0.2">
      <c r="D281" s="120"/>
      <c r="E281" s="16"/>
      <c r="F281" s="16"/>
      <c r="G281" s="16"/>
      <c r="H281" s="16"/>
      <c r="I281" s="16"/>
    </row>
    <row r="282" spans="2:9" x14ac:dyDescent="0.2">
      <c r="D282" s="121" t="s">
        <v>1233</v>
      </c>
      <c r="E282" s="19"/>
      <c r="F282" s="19"/>
      <c r="G282" s="19"/>
      <c r="H282" s="19"/>
      <c r="I282" s="19"/>
    </row>
    <row r="283" spans="2:9" x14ac:dyDescent="0.2">
      <c r="D283" s="120" t="s">
        <v>30</v>
      </c>
      <c r="E283" s="16"/>
      <c r="F283" s="16"/>
      <c r="G283" s="16"/>
      <c r="H283" s="16"/>
      <c r="I283" s="16"/>
    </row>
    <row r="284" spans="2:9" x14ac:dyDescent="0.2">
      <c r="D284" s="120" t="s">
        <v>1234</v>
      </c>
      <c r="E284" s="16"/>
      <c r="F284" s="16"/>
      <c r="G284" s="16"/>
      <c r="H284" s="16"/>
      <c r="I284" s="16"/>
    </row>
    <row r="285" spans="2:9" x14ac:dyDescent="0.2">
      <c r="E285" s="16"/>
      <c r="F285" s="16"/>
      <c r="G285" s="16"/>
      <c r="H285" s="16"/>
      <c r="I285" s="16"/>
    </row>
    <row r="286" spans="2:9" x14ac:dyDescent="0.2">
      <c r="E286" s="19"/>
      <c r="F286" s="19"/>
      <c r="G286" s="19"/>
      <c r="H286" s="19"/>
      <c r="I286" s="19"/>
    </row>
    <row r="287" spans="2:9" x14ac:dyDescent="0.2">
      <c r="E287" s="16"/>
      <c r="F287" s="16"/>
      <c r="G287" s="16"/>
      <c r="H287" s="16"/>
      <c r="I287" s="16"/>
    </row>
    <row r="288" spans="2:9" x14ac:dyDescent="0.2">
      <c r="E288" s="16"/>
      <c r="F288" s="16"/>
      <c r="G288" s="16"/>
      <c r="H288" s="16"/>
      <c r="I288" s="16"/>
    </row>
  </sheetData>
  <mergeCells count="7">
    <mergeCell ref="B9:D9"/>
    <mergeCell ref="B2:F2"/>
    <mergeCell ref="B3:F3"/>
    <mergeCell ref="B4:F4"/>
    <mergeCell ref="B5:F5"/>
    <mergeCell ref="B7:E7"/>
    <mergeCell ref="B8:E8"/>
  </mergeCells>
  <pageMargins left="0.7" right="0.7" top="0.37" bottom="1.51" header="0.3" footer="0.3"/>
  <pageSetup paperSize="5" scale="9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7"/>
  <sheetViews>
    <sheetView topLeftCell="A2" workbookViewId="0">
      <selection activeCell="Z9" sqref="Z9"/>
    </sheetView>
  </sheetViews>
  <sheetFormatPr defaultRowHeight="15" x14ac:dyDescent="0.2"/>
  <cols>
    <col min="1" max="1" width="3.33203125" customWidth="1"/>
    <col min="2" max="4" width="5.83203125" style="1" customWidth="1"/>
    <col min="5" max="5" width="5.83203125" customWidth="1"/>
    <col min="6" max="6" width="13.1640625" customWidth="1"/>
    <col min="7" max="8" width="5.83203125" customWidth="1"/>
    <col min="9" max="9" width="7.5" customWidth="1"/>
    <col min="10" max="10" width="5.83203125" customWidth="1"/>
    <col min="11" max="11" width="9" customWidth="1"/>
    <col min="12" max="12" width="11.1640625" customWidth="1"/>
    <col min="13" max="15" width="5.83203125" customWidth="1"/>
    <col min="16" max="16" width="9.6640625" customWidth="1"/>
    <col min="17" max="25" width="5.83203125" customWidth="1"/>
  </cols>
  <sheetData>
    <row r="1" spans="1:19" ht="15" customHeight="1" x14ac:dyDescent="0.2">
      <c r="A1" s="5"/>
      <c r="B1" s="184" t="s">
        <v>3</v>
      </c>
      <c r="C1" s="184"/>
      <c r="D1" s="184"/>
      <c r="E1" s="184"/>
      <c r="F1" s="184"/>
      <c r="G1" s="184"/>
      <c r="H1" s="184"/>
      <c r="I1" s="184"/>
      <c r="J1" s="184"/>
      <c r="K1" s="184"/>
      <c r="L1" s="184"/>
      <c r="M1" s="184"/>
      <c r="N1" s="184"/>
      <c r="O1" s="184"/>
      <c r="P1" s="184"/>
      <c r="Q1" s="184"/>
    </row>
    <row r="2" spans="1:19" ht="15" customHeight="1" x14ac:dyDescent="0.2">
      <c r="A2" s="5"/>
      <c r="B2" s="185" t="s">
        <v>4</v>
      </c>
      <c r="C2" s="185"/>
      <c r="D2" s="185"/>
      <c r="E2" s="185"/>
      <c r="F2" s="185"/>
      <c r="G2" s="185"/>
      <c r="H2" s="185"/>
      <c r="I2" s="185"/>
      <c r="J2" s="185"/>
      <c r="K2" s="185"/>
      <c r="L2" s="185"/>
      <c r="M2" s="185"/>
      <c r="N2" s="185"/>
      <c r="O2" s="185"/>
      <c r="P2" s="185"/>
      <c r="Q2" s="185"/>
    </row>
    <row r="3" spans="1:19" ht="15" customHeight="1" x14ac:dyDescent="0.2">
      <c r="A3" s="5"/>
      <c r="B3" s="186" t="s">
        <v>6</v>
      </c>
      <c r="C3" s="186"/>
      <c r="D3" s="186"/>
      <c r="E3" s="186"/>
      <c r="F3" s="186"/>
      <c r="G3" s="186"/>
      <c r="H3" s="186"/>
      <c r="I3" s="186"/>
      <c r="J3" s="186"/>
      <c r="K3" s="186"/>
      <c r="L3" s="186"/>
      <c r="M3" s="186"/>
      <c r="N3" s="186"/>
      <c r="O3" s="186"/>
      <c r="P3" s="186"/>
      <c r="Q3" s="186"/>
    </row>
    <row r="4" spans="1:19" ht="15" customHeight="1" thickBot="1" x14ac:dyDescent="0.25">
      <c r="A4" s="4"/>
      <c r="B4" s="9"/>
      <c r="C4" s="187" t="s">
        <v>5</v>
      </c>
      <c r="D4" s="187"/>
      <c r="E4" s="187"/>
      <c r="F4" s="187"/>
      <c r="G4" s="187"/>
      <c r="H4" s="187"/>
      <c r="I4" s="187"/>
      <c r="J4" s="187"/>
      <c r="K4" s="187"/>
      <c r="L4" s="187"/>
      <c r="M4" s="187"/>
      <c r="N4" s="187"/>
      <c r="O4" s="187"/>
      <c r="P4" s="187"/>
      <c r="Q4" s="187"/>
    </row>
    <row r="5" spans="1:19" ht="15" customHeight="1" thickTop="1" x14ac:dyDescent="0.2"/>
    <row r="6" spans="1:19" ht="14.25" x14ac:dyDescent="0.2">
      <c r="A6" s="183" t="s">
        <v>10</v>
      </c>
      <c r="B6" s="183"/>
      <c r="C6" s="183"/>
      <c r="D6" s="183"/>
      <c r="E6" s="183"/>
      <c r="F6" s="183"/>
      <c r="G6" s="183"/>
      <c r="H6" s="183"/>
      <c r="I6" s="183"/>
      <c r="J6" s="183"/>
      <c r="K6" s="183"/>
      <c r="L6" s="183"/>
      <c r="M6" s="183"/>
      <c r="N6" s="183"/>
      <c r="O6" s="183"/>
      <c r="P6" s="183"/>
      <c r="Q6" s="183"/>
      <c r="R6" s="183"/>
      <c r="S6" s="183"/>
    </row>
    <row r="7" spans="1:19" ht="30.75" customHeight="1" x14ac:dyDescent="0.2">
      <c r="A7" s="188" t="s">
        <v>11</v>
      </c>
      <c r="B7" s="188"/>
      <c r="C7" s="188"/>
      <c r="D7" s="188"/>
      <c r="E7" s="188"/>
      <c r="F7" s="188"/>
      <c r="G7" s="188"/>
      <c r="H7" s="188"/>
      <c r="I7" s="188"/>
      <c r="J7" s="188"/>
      <c r="K7" s="188"/>
      <c r="L7" s="188"/>
      <c r="M7" s="188"/>
      <c r="N7" s="188"/>
      <c r="O7" s="188"/>
      <c r="P7" s="188"/>
      <c r="Q7" s="188"/>
      <c r="R7" s="188"/>
      <c r="S7" s="188"/>
    </row>
    <row r="8" spans="1:19" ht="15" customHeight="1" x14ac:dyDescent="0.2">
      <c r="A8" s="11"/>
      <c r="B8" s="188" t="s">
        <v>21</v>
      </c>
      <c r="C8" s="188"/>
      <c r="D8" s="188"/>
      <c r="E8" s="188"/>
      <c r="F8" s="188"/>
      <c r="G8" s="188"/>
      <c r="H8" s="188"/>
      <c r="I8" s="188"/>
      <c r="J8" s="188"/>
      <c r="K8" s="188"/>
      <c r="L8" s="188"/>
      <c r="M8" s="188"/>
      <c r="N8" s="188"/>
      <c r="O8" s="188"/>
      <c r="P8" s="188"/>
      <c r="Q8" s="188"/>
      <c r="R8" s="188"/>
    </row>
    <row r="10" spans="1:19" ht="28.5" customHeight="1" x14ac:dyDescent="0.2">
      <c r="B10" s="3" t="s">
        <v>2</v>
      </c>
      <c r="C10" s="205" t="s">
        <v>1</v>
      </c>
      <c r="D10" s="205"/>
      <c r="E10" s="205"/>
      <c r="F10" s="205"/>
      <c r="G10" s="204" t="s">
        <v>13</v>
      </c>
      <c r="H10" s="204"/>
      <c r="I10" s="204"/>
      <c r="J10" s="204" t="s">
        <v>12</v>
      </c>
      <c r="K10" s="204"/>
      <c r="L10" s="204"/>
      <c r="M10" s="205" t="s">
        <v>17</v>
      </c>
      <c r="N10" s="205"/>
      <c r="O10" s="205"/>
      <c r="P10" s="205"/>
      <c r="Q10" s="204" t="s">
        <v>388</v>
      </c>
      <c r="R10" s="204"/>
      <c r="S10" s="204"/>
    </row>
    <row r="11" spans="1:19" ht="45" customHeight="1" x14ac:dyDescent="0.2">
      <c r="B11" s="2">
        <v>1</v>
      </c>
      <c r="C11" s="199" t="s">
        <v>333</v>
      </c>
      <c r="D11" s="200"/>
      <c r="E11" s="200"/>
      <c r="F11" s="201"/>
      <c r="G11" s="191" t="s">
        <v>16</v>
      </c>
      <c r="H11" s="202"/>
      <c r="I11" s="203"/>
      <c r="J11" s="194" t="s">
        <v>18</v>
      </c>
      <c r="K11" s="195"/>
      <c r="L11" s="196"/>
      <c r="M11" s="198" t="s">
        <v>387</v>
      </c>
      <c r="N11" s="198"/>
      <c r="O11" s="198"/>
      <c r="P11" s="198"/>
      <c r="Q11" s="189">
        <v>2024</v>
      </c>
      <c r="R11" s="189"/>
      <c r="S11" s="189"/>
    </row>
    <row r="12" spans="1:19" ht="45" customHeight="1" x14ac:dyDescent="0.2">
      <c r="B12" s="2">
        <v>2</v>
      </c>
      <c r="C12" s="199" t="s">
        <v>14</v>
      </c>
      <c r="D12" s="200"/>
      <c r="E12" s="200"/>
      <c r="F12" s="201"/>
      <c r="G12" s="191" t="s">
        <v>16</v>
      </c>
      <c r="H12" s="202"/>
      <c r="I12" s="203"/>
      <c r="J12" s="194" t="s">
        <v>18</v>
      </c>
      <c r="K12" s="195"/>
      <c r="L12" s="196"/>
      <c r="M12" s="198" t="s">
        <v>340</v>
      </c>
      <c r="N12" s="198"/>
      <c r="O12" s="198"/>
      <c r="P12" s="198"/>
      <c r="Q12" s="189">
        <v>2022</v>
      </c>
      <c r="R12" s="189"/>
      <c r="S12" s="189"/>
    </row>
    <row r="13" spans="1:19" ht="45" customHeight="1" x14ac:dyDescent="0.2">
      <c r="B13" s="2">
        <v>3</v>
      </c>
      <c r="C13" s="199" t="s">
        <v>15</v>
      </c>
      <c r="D13" s="200"/>
      <c r="E13" s="200"/>
      <c r="F13" s="201"/>
      <c r="G13" s="191" t="s">
        <v>16</v>
      </c>
      <c r="H13" s="192"/>
      <c r="I13" s="193"/>
      <c r="J13" s="194" t="s">
        <v>18</v>
      </c>
      <c r="K13" s="195"/>
      <c r="L13" s="196"/>
      <c r="M13" s="198" t="s">
        <v>341</v>
      </c>
      <c r="N13" s="198"/>
      <c r="O13" s="198"/>
      <c r="P13" s="198"/>
      <c r="Q13" s="189">
        <v>2022</v>
      </c>
      <c r="R13" s="189"/>
      <c r="S13" s="189"/>
    </row>
    <row r="14" spans="1:19" ht="45" customHeight="1" x14ac:dyDescent="0.2">
      <c r="B14" s="2">
        <v>4</v>
      </c>
      <c r="C14" s="199" t="s">
        <v>334</v>
      </c>
      <c r="D14" s="200"/>
      <c r="E14" s="200"/>
      <c r="F14" s="201"/>
      <c r="G14" s="191" t="s">
        <v>16</v>
      </c>
      <c r="H14" s="192"/>
      <c r="I14" s="193"/>
      <c r="J14" s="194" t="s">
        <v>18</v>
      </c>
      <c r="K14" s="195"/>
      <c r="L14" s="196"/>
      <c r="M14" s="198" t="s">
        <v>339</v>
      </c>
      <c r="N14" s="198"/>
      <c r="O14" s="198"/>
      <c r="P14" s="198"/>
      <c r="Q14" s="189">
        <v>2024</v>
      </c>
      <c r="R14" s="189"/>
      <c r="S14" s="189"/>
    </row>
    <row r="15" spans="1:19" ht="45" customHeight="1" x14ac:dyDescent="0.2">
      <c r="B15" s="118">
        <v>5</v>
      </c>
      <c r="C15" s="199" t="s">
        <v>336</v>
      </c>
      <c r="D15" s="200"/>
      <c r="E15" s="200"/>
      <c r="F15" s="201"/>
      <c r="G15" s="191" t="s">
        <v>16</v>
      </c>
      <c r="H15" s="192"/>
      <c r="I15" s="193"/>
      <c r="J15" s="194" t="s">
        <v>18</v>
      </c>
      <c r="K15" s="195"/>
      <c r="L15" s="196"/>
      <c r="M15" s="198" t="s">
        <v>337</v>
      </c>
      <c r="N15" s="198"/>
      <c r="O15" s="198"/>
      <c r="P15" s="198"/>
      <c r="Q15" s="189">
        <v>2024</v>
      </c>
      <c r="R15" s="189"/>
      <c r="S15" s="189"/>
    </row>
    <row r="16" spans="1:19" ht="45" customHeight="1" x14ac:dyDescent="0.2">
      <c r="B16" s="118">
        <v>6</v>
      </c>
      <c r="C16" s="199" t="s">
        <v>335</v>
      </c>
      <c r="D16" s="200"/>
      <c r="E16" s="200"/>
      <c r="F16" s="201"/>
      <c r="G16" s="191" t="s">
        <v>16</v>
      </c>
      <c r="H16" s="192"/>
      <c r="I16" s="193"/>
      <c r="J16" s="194" t="s">
        <v>18</v>
      </c>
      <c r="K16" s="195"/>
      <c r="L16" s="196"/>
      <c r="M16" s="198" t="s">
        <v>338</v>
      </c>
      <c r="N16" s="198"/>
      <c r="O16" s="198"/>
      <c r="P16" s="198"/>
      <c r="Q16" s="189">
        <v>2024</v>
      </c>
      <c r="R16" s="189"/>
      <c r="S16" s="189"/>
    </row>
    <row r="17" spans="2:19" ht="45" customHeight="1" x14ac:dyDescent="0.2">
      <c r="B17" s="118">
        <v>7</v>
      </c>
      <c r="C17" s="199" t="s">
        <v>149</v>
      </c>
      <c r="D17" s="200"/>
      <c r="E17" s="200"/>
      <c r="F17" s="201"/>
      <c r="G17" s="191" t="s">
        <v>16</v>
      </c>
      <c r="H17" s="192"/>
      <c r="I17" s="193"/>
      <c r="J17" s="194" t="s">
        <v>18</v>
      </c>
      <c r="K17" s="195"/>
      <c r="L17" s="196"/>
      <c r="M17" s="198" t="s">
        <v>2953</v>
      </c>
      <c r="N17" s="198"/>
      <c r="O17" s="198"/>
      <c r="P17" s="198"/>
      <c r="Q17" s="189">
        <v>2025</v>
      </c>
      <c r="R17" s="189"/>
      <c r="S17" s="189"/>
    </row>
    <row r="18" spans="2:19" ht="45" customHeight="1" x14ac:dyDescent="0.2">
      <c r="B18" s="118">
        <v>8</v>
      </c>
      <c r="C18" s="206" t="s">
        <v>1231</v>
      </c>
      <c r="D18" s="207"/>
      <c r="E18" s="207"/>
      <c r="F18" s="208"/>
      <c r="G18" s="191" t="s">
        <v>16</v>
      </c>
      <c r="H18" s="192"/>
      <c r="I18" s="193"/>
      <c r="J18" s="194" t="s">
        <v>18</v>
      </c>
      <c r="K18" s="195"/>
      <c r="L18" s="196"/>
      <c r="M18" s="198" t="s">
        <v>2954</v>
      </c>
      <c r="N18" s="198"/>
      <c r="O18" s="198"/>
      <c r="P18" s="198"/>
      <c r="Q18" s="189">
        <v>2025</v>
      </c>
      <c r="R18" s="189"/>
      <c r="S18" s="189"/>
    </row>
    <row r="19" spans="2:19" ht="45" customHeight="1" x14ac:dyDescent="0.2">
      <c r="B19" s="17"/>
      <c r="C19" s="89"/>
      <c r="D19" s="89"/>
      <c r="E19" s="89"/>
      <c r="F19" s="89"/>
      <c r="G19" s="17"/>
      <c r="H19" s="17"/>
      <c r="I19" s="17"/>
      <c r="J19" s="90"/>
      <c r="K19" s="90"/>
      <c r="L19" s="90"/>
      <c r="M19" s="61"/>
      <c r="N19" s="61"/>
      <c r="O19" s="61"/>
      <c r="P19" s="61"/>
    </row>
    <row r="20" spans="2:19" ht="15" customHeight="1" x14ac:dyDescent="0.2">
      <c r="K20" s="190" t="s">
        <v>1232</v>
      </c>
      <c r="L20" s="190"/>
      <c r="M20" s="190"/>
      <c r="N20" s="190"/>
      <c r="O20" s="190"/>
      <c r="P20" s="190"/>
    </row>
    <row r="21" spans="2:19" x14ac:dyDescent="0.2">
      <c r="K21" s="190" t="s">
        <v>29</v>
      </c>
      <c r="L21" s="190"/>
      <c r="M21" s="190"/>
      <c r="N21" s="190"/>
      <c r="O21" s="190"/>
      <c r="P21" s="190"/>
    </row>
    <row r="22" spans="2:19" x14ac:dyDescent="0.2">
      <c r="K22" s="16"/>
      <c r="L22" s="16"/>
      <c r="M22" s="16"/>
      <c r="N22" s="16"/>
      <c r="O22" s="16"/>
      <c r="P22" s="16"/>
    </row>
    <row r="23" spans="2:19" x14ac:dyDescent="0.2">
      <c r="K23" s="16"/>
      <c r="L23" s="16"/>
      <c r="M23" s="16"/>
      <c r="N23" s="16"/>
      <c r="O23" s="16"/>
      <c r="P23" s="16"/>
    </row>
    <row r="24" spans="2:19" x14ac:dyDescent="0.2">
      <c r="K24" s="16"/>
      <c r="L24" s="16"/>
      <c r="M24" s="16"/>
      <c r="N24" s="16"/>
      <c r="O24" s="16"/>
      <c r="P24" s="16"/>
    </row>
    <row r="25" spans="2:19" x14ac:dyDescent="0.2">
      <c r="K25" s="197" t="s">
        <v>1233</v>
      </c>
      <c r="L25" s="197"/>
      <c r="M25" s="197"/>
      <c r="N25" s="197"/>
      <c r="O25" s="197"/>
      <c r="P25" s="197"/>
    </row>
    <row r="26" spans="2:19" x14ac:dyDescent="0.2">
      <c r="K26" s="190" t="s">
        <v>30</v>
      </c>
      <c r="L26" s="190"/>
      <c r="M26" s="190"/>
      <c r="N26" s="190"/>
      <c r="O26" s="190"/>
      <c r="P26" s="190"/>
    </row>
    <row r="27" spans="2:19" x14ac:dyDescent="0.2">
      <c r="K27" s="190" t="s">
        <v>1234</v>
      </c>
      <c r="L27" s="190"/>
      <c r="M27" s="190"/>
      <c r="N27" s="190"/>
      <c r="O27" s="190"/>
      <c r="P27" s="190"/>
    </row>
  </sheetData>
  <mergeCells count="57">
    <mergeCell ref="C18:F18"/>
    <mergeCell ref="G18:I18"/>
    <mergeCell ref="J18:L18"/>
    <mergeCell ref="M18:P18"/>
    <mergeCell ref="Q18:S18"/>
    <mergeCell ref="C17:F17"/>
    <mergeCell ref="G17:I17"/>
    <mergeCell ref="J17:L17"/>
    <mergeCell ref="M17:P17"/>
    <mergeCell ref="Q17:S17"/>
    <mergeCell ref="B1:Q1"/>
    <mergeCell ref="M10:P10"/>
    <mergeCell ref="M12:P12"/>
    <mergeCell ref="M14:P14"/>
    <mergeCell ref="C4:Q4"/>
    <mergeCell ref="B3:Q3"/>
    <mergeCell ref="C10:F10"/>
    <mergeCell ref="G10:I10"/>
    <mergeCell ref="J10:L10"/>
    <mergeCell ref="C12:F12"/>
    <mergeCell ref="J11:L11"/>
    <mergeCell ref="M11:P11"/>
    <mergeCell ref="C14:F14"/>
    <mergeCell ref="G12:I12"/>
    <mergeCell ref="B2:Q2"/>
    <mergeCell ref="A6:S6"/>
    <mergeCell ref="A7:S7"/>
    <mergeCell ref="B8:R8"/>
    <mergeCell ref="C13:F13"/>
    <mergeCell ref="G13:I13"/>
    <mergeCell ref="J13:L13"/>
    <mergeCell ref="C11:F11"/>
    <mergeCell ref="G11:I11"/>
    <mergeCell ref="Q10:S10"/>
    <mergeCell ref="C15:F15"/>
    <mergeCell ref="G15:I15"/>
    <mergeCell ref="J15:L15"/>
    <mergeCell ref="M15:P15"/>
    <mergeCell ref="C16:F16"/>
    <mergeCell ref="G16:I16"/>
    <mergeCell ref="J16:L16"/>
    <mergeCell ref="M16:P16"/>
    <mergeCell ref="K27:P27"/>
    <mergeCell ref="G14:I14"/>
    <mergeCell ref="J12:L12"/>
    <mergeCell ref="K20:P20"/>
    <mergeCell ref="K21:P21"/>
    <mergeCell ref="K25:P25"/>
    <mergeCell ref="J14:L14"/>
    <mergeCell ref="M13:P13"/>
    <mergeCell ref="K26:P26"/>
    <mergeCell ref="Q15:S15"/>
    <mergeCell ref="Q16:S16"/>
    <mergeCell ref="Q11:S11"/>
    <mergeCell ref="Q12:S12"/>
    <mergeCell ref="Q13:S13"/>
    <mergeCell ref="Q14:S14"/>
  </mergeCells>
  <phoneticPr fontId="25" type="noConversion"/>
  <pageMargins left="0.56000000000000005" right="0.7" top="0.4" bottom="0.75" header="0.3" footer="0.3"/>
  <pageSetup scale="80"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6"/>
  <sheetViews>
    <sheetView workbookViewId="0">
      <selection activeCell="Y11" sqref="Y11"/>
    </sheetView>
  </sheetViews>
  <sheetFormatPr defaultRowHeight="15" x14ac:dyDescent="0.2"/>
  <cols>
    <col min="1" max="1" width="3.33203125" customWidth="1"/>
    <col min="2" max="4" width="5.83203125" style="1" customWidth="1"/>
    <col min="5" max="5" width="5.83203125" customWidth="1"/>
    <col min="6" max="6" width="13.1640625" customWidth="1"/>
    <col min="7" max="8" width="5.83203125" customWidth="1"/>
    <col min="9" max="9" width="7.5" customWidth="1"/>
    <col min="10" max="10" width="5.83203125" customWidth="1"/>
    <col min="11" max="11" width="9" customWidth="1"/>
    <col min="12" max="12" width="11.1640625" customWidth="1"/>
    <col min="13" max="15" width="5.83203125" customWidth="1"/>
    <col min="16" max="16" width="9.6640625" customWidth="1"/>
    <col min="17" max="25" width="5.83203125" customWidth="1"/>
  </cols>
  <sheetData>
    <row r="1" spans="1:19" ht="15" customHeight="1" x14ac:dyDescent="0.2">
      <c r="A1" s="5"/>
      <c r="B1" s="184" t="s">
        <v>3</v>
      </c>
      <c r="C1" s="184"/>
      <c r="D1" s="184"/>
      <c r="E1" s="184"/>
      <c r="F1" s="184"/>
      <c r="G1" s="184"/>
      <c r="H1" s="184"/>
      <c r="I1" s="184"/>
      <c r="J1" s="184"/>
      <c r="K1" s="184"/>
      <c r="L1" s="184"/>
      <c r="M1" s="184"/>
      <c r="N1" s="184"/>
      <c r="O1" s="184"/>
      <c r="P1" s="184"/>
      <c r="Q1" s="184"/>
    </row>
    <row r="2" spans="1:19" ht="15" customHeight="1" x14ac:dyDescent="0.2">
      <c r="A2" s="5"/>
      <c r="B2" s="185" t="s">
        <v>4</v>
      </c>
      <c r="C2" s="185"/>
      <c r="D2" s="185"/>
      <c r="E2" s="185"/>
      <c r="F2" s="185"/>
      <c r="G2" s="185"/>
      <c r="H2" s="185"/>
      <c r="I2" s="185"/>
      <c r="J2" s="185"/>
      <c r="K2" s="185"/>
      <c r="L2" s="185"/>
      <c r="M2" s="185"/>
      <c r="N2" s="185"/>
      <c r="O2" s="185"/>
      <c r="P2" s="185"/>
      <c r="Q2" s="185"/>
    </row>
    <row r="3" spans="1:19" ht="15" customHeight="1" x14ac:dyDescent="0.2">
      <c r="A3" s="5"/>
      <c r="B3" s="186" t="s">
        <v>6</v>
      </c>
      <c r="C3" s="186"/>
      <c r="D3" s="186"/>
      <c r="E3" s="186"/>
      <c r="F3" s="186"/>
      <c r="G3" s="186"/>
      <c r="H3" s="186"/>
      <c r="I3" s="186"/>
      <c r="J3" s="186"/>
      <c r="K3" s="186"/>
      <c r="L3" s="186"/>
      <c r="M3" s="186"/>
      <c r="N3" s="186"/>
      <c r="O3" s="186"/>
      <c r="P3" s="186"/>
      <c r="Q3" s="186"/>
    </row>
    <row r="4" spans="1:19" ht="15" customHeight="1" thickBot="1" x14ac:dyDescent="0.25">
      <c r="A4" s="4"/>
      <c r="B4" s="9"/>
      <c r="C4" s="187" t="s">
        <v>5</v>
      </c>
      <c r="D4" s="187"/>
      <c r="E4" s="187"/>
      <c r="F4" s="187"/>
      <c r="G4" s="187"/>
      <c r="H4" s="187"/>
      <c r="I4" s="187"/>
      <c r="J4" s="187"/>
      <c r="K4" s="187"/>
      <c r="L4" s="187"/>
      <c r="M4" s="187"/>
      <c r="N4" s="187"/>
      <c r="O4" s="187"/>
      <c r="P4" s="187"/>
      <c r="Q4" s="187"/>
    </row>
    <row r="5" spans="1:19" ht="15" customHeight="1" thickTop="1" x14ac:dyDescent="0.2"/>
    <row r="6" spans="1:19" ht="15" customHeight="1" x14ac:dyDescent="0.2">
      <c r="A6" s="188" t="s">
        <v>390</v>
      </c>
      <c r="B6" s="188"/>
      <c r="C6" s="188"/>
      <c r="D6" s="188"/>
      <c r="E6" s="188"/>
      <c r="F6" s="188"/>
      <c r="G6" s="188"/>
      <c r="H6" s="188"/>
      <c r="I6" s="188"/>
      <c r="J6" s="188"/>
      <c r="K6" s="188"/>
      <c r="L6" s="188"/>
      <c r="M6" s="188"/>
      <c r="N6" s="188"/>
      <c r="O6" s="188"/>
      <c r="P6" s="188"/>
      <c r="Q6" s="188"/>
      <c r="R6" s="188"/>
      <c r="S6" s="188"/>
    </row>
    <row r="7" spans="1:19" ht="15" customHeight="1" x14ac:dyDescent="0.2">
      <c r="A7" s="110"/>
      <c r="B7" s="188"/>
      <c r="C7" s="188"/>
      <c r="D7" s="188"/>
      <c r="E7" s="188"/>
      <c r="F7" s="188"/>
      <c r="G7" s="188"/>
      <c r="H7" s="188"/>
      <c r="I7" s="188"/>
      <c r="J7" s="188"/>
      <c r="K7" s="188"/>
      <c r="L7" s="188"/>
      <c r="M7" s="188"/>
      <c r="N7" s="188"/>
      <c r="O7" s="188"/>
      <c r="P7" s="188"/>
      <c r="Q7" s="188"/>
      <c r="R7" s="188"/>
    </row>
    <row r="9" spans="1:19" ht="28.5" customHeight="1" x14ac:dyDescent="0.2">
      <c r="B9" s="111" t="s">
        <v>2</v>
      </c>
      <c r="C9" s="205" t="s">
        <v>1</v>
      </c>
      <c r="D9" s="205"/>
      <c r="E9" s="205"/>
      <c r="F9" s="205"/>
      <c r="G9" s="204" t="s">
        <v>13</v>
      </c>
      <c r="H9" s="204"/>
      <c r="I9" s="204"/>
      <c r="J9" s="204" t="s">
        <v>12</v>
      </c>
      <c r="K9" s="204"/>
      <c r="L9" s="204"/>
      <c r="M9" s="205" t="s">
        <v>17</v>
      </c>
      <c r="N9" s="205"/>
      <c r="O9" s="205"/>
      <c r="P9" s="205"/>
      <c r="Q9" s="204" t="s">
        <v>388</v>
      </c>
      <c r="R9" s="204"/>
      <c r="S9" s="204"/>
    </row>
    <row r="10" spans="1:19" ht="45" customHeight="1" x14ac:dyDescent="0.2">
      <c r="B10" s="118">
        <v>1</v>
      </c>
      <c r="C10" s="199" t="s">
        <v>333</v>
      </c>
      <c r="D10" s="200"/>
      <c r="E10" s="200"/>
      <c r="F10" s="201"/>
      <c r="G10" s="191" t="s">
        <v>16</v>
      </c>
      <c r="H10" s="202"/>
      <c r="I10" s="203"/>
      <c r="J10" s="194" t="s">
        <v>18</v>
      </c>
      <c r="K10" s="195"/>
      <c r="L10" s="196"/>
      <c r="M10" s="198" t="s">
        <v>387</v>
      </c>
      <c r="N10" s="198"/>
      <c r="O10" s="198"/>
      <c r="P10" s="198"/>
      <c r="Q10" s="189">
        <v>2024</v>
      </c>
      <c r="R10" s="189"/>
      <c r="S10" s="189"/>
    </row>
    <row r="11" spans="1:19" ht="45" customHeight="1" x14ac:dyDescent="0.2">
      <c r="B11" s="118">
        <v>2</v>
      </c>
      <c r="C11" s="199" t="s">
        <v>14</v>
      </c>
      <c r="D11" s="200"/>
      <c r="E11" s="200"/>
      <c r="F11" s="201"/>
      <c r="G11" s="191" t="s">
        <v>16</v>
      </c>
      <c r="H11" s="202"/>
      <c r="I11" s="203"/>
      <c r="J11" s="194" t="s">
        <v>18</v>
      </c>
      <c r="K11" s="195"/>
      <c r="L11" s="196"/>
      <c r="M11" s="198" t="s">
        <v>340</v>
      </c>
      <c r="N11" s="198"/>
      <c r="O11" s="198"/>
      <c r="P11" s="198"/>
      <c r="Q11" s="189">
        <v>2022</v>
      </c>
      <c r="R11" s="189"/>
      <c r="S11" s="189"/>
    </row>
    <row r="12" spans="1:19" ht="45" customHeight="1" x14ac:dyDescent="0.2">
      <c r="B12" s="118">
        <v>3</v>
      </c>
      <c r="C12" s="199" t="s">
        <v>15</v>
      </c>
      <c r="D12" s="200"/>
      <c r="E12" s="200"/>
      <c r="F12" s="201"/>
      <c r="G12" s="191" t="s">
        <v>16</v>
      </c>
      <c r="H12" s="192"/>
      <c r="I12" s="193"/>
      <c r="J12" s="194" t="s">
        <v>18</v>
      </c>
      <c r="K12" s="195"/>
      <c r="L12" s="196"/>
      <c r="M12" s="198" t="s">
        <v>341</v>
      </c>
      <c r="N12" s="198"/>
      <c r="O12" s="198"/>
      <c r="P12" s="198"/>
      <c r="Q12" s="189">
        <v>2022</v>
      </c>
      <c r="R12" s="189"/>
      <c r="S12" s="189"/>
    </row>
    <row r="13" spans="1:19" ht="45" customHeight="1" x14ac:dyDescent="0.2">
      <c r="B13" s="118">
        <v>4</v>
      </c>
      <c r="C13" s="199" t="s">
        <v>334</v>
      </c>
      <c r="D13" s="200"/>
      <c r="E13" s="200"/>
      <c r="F13" s="201"/>
      <c r="G13" s="191" t="s">
        <v>16</v>
      </c>
      <c r="H13" s="192"/>
      <c r="I13" s="193"/>
      <c r="J13" s="194" t="s">
        <v>18</v>
      </c>
      <c r="K13" s="195"/>
      <c r="L13" s="196"/>
      <c r="M13" s="198" t="s">
        <v>339</v>
      </c>
      <c r="N13" s="198"/>
      <c r="O13" s="198"/>
      <c r="P13" s="198"/>
      <c r="Q13" s="189">
        <v>2024</v>
      </c>
      <c r="R13" s="189"/>
      <c r="S13" s="189"/>
    </row>
    <row r="14" spans="1:19" ht="45" customHeight="1" x14ac:dyDescent="0.2">
      <c r="B14" s="118">
        <v>5</v>
      </c>
      <c r="C14" s="199" t="s">
        <v>336</v>
      </c>
      <c r="D14" s="200"/>
      <c r="E14" s="200"/>
      <c r="F14" s="201"/>
      <c r="G14" s="191" t="s">
        <v>16</v>
      </c>
      <c r="H14" s="192"/>
      <c r="I14" s="193"/>
      <c r="J14" s="194" t="s">
        <v>18</v>
      </c>
      <c r="K14" s="195"/>
      <c r="L14" s="196"/>
      <c r="M14" s="198" t="s">
        <v>337</v>
      </c>
      <c r="N14" s="198"/>
      <c r="O14" s="198"/>
      <c r="P14" s="198"/>
      <c r="Q14" s="189">
        <v>2024</v>
      </c>
      <c r="R14" s="189"/>
      <c r="S14" s="189"/>
    </row>
    <row r="15" spans="1:19" ht="45" customHeight="1" x14ac:dyDescent="0.2">
      <c r="B15" s="118">
        <v>6</v>
      </c>
      <c r="C15" s="199" t="s">
        <v>335</v>
      </c>
      <c r="D15" s="200"/>
      <c r="E15" s="200"/>
      <c r="F15" s="201"/>
      <c r="G15" s="191" t="s">
        <v>16</v>
      </c>
      <c r="H15" s="192"/>
      <c r="I15" s="193"/>
      <c r="J15" s="194" t="s">
        <v>18</v>
      </c>
      <c r="K15" s="195"/>
      <c r="L15" s="196"/>
      <c r="M15" s="198" t="s">
        <v>338</v>
      </c>
      <c r="N15" s="198"/>
      <c r="O15" s="198"/>
      <c r="P15" s="198"/>
      <c r="Q15" s="189">
        <v>2024</v>
      </c>
      <c r="R15" s="189"/>
      <c r="S15" s="189"/>
    </row>
    <row r="16" spans="1:19" ht="45" customHeight="1" x14ac:dyDescent="0.2">
      <c r="B16" s="118">
        <v>7</v>
      </c>
      <c r="C16" s="199" t="s">
        <v>149</v>
      </c>
      <c r="D16" s="200"/>
      <c r="E16" s="200"/>
      <c r="F16" s="201"/>
      <c r="G16" s="191" t="s">
        <v>16</v>
      </c>
      <c r="H16" s="192"/>
      <c r="I16" s="193"/>
      <c r="J16" s="194" t="s">
        <v>18</v>
      </c>
      <c r="K16" s="195"/>
      <c r="L16" s="196"/>
      <c r="M16" s="198" t="s">
        <v>2953</v>
      </c>
      <c r="N16" s="198"/>
      <c r="O16" s="198"/>
      <c r="P16" s="198"/>
      <c r="Q16" s="189">
        <v>2025</v>
      </c>
      <c r="R16" s="189"/>
      <c r="S16" s="189"/>
    </row>
    <row r="17" spans="2:19" ht="45" customHeight="1" x14ac:dyDescent="0.2">
      <c r="B17" s="118">
        <v>8</v>
      </c>
      <c r="C17" s="206" t="s">
        <v>1231</v>
      </c>
      <c r="D17" s="207"/>
      <c r="E17" s="207"/>
      <c r="F17" s="208"/>
      <c r="G17" s="191" t="s">
        <v>16</v>
      </c>
      <c r="H17" s="192"/>
      <c r="I17" s="193"/>
      <c r="J17" s="194" t="s">
        <v>18</v>
      </c>
      <c r="K17" s="195"/>
      <c r="L17" s="196"/>
      <c r="M17" s="198" t="s">
        <v>2954</v>
      </c>
      <c r="N17" s="198"/>
      <c r="O17" s="198"/>
      <c r="P17" s="198"/>
      <c r="Q17" s="189">
        <v>2025</v>
      </c>
      <c r="R17" s="189"/>
      <c r="S17" s="189"/>
    </row>
    <row r="18" spans="2:19" ht="15" customHeight="1" x14ac:dyDescent="0.2">
      <c r="B18" s="17"/>
      <c r="C18" s="89"/>
      <c r="D18" s="89"/>
      <c r="E18" s="89"/>
      <c r="F18" s="89"/>
      <c r="G18" s="17"/>
      <c r="H18" s="17"/>
      <c r="I18" s="17"/>
      <c r="J18" s="90"/>
      <c r="K18" s="90"/>
      <c r="L18" s="90"/>
      <c r="M18" s="61"/>
      <c r="N18" s="61"/>
      <c r="O18" s="61"/>
      <c r="P18" s="61"/>
    </row>
    <row r="19" spans="2:19" x14ac:dyDescent="0.2">
      <c r="K19" s="190" t="s">
        <v>1232</v>
      </c>
      <c r="L19" s="190"/>
      <c r="M19" s="190"/>
      <c r="N19" s="190"/>
      <c r="O19" s="190"/>
      <c r="P19" s="190"/>
    </row>
    <row r="20" spans="2:19" x14ac:dyDescent="0.2">
      <c r="K20" s="190" t="s">
        <v>29</v>
      </c>
      <c r="L20" s="190"/>
      <c r="M20" s="190"/>
      <c r="N20" s="190"/>
      <c r="O20" s="190"/>
      <c r="P20" s="190"/>
    </row>
    <row r="21" spans="2:19" x14ac:dyDescent="0.2">
      <c r="K21" s="16"/>
      <c r="L21" s="16"/>
      <c r="M21" s="16"/>
      <c r="N21" s="16"/>
      <c r="O21" s="16"/>
      <c r="P21" s="16"/>
    </row>
    <row r="22" spans="2:19" x14ac:dyDescent="0.2">
      <c r="K22" s="16"/>
      <c r="L22" s="16"/>
      <c r="M22" s="16"/>
      <c r="N22" s="16"/>
      <c r="O22" s="16"/>
      <c r="P22" s="16"/>
    </row>
    <row r="23" spans="2:19" x14ac:dyDescent="0.2">
      <c r="K23" s="16"/>
      <c r="L23" s="16"/>
      <c r="M23" s="16"/>
      <c r="N23" s="16"/>
      <c r="O23" s="16"/>
      <c r="P23" s="16"/>
    </row>
    <row r="24" spans="2:19" x14ac:dyDescent="0.2">
      <c r="K24" s="197" t="s">
        <v>1233</v>
      </c>
      <c r="L24" s="197"/>
      <c r="M24" s="197"/>
      <c r="N24" s="197"/>
      <c r="O24" s="197"/>
      <c r="P24" s="197"/>
    </row>
    <row r="25" spans="2:19" x14ac:dyDescent="0.2">
      <c r="K25" s="190" t="s">
        <v>30</v>
      </c>
      <c r="L25" s="190"/>
      <c r="M25" s="190"/>
      <c r="N25" s="190"/>
      <c r="O25" s="190"/>
      <c r="P25" s="190"/>
    </row>
    <row r="26" spans="2:19" x14ac:dyDescent="0.2">
      <c r="K26" s="190" t="s">
        <v>1234</v>
      </c>
      <c r="L26" s="190"/>
      <c r="M26" s="190"/>
      <c r="N26" s="190"/>
      <c r="O26" s="190"/>
      <c r="P26" s="190"/>
    </row>
  </sheetData>
  <mergeCells count="56">
    <mergeCell ref="Q17:S17"/>
    <mergeCell ref="Q15:S15"/>
    <mergeCell ref="C16:F16"/>
    <mergeCell ref="G16:I16"/>
    <mergeCell ref="J16:L16"/>
    <mergeCell ref="M16:P16"/>
    <mergeCell ref="Q16:S16"/>
    <mergeCell ref="B1:Q1"/>
    <mergeCell ref="B2:Q2"/>
    <mergeCell ref="B3:Q3"/>
    <mergeCell ref="C4:Q4"/>
    <mergeCell ref="A6:S6"/>
    <mergeCell ref="B7:R7"/>
    <mergeCell ref="C9:F9"/>
    <mergeCell ref="G9:I9"/>
    <mergeCell ref="J9:L9"/>
    <mergeCell ref="M9:P9"/>
    <mergeCell ref="Q9:S9"/>
    <mergeCell ref="C10:F10"/>
    <mergeCell ref="G10:I10"/>
    <mergeCell ref="J10:L10"/>
    <mergeCell ref="M10:P10"/>
    <mergeCell ref="Q10:S10"/>
    <mergeCell ref="C11:F11"/>
    <mergeCell ref="G11:I11"/>
    <mergeCell ref="J11:L11"/>
    <mergeCell ref="M11:P11"/>
    <mergeCell ref="Q11:S11"/>
    <mergeCell ref="Q14:S14"/>
    <mergeCell ref="K19:P19"/>
    <mergeCell ref="C12:F12"/>
    <mergeCell ref="G12:I12"/>
    <mergeCell ref="J12:L12"/>
    <mergeCell ref="M12:P12"/>
    <mergeCell ref="Q12:S12"/>
    <mergeCell ref="C13:F13"/>
    <mergeCell ref="G13:I13"/>
    <mergeCell ref="J13:L13"/>
    <mergeCell ref="M13:P13"/>
    <mergeCell ref="Q13:S13"/>
    <mergeCell ref="C15:F15"/>
    <mergeCell ref="G15:I15"/>
    <mergeCell ref="J15:L15"/>
    <mergeCell ref="M15:P15"/>
    <mergeCell ref="K20:P20"/>
    <mergeCell ref="K24:P24"/>
    <mergeCell ref="K25:P25"/>
    <mergeCell ref="K26:P26"/>
    <mergeCell ref="C14:F14"/>
    <mergeCell ref="G14:I14"/>
    <mergeCell ref="J14:L14"/>
    <mergeCell ref="M14:P14"/>
    <mergeCell ref="C17:F17"/>
    <mergeCell ref="G17:I17"/>
    <mergeCell ref="J17:L17"/>
    <mergeCell ref="M17:P17"/>
  </mergeCells>
  <pageMargins left="0.56000000000000005" right="0.7" top="0.4" bottom="0.75" header="0.3" footer="0.3"/>
  <pageSetup scale="80"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1"/>
  <sheetViews>
    <sheetView topLeftCell="A9" zoomScale="98" zoomScaleNormal="98" workbookViewId="0">
      <selection activeCell="Z15" sqref="Z15"/>
    </sheetView>
  </sheetViews>
  <sheetFormatPr defaultRowHeight="15" x14ac:dyDescent="0.2"/>
  <cols>
    <col min="1" max="1" width="5.83203125" customWidth="1"/>
    <col min="2" max="4" width="5.83203125" style="1" customWidth="1"/>
    <col min="5" max="8" width="5.83203125" customWidth="1"/>
    <col min="9" max="9" width="8.83203125" customWidth="1"/>
    <col min="10" max="16" width="5.83203125" customWidth="1"/>
    <col min="17" max="17" width="14.1640625" customWidth="1"/>
    <col min="18" max="24" width="5.83203125" customWidth="1"/>
  </cols>
  <sheetData>
    <row r="1" spans="1:17" ht="15" customHeight="1" x14ac:dyDescent="0.2">
      <c r="A1" s="5"/>
      <c r="B1" s="184" t="s">
        <v>3</v>
      </c>
      <c r="C1" s="184"/>
      <c r="D1" s="184"/>
      <c r="E1" s="184"/>
      <c r="F1" s="184"/>
      <c r="G1" s="184"/>
      <c r="H1" s="184"/>
      <c r="I1" s="184"/>
      <c r="J1" s="184"/>
      <c r="K1" s="184"/>
      <c r="L1" s="184"/>
      <c r="M1" s="184"/>
      <c r="N1" s="184"/>
      <c r="O1" s="184"/>
      <c r="P1" s="184"/>
      <c r="Q1" s="184"/>
    </row>
    <row r="2" spans="1:17" ht="15" customHeight="1" x14ac:dyDescent="0.2">
      <c r="A2" s="5"/>
      <c r="B2" s="185" t="s">
        <v>4</v>
      </c>
      <c r="C2" s="185"/>
      <c r="D2" s="185"/>
      <c r="E2" s="185"/>
      <c r="F2" s="185"/>
      <c r="G2" s="185"/>
      <c r="H2" s="185"/>
      <c r="I2" s="185"/>
      <c r="J2" s="185"/>
      <c r="K2" s="185"/>
      <c r="L2" s="185"/>
      <c r="M2" s="185"/>
      <c r="N2" s="185"/>
      <c r="O2" s="185"/>
      <c r="P2" s="185"/>
      <c r="Q2" s="185"/>
    </row>
    <row r="3" spans="1:17" ht="15" customHeight="1" x14ac:dyDescent="0.2">
      <c r="A3" s="5"/>
      <c r="B3" s="186" t="s">
        <v>6</v>
      </c>
      <c r="C3" s="186"/>
      <c r="D3" s="186"/>
      <c r="E3" s="186"/>
      <c r="F3" s="186"/>
      <c r="G3" s="186"/>
      <c r="H3" s="186"/>
      <c r="I3" s="186"/>
      <c r="J3" s="186"/>
      <c r="K3" s="186"/>
      <c r="L3" s="186"/>
      <c r="M3" s="186"/>
      <c r="N3" s="186"/>
      <c r="O3" s="186"/>
      <c r="P3" s="186"/>
      <c r="Q3" s="186"/>
    </row>
    <row r="4" spans="1:17" ht="15" customHeight="1" thickBot="1" x14ac:dyDescent="0.25">
      <c r="A4" s="4"/>
      <c r="B4" s="9"/>
      <c r="C4" s="187" t="s">
        <v>5</v>
      </c>
      <c r="D4" s="187"/>
      <c r="E4" s="187"/>
      <c r="F4" s="187"/>
      <c r="G4" s="187"/>
      <c r="H4" s="187"/>
      <c r="I4" s="187"/>
      <c r="J4" s="187"/>
      <c r="K4" s="187"/>
      <c r="L4" s="187"/>
      <c r="M4" s="187"/>
      <c r="N4" s="187"/>
      <c r="O4" s="187"/>
      <c r="P4" s="187"/>
      <c r="Q4" s="187"/>
    </row>
    <row r="5" spans="1:17" ht="15" customHeight="1" thickTop="1" x14ac:dyDescent="0.2"/>
    <row r="6" spans="1:17" ht="14.25" x14ac:dyDescent="0.2">
      <c r="B6" s="183" t="s">
        <v>19</v>
      </c>
      <c r="C6" s="183"/>
      <c r="D6" s="183"/>
      <c r="E6" s="183"/>
      <c r="F6" s="183"/>
      <c r="G6" s="183"/>
      <c r="H6" s="183"/>
      <c r="I6" s="183"/>
      <c r="J6" s="183"/>
      <c r="K6" s="183"/>
      <c r="L6" s="183"/>
      <c r="M6" s="183"/>
      <c r="N6" s="183"/>
      <c r="O6" s="183"/>
      <c r="P6" s="183"/>
      <c r="Q6" s="183"/>
    </row>
    <row r="7" spans="1:17" ht="15" customHeight="1" x14ac:dyDescent="0.2">
      <c r="A7" s="12"/>
      <c r="B7" s="188" t="s">
        <v>21</v>
      </c>
      <c r="C7" s="188"/>
      <c r="D7" s="188"/>
      <c r="E7" s="188"/>
      <c r="F7" s="188"/>
      <c r="G7" s="188"/>
      <c r="H7" s="188"/>
      <c r="I7" s="188"/>
      <c r="J7" s="188"/>
      <c r="K7" s="188"/>
      <c r="L7" s="188"/>
      <c r="M7" s="188"/>
      <c r="N7" s="188"/>
      <c r="O7" s="188"/>
      <c r="P7" s="188"/>
      <c r="Q7" s="188"/>
    </row>
    <row r="8" spans="1:17" ht="15" customHeight="1" x14ac:dyDescent="0.2">
      <c r="B8"/>
      <c r="C8"/>
      <c r="D8"/>
    </row>
    <row r="9" spans="1:17" ht="30" customHeight="1" x14ac:dyDescent="0.2">
      <c r="B9" s="3" t="s">
        <v>2</v>
      </c>
      <c r="C9" s="209" t="s">
        <v>74</v>
      </c>
      <c r="D9" s="210"/>
      <c r="E9" s="210"/>
      <c r="F9" s="210"/>
      <c r="G9" s="210"/>
      <c r="H9" s="210"/>
      <c r="I9" s="210"/>
      <c r="J9" s="209" t="s">
        <v>22</v>
      </c>
      <c r="K9" s="210"/>
      <c r="L9" s="210"/>
      <c r="M9" s="210"/>
      <c r="N9" s="211"/>
      <c r="O9" s="209" t="s">
        <v>20</v>
      </c>
      <c r="P9" s="210"/>
      <c r="Q9" s="211"/>
    </row>
    <row r="10" spans="1:17" ht="24.95" customHeight="1" x14ac:dyDescent="0.2">
      <c r="B10" s="2">
        <v>1</v>
      </c>
      <c r="C10" s="199" t="s">
        <v>342</v>
      </c>
      <c r="D10" s="200"/>
      <c r="E10" s="200"/>
      <c r="F10" s="200"/>
      <c r="G10" s="200"/>
      <c r="H10" s="200"/>
      <c r="I10" s="200"/>
      <c r="J10" s="191" t="s">
        <v>75</v>
      </c>
      <c r="K10" s="192"/>
      <c r="L10" s="192"/>
      <c r="M10" s="192"/>
      <c r="N10" s="193"/>
      <c r="O10" s="191" t="s">
        <v>81</v>
      </c>
      <c r="P10" s="192"/>
      <c r="Q10" s="193"/>
    </row>
    <row r="11" spans="1:17" ht="24.95" customHeight="1" x14ac:dyDescent="0.2">
      <c r="B11" s="2">
        <v>2</v>
      </c>
      <c r="C11" s="199" t="s">
        <v>342</v>
      </c>
      <c r="D11" s="200"/>
      <c r="E11" s="200"/>
      <c r="F11" s="200"/>
      <c r="G11" s="200"/>
      <c r="H11" s="200"/>
      <c r="I11" s="200"/>
      <c r="J11" s="191" t="s">
        <v>75</v>
      </c>
      <c r="K11" s="192"/>
      <c r="L11" s="192"/>
      <c r="M11" s="192"/>
      <c r="N11" s="193"/>
      <c r="O11" s="191" t="s">
        <v>81</v>
      </c>
      <c r="P11" s="192"/>
      <c r="Q11" s="193"/>
    </row>
    <row r="12" spans="1:17" ht="24.95" customHeight="1" x14ac:dyDescent="0.2">
      <c r="B12" s="2">
        <v>3</v>
      </c>
      <c r="C12" s="199" t="s">
        <v>343</v>
      </c>
      <c r="D12" s="200"/>
      <c r="E12" s="200"/>
      <c r="F12" s="200"/>
      <c r="G12" s="200"/>
      <c r="H12" s="200"/>
      <c r="I12" s="200"/>
      <c r="J12" s="191" t="s">
        <v>75</v>
      </c>
      <c r="K12" s="192"/>
      <c r="L12" s="192"/>
      <c r="M12" s="192"/>
      <c r="N12" s="193"/>
      <c r="O12" s="191" t="s">
        <v>81</v>
      </c>
      <c r="P12" s="192"/>
      <c r="Q12" s="193"/>
    </row>
    <row r="13" spans="1:17" ht="24.95" customHeight="1" x14ac:dyDescent="0.2">
      <c r="B13" s="2">
        <v>4</v>
      </c>
      <c r="C13" s="199" t="s">
        <v>344</v>
      </c>
      <c r="D13" s="200"/>
      <c r="E13" s="200"/>
      <c r="F13" s="200"/>
      <c r="G13" s="200"/>
      <c r="H13" s="200"/>
      <c r="I13" s="200"/>
      <c r="J13" s="191" t="s">
        <v>75</v>
      </c>
      <c r="K13" s="192"/>
      <c r="L13" s="192"/>
      <c r="M13" s="192"/>
      <c r="N13" s="193"/>
      <c r="O13" s="191" t="s">
        <v>81</v>
      </c>
      <c r="P13" s="192"/>
      <c r="Q13" s="193"/>
    </row>
    <row r="14" spans="1:17" ht="24.95" customHeight="1" x14ac:dyDescent="0.2">
      <c r="B14" s="118">
        <v>5</v>
      </c>
      <c r="C14" s="199" t="s">
        <v>1235</v>
      </c>
      <c r="D14" s="200"/>
      <c r="E14" s="200"/>
      <c r="F14" s="200"/>
      <c r="G14" s="200"/>
      <c r="H14" s="200"/>
      <c r="I14" s="200"/>
      <c r="J14" s="191" t="s">
        <v>75</v>
      </c>
      <c r="K14" s="192"/>
      <c r="L14" s="192"/>
      <c r="M14" s="192"/>
      <c r="N14" s="193"/>
      <c r="O14" s="191" t="s">
        <v>81</v>
      </c>
      <c r="P14" s="192"/>
      <c r="Q14" s="193"/>
    </row>
    <row r="15" spans="1:17" ht="24.95" customHeight="1" x14ac:dyDescent="0.2">
      <c r="B15" s="118">
        <v>6</v>
      </c>
      <c r="C15" s="199" t="s">
        <v>346</v>
      </c>
      <c r="D15" s="200"/>
      <c r="E15" s="200"/>
      <c r="F15" s="200"/>
      <c r="G15" s="200"/>
      <c r="H15" s="200"/>
      <c r="I15" s="200"/>
      <c r="J15" s="191" t="s">
        <v>75</v>
      </c>
      <c r="K15" s="192"/>
      <c r="L15" s="192"/>
      <c r="M15" s="192"/>
      <c r="N15" s="193"/>
      <c r="O15" s="191" t="s">
        <v>81</v>
      </c>
      <c r="P15" s="192"/>
      <c r="Q15" s="193"/>
    </row>
    <row r="16" spans="1:17" ht="24.95" customHeight="1" x14ac:dyDescent="0.2">
      <c r="B16" s="118">
        <v>7</v>
      </c>
      <c r="C16" s="199" t="s">
        <v>345</v>
      </c>
      <c r="D16" s="200"/>
      <c r="E16" s="200"/>
      <c r="F16" s="200"/>
      <c r="G16" s="200"/>
      <c r="H16" s="200"/>
      <c r="I16" s="200"/>
      <c r="J16" s="191" t="s">
        <v>389</v>
      </c>
      <c r="K16" s="192"/>
      <c r="L16" s="192"/>
      <c r="M16" s="192"/>
      <c r="N16" s="193"/>
      <c r="O16" s="191" t="s">
        <v>81</v>
      </c>
      <c r="P16" s="192"/>
      <c r="Q16" s="193"/>
    </row>
    <row r="17" spans="2:17" ht="24.95" customHeight="1" x14ac:dyDescent="0.2">
      <c r="B17" s="118">
        <v>8</v>
      </c>
      <c r="C17" s="199" t="s">
        <v>76</v>
      </c>
      <c r="D17" s="200"/>
      <c r="E17" s="200"/>
      <c r="F17" s="200"/>
      <c r="G17" s="200"/>
      <c r="H17" s="200"/>
      <c r="I17" s="200"/>
      <c r="J17" s="191" t="s">
        <v>75</v>
      </c>
      <c r="K17" s="192"/>
      <c r="L17" s="192"/>
      <c r="M17" s="192"/>
      <c r="N17" s="193"/>
      <c r="O17" s="191" t="s">
        <v>81</v>
      </c>
      <c r="P17" s="192"/>
      <c r="Q17" s="193"/>
    </row>
    <row r="18" spans="2:17" ht="24.95" customHeight="1" x14ac:dyDescent="0.2">
      <c r="B18" s="118">
        <v>9</v>
      </c>
      <c r="C18" s="199" t="s">
        <v>77</v>
      </c>
      <c r="D18" s="200"/>
      <c r="E18" s="200"/>
      <c r="F18" s="200"/>
      <c r="G18" s="200"/>
      <c r="H18" s="200"/>
      <c r="I18" s="200"/>
      <c r="J18" s="191" t="s">
        <v>75</v>
      </c>
      <c r="K18" s="192"/>
      <c r="L18" s="192"/>
      <c r="M18" s="192"/>
      <c r="N18" s="193"/>
      <c r="O18" s="191" t="s">
        <v>81</v>
      </c>
      <c r="P18" s="192"/>
      <c r="Q18" s="193"/>
    </row>
    <row r="19" spans="2:17" ht="24.95" customHeight="1" x14ac:dyDescent="0.2">
      <c r="B19" s="118">
        <v>10</v>
      </c>
      <c r="C19" s="199" t="s">
        <v>78</v>
      </c>
      <c r="D19" s="200"/>
      <c r="E19" s="200"/>
      <c r="F19" s="200"/>
      <c r="G19" s="200"/>
      <c r="H19" s="200"/>
      <c r="I19" s="200"/>
      <c r="J19" s="191" t="s">
        <v>75</v>
      </c>
      <c r="K19" s="192"/>
      <c r="L19" s="192"/>
      <c r="M19" s="192"/>
      <c r="N19" s="193"/>
      <c r="O19" s="191" t="s">
        <v>81</v>
      </c>
      <c r="P19" s="192"/>
      <c r="Q19" s="193"/>
    </row>
    <row r="20" spans="2:17" ht="24.95" customHeight="1" x14ac:dyDescent="0.2">
      <c r="B20" s="118">
        <v>11</v>
      </c>
      <c r="C20" s="199" t="s">
        <v>349</v>
      </c>
      <c r="D20" s="200"/>
      <c r="E20" s="200"/>
      <c r="F20" s="200"/>
      <c r="G20" s="200"/>
      <c r="H20" s="200"/>
      <c r="I20" s="200"/>
      <c r="J20" s="191" t="s">
        <v>75</v>
      </c>
      <c r="K20" s="192"/>
      <c r="L20" s="192"/>
      <c r="M20" s="192"/>
      <c r="N20" s="193"/>
      <c r="O20" s="191" t="s">
        <v>81</v>
      </c>
      <c r="P20" s="192"/>
      <c r="Q20" s="193"/>
    </row>
    <row r="21" spans="2:17" ht="24.95" customHeight="1" x14ac:dyDescent="0.2">
      <c r="B21" s="118">
        <v>12</v>
      </c>
      <c r="C21" s="199" t="s">
        <v>79</v>
      </c>
      <c r="D21" s="200"/>
      <c r="E21" s="200"/>
      <c r="F21" s="200"/>
      <c r="G21" s="200"/>
      <c r="H21" s="200"/>
      <c r="I21" s="200"/>
      <c r="J21" s="191" t="s">
        <v>75</v>
      </c>
      <c r="K21" s="192"/>
      <c r="L21" s="192"/>
      <c r="M21" s="192"/>
      <c r="N21" s="193"/>
      <c r="O21" s="191" t="s">
        <v>80</v>
      </c>
      <c r="P21" s="192"/>
      <c r="Q21" s="193"/>
    </row>
    <row r="22" spans="2:17" ht="15" customHeight="1" x14ac:dyDescent="0.2"/>
    <row r="23" spans="2:17" ht="15" customHeight="1" x14ac:dyDescent="0.2"/>
    <row r="24" spans="2:17" ht="15" customHeight="1" x14ac:dyDescent="0.2">
      <c r="L24" s="190" t="s">
        <v>1232</v>
      </c>
      <c r="M24" s="190"/>
      <c r="N24" s="190"/>
      <c r="O24" s="190"/>
      <c r="P24" s="190"/>
      <c r="Q24" s="190"/>
    </row>
    <row r="25" spans="2:17" ht="15" customHeight="1" x14ac:dyDescent="0.2">
      <c r="L25" s="190" t="s">
        <v>29</v>
      </c>
      <c r="M25" s="190"/>
      <c r="N25" s="190"/>
      <c r="O25" s="190"/>
      <c r="P25" s="190"/>
      <c r="Q25" s="190"/>
    </row>
    <row r="26" spans="2:17" ht="15" customHeight="1" x14ac:dyDescent="0.2">
      <c r="L26" s="16"/>
      <c r="M26" s="16"/>
      <c r="N26" s="16"/>
      <c r="O26" s="16"/>
      <c r="P26" s="16"/>
      <c r="Q26" s="16"/>
    </row>
    <row r="27" spans="2:17" x14ac:dyDescent="0.2">
      <c r="L27" s="16"/>
      <c r="M27" s="16"/>
      <c r="N27" s="16"/>
      <c r="O27" s="16"/>
      <c r="P27" s="16"/>
      <c r="Q27" s="16"/>
    </row>
    <row r="28" spans="2:17" x14ac:dyDescent="0.2">
      <c r="L28" s="16"/>
      <c r="M28" s="16"/>
      <c r="N28" s="16"/>
      <c r="O28" s="16"/>
      <c r="P28" s="16"/>
      <c r="Q28" s="16"/>
    </row>
    <row r="29" spans="2:17" x14ac:dyDescent="0.2">
      <c r="L29" s="197" t="s">
        <v>1233</v>
      </c>
      <c r="M29" s="197"/>
      <c r="N29" s="197"/>
      <c r="O29" s="197"/>
      <c r="P29" s="197"/>
      <c r="Q29" s="197"/>
    </row>
    <row r="30" spans="2:17" x14ac:dyDescent="0.2">
      <c r="L30" s="190" t="s">
        <v>30</v>
      </c>
      <c r="M30" s="190"/>
      <c r="N30" s="190"/>
      <c r="O30" s="190"/>
      <c r="P30" s="190"/>
      <c r="Q30" s="190"/>
    </row>
    <row r="31" spans="2:17" x14ac:dyDescent="0.2">
      <c r="L31" s="190" t="s">
        <v>1234</v>
      </c>
      <c r="M31" s="190"/>
      <c r="N31" s="190"/>
      <c r="O31" s="190"/>
      <c r="P31" s="190"/>
      <c r="Q31" s="190"/>
    </row>
  </sheetData>
  <mergeCells count="50">
    <mergeCell ref="O14:Q14"/>
    <mergeCell ref="C12:I12"/>
    <mergeCell ref="C13:I13"/>
    <mergeCell ref="C18:I18"/>
    <mergeCell ref="J12:N12"/>
    <mergeCell ref="J13:N13"/>
    <mergeCell ref="C15:I15"/>
    <mergeCell ref="C16:I16"/>
    <mergeCell ref="C17:I17"/>
    <mergeCell ref="C14:I14"/>
    <mergeCell ref="J14:N14"/>
    <mergeCell ref="B1:Q1"/>
    <mergeCell ref="B2:Q2"/>
    <mergeCell ref="B3:Q3"/>
    <mergeCell ref="C4:Q4"/>
    <mergeCell ref="B7:Q7"/>
    <mergeCell ref="B6:Q6"/>
    <mergeCell ref="C19:I19"/>
    <mergeCell ref="O9:Q9"/>
    <mergeCell ref="O10:Q10"/>
    <mergeCell ref="O15:Q15"/>
    <mergeCell ref="O16:Q16"/>
    <mergeCell ref="O17:Q17"/>
    <mergeCell ref="O11:Q11"/>
    <mergeCell ref="O12:Q12"/>
    <mergeCell ref="O13:Q13"/>
    <mergeCell ref="C9:I9"/>
    <mergeCell ref="C10:I10"/>
    <mergeCell ref="O18:Q18"/>
    <mergeCell ref="O19:Q19"/>
    <mergeCell ref="J9:N9"/>
    <mergeCell ref="C11:I11"/>
    <mergeCell ref="J11:N11"/>
    <mergeCell ref="J10:N10"/>
    <mergeCell ref="J15:N15"/>
    <mergeCell ref="J16:N16"/>
    <mergeCell ref="J17:N17"/>
    <mergeCell ref="J18:N18"/>
    <mergeCell ref="J19:N19"/>
    <mergeCell ref="J21:N21"/>
    <mergeCell ref="L24:Q24"/>
    <mergeCell ref="L25:Q25"/>
    <mergeCell ref="L29:Q29"/>
    <mergeCell ref="O21:Q21"/>
    <mergeCell ref="C20:I20"/>
    <mergeCell ref="J20:N20"/>
    <mergeCell ref="O20:Q20"/>
    <mergeCell ref="L30:Q30"/>
    <mergeCell ref="L31:Q31"/>
    <mergeCell ref="C21:I21"/>
  </mergeCells>
  <phoneticPr fontId="25" type="noConversion"/>
  <pageMargins left="0.49" right="0.7" top="0.75" bottom="0.75" header="0.3" footer="0.3"/>
  <pageSetup paperSize="5" scale="95"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R23"/>
  <sheetViews>
    <sheetView workbookViewId="0">
      <selection activeCell="W12" sqref="W12"/>
    </sheetView>
  </sheetViews>
  <sheetFormatPr defaultRowHeight="12.75" x14ac:dyDescent="0.2"/>
  <cols>
    <col min="2" max="17" width="5.83203125" customWidth="1"/>
    <col min="18" max="18" width="14.5" customWidth="1"/>
  </cols>
  <sheetData>
    <row r="2" spans="2:18" ht="17.25" x14ac:dyDescent="0.2">
      <c r="B2" s="5"/>
      <c r="C2" s="184" t="s">
        <v>3</v>
      </c>
      <c r="D2" s="184"/>
      <c r="E2" s="184"/>
      <c r="F2" s="184"/>
      <c r="G2" s="184"/>
      <c r="H2" s="184"/>
      <c r="I2" s="184"/>
      <c r="J2" s="184"/>
      <c r="K2" s="184"/>
      <c r="L2" s="184"/>
      <c r="M2" s="184"/>
      <c r="N2" s="184"/>
      <c r="O2" s="184"/>
      <c r="P2" s="184"/>
      <c r="Q2" s="184"/>
      <c r="R2" s="184"/>
    </row>
    <row r="3" spans="2:18" ht="23.25" x14ac:dyDescent="0.2">
      <c r="B3" s="5"/>
      <c r="C3" s="185" t="s">
        <v>4</v>
      </c>
      <c r="D3" s="185"/>
      <c r="E3" s="185"/>
      <c r="F3" s="185"/>
      <c r="G3" s="185"/>
      <c r="H3" s="185"/>
      <c r="I3" s="185"/>
      <c r="J3" s="185"/>
      <c r="K3" s="185"/>
      <c r="L3" s="185"/>
      <c r="M3" s="185"/>
      <c r="N3" s="185"/>
      <c r="O3" s="185"/>
      <c r="P3" s="185"/>
      <c r="Q3" s="185"/>
      <c r="R3" s="185"/>
    </row>
    <row r="4" spans="2:18" ht="14.25" x14ac:dyDescent="0.2">
      <c r="B4" s="5"/>
      <c r="C4" s="186" t="s">
        <v>6</v>
      </c>
      <c r="D4" s="186"/>
      <c r="E4" s="186"/>
      <c r="F4" s="186"/>
      <c r="G4" s="186"/>
      <c r="H4" s="186"/>
      <c r="I4" s="186"/>
      <c r="J4" s="186"/>
      <c r="K4" s="186"/>
      <c r="L4" s="186"/>
      <c r="M4" s="186"/>
      <c r="N4" s="186"/>
      <c r="O4" s="186"/>
      <c r="P4" s="186"/>
      <c r="Q4" s="186"/>
      <c r="R4" s="186"/>
    </row>
    <row r="5" spans="2:18" ht="16.5" thickBot="1" x14ac:dyDescent="0.25">
      <c r="B5" s="4"/>
      <c r="C5" s="9"/>
      <c r="D5" s="187" t="s">
        <v>5</v>
      </c>
      <c r="E5" s="187"/>
      <c r="F5" s="187"/>
      <c r="G5" s="187"/>
      <c r="H5" s="187"/>
      <c r="I5" s="187"/>
      <c r="J5" s="187"/>
      <c r="K5" s="187"/>
      <c r="L5" s="187"/>
      <c r="M5" s="187"/>
      <c r="N5" s="187"/>
      <c r="O5" s="187"/>
      <c r="P5" s="187"/>
      <c r="Q5" s="187"/>
      <c r="R5" s="187"/>
    </row>
    <row r="6" spans="2:18" ht="15.75" thickTop="1" x14ac:dyDescent="0.2">
      <c r="C6" s="1"/>
      <c r="D6" s="1"/>
      <c r="E6" s="1"/>
    </row>
    <row r="7" spans="2:18" ht="27" customHeight="1" x14ac:dyDescent="0.2">
      <c r="B7" s="188" t="s">
        <v>23</v>
      </c>
      <c r="C7" s="188"/>
      <c r="D7" s="188"/>
      <c r="E7" s="188"/>
      <c r="F7" s="188"/>
      <c r="G7" s="188"/>
      <c r="H7" s="188"/>
      <c r="I7" s="188"/>
      <c r="J7" s="188"/>
      <c r="K7" s="188"/>
      <c r="L7" s="188"/>
      <c r="M7" s="188"/>
      <c r="N7" s="188"/>
      <c r="O7" s="188"/>
      <c r="P7" s="188"/>
      <c r="Q7" s="188"/>
      <c r="R7" s="188"/>
    </row>
    <row r="8" spans="2:18" ht="14.25" x14ac:dyDescent="0.2">
      <c r="B8" s="12"/>
      <c r="C8" s="188" t="s">
        <v>21</v>
      </c>
      <c r="D8" s="188"/>
      <c r="E8" s="188"/>
      <c r="F8" s="188"/>
      <c r="G8" s="188"/>
      <c r="H8" s="188"/>
      <c r="I8" s="188"/>
      <c r="J8" s="188"/>
      <c r="K8" s="188"/>
      <c r="L8" s="188"/>
      <c r="M8" s="188"/>
      <c r="N8" s="188"/>
      <c r="O8" s="188"/>
      <c r="P8" s="188"/>
      <c r="Q8" s="188"/>
      <c r="R8" s="188"/>
    </row>
    <row r="10" spans="2:18" ht="14.25" x14ac:dyDescent="0.2">
      <c r="B10" s="14"/>
      <c r="C10" s="14"/>
      <c r="D10" s="14"/>
      <c r="E10" s="14"/>
      <c r="F10" s="14"/>
      <c r="G10" s="14"/>
      <c r="H10" s="14"/>
      <c r="I10" s="14"/>
      <c r="J10" s="14"/>
      <c r="K10" s="14"/>
      <c r="L10" s="14"/>
      <c r="M10" s="14"/>
      <c r="N10" s="14"/>
      <c r="O10" s="14"/>
      <c r="P10" s="14"/>
      <c r="Q10" s="14"/>
      <c r="R10" s="14"/>
    </row>
    <row r="11" spans="2:18" s="18" customFormat="1" ht="24.95" customHeight="1" x14ac:dyDescent="0.2">
      <c r="B11" s="13" t="s">
        <v>2</v>
      </c>
      <c r="C11" s="205" t="s">
        <v>24</v>
      </c>
      <c r="D11" s="205"/>
      <c r="E11" s="205"/>
      <c r="F11" s="205"/>
      <c r="G11" s="205"/>
      <c r="H11" s="205"/>
      <c r="I11" s="205" t="s">
        <v>25</v>
      </c>
      <c r="J11" s="205"/>
      <c r="K11" s="205"/>
      <c r="L11" s="205"/>
      <c r="M11" s="205"/>
      <c r="N11" s="205" t="s">
        <v>26</v>
      </c>
      <c r="O11" s="205"/>
      <c r="P11" s="205"/>
      <c r="Q11" s="205"/>
      <c r="R11" s="205"/>
    </row>
    <row r="12" spans="2:18" s="17" customFormat="1" ht="35.1" customHeight="1" x14ac:dyDescent="0.2">
      <c r="B12" s="2">
        <v>1</v>
      </c>
      <c r="C12" s="212" t="s">
        <v>27</v>
      </c>
      <c r="D12" s="212"/>
      <c r="E12" s="212"/>
      <c r="F12" s="212"/>
      <c r="G12" s="212"/>
      <c r="H12" s="212"/>
      <c r="I12" s="212">
        <v>1</v>
      </c>
      <c r="J12" s="212"/>
      <c r="K12" s="212"/>
      <c r="L12" s="212"/>
      <c r="M12" s="212"/>
      <c r="N12" s="212" t="s">
        <v>28</v>
      </c>
      <c r="O12" s="212"/>
      <c r="P12" s="212"/>
      <c r="Q12" s="212"/>
      <c r="R12" s="212"/>
    </row>
    <row r="13" spans="2:18" ht="15" x14ac:dyDescent="0.2">
      <c r="B13" s="15"/>
      <c r="C13" s="15"/>
      <c r="D13" s="16"/>
      <c r="E13" s="16"/>
      <c r="F13" s="16"/>
      <c r="G13" s="16"/>
      <c r="H13" s="16"/>
      <c r="I13" s="16"/>
      <c r="J13" s="16"/>
      <c r="K13" s="16"/>
      <c r="L13" s="16"/>
      <c r="M13" s="16"/>
      <c r="N13" s="16"/>
      <c r="O13" s="16"/>
      <c r="P13" s="16"/>
      <c r="Q13" s="16"/>
      <c r="R13" s="16"/>
    </row>
    <row r="14" spans="2:18" ht="15" x14ac:dyDescent="0.2">
      <c r="B14" s="15"/>
      <c r="C14" s="15"/>
      <c r="D14" s="16"/>
      <c r="E14" s="16"/>
      <c r="F14" s="16"/>
      <c r="G14" s="16"/>
      <c r="H14" s="16"/>
      <c r="I14" s="16"/>
      <c r="J14" s="16"/>
      <c r="K14" s="16"/>
      <c r="L14" s="16"/>
      <c r="M14" s="16"/>
      <c r="N14" s="16"/>
      <c r="O14" s="16"/>
      <c r="P14" s="16"/>
      <c r="Q14" s="16"/>
      <c r="R14" s="16"/>
    </row>
    <row r="15" spans="2:18" ht="15" x14ac:dyDescent="0.2">
      <c r="B15" s="15"/>
      <c r="C15" s="15"/>
      <c r="D15" s="16"/>
      <c r="E15" s="16"/>
      <c r="F15" s="16"/>
      <c r="G15" s="16"/>
      <c r="H15" s="16"/>
      <c r="I15" s="16"/>
      <c r="J15" s="16"/>
      <c r="K15" s="16"/>
      <c r="L15" s="16"/>
      <c r="M15" s="16"/>
      <c r="N15" s="16"/>
      <c r="O15" s="16"/>
      <c r="P15" s="16"/>
      <c r="Q15" s="16"/>
      <c r="R15" s="16"/>
    </row>
    <row r="16" spans="2:18" ht="15" x14ac:dyDescent="0.2">
      <c r="B16" s="15"/>
      <c r="C16" s="15"/>
      <c r="D16" s="16"/>
      <c r="E16" s="16"/>
      <c r="F16" s="16"/>
      <c r="G16" s="16"/>
      <c r="H16" s="16"/>
      <c r="I16" s="16"/>
      <c r="J16" s="16"/>
      <c r="K16" s="16"/>
      <c r="L16" s="16"/>
      <c r="M16" s="190" t="s">
        <v>1232</v>
      </c>
      <c r="N16" s="190"/>
      <c r="O16" s="190"/>
      <c r="P16" s="190"/>
      <c r="Q16" s="190"/>
      <c r="R16" s="190"/>
    </row>
    <row r="17" spans="2:18" ht="15" x14ac:dyDescent="0.2">
      <c r="B17" s="15"/>
      <c r="C17" s="15"/>
      <c r="D17" s="16"/>
      <c r="E17" s="16"/>
      <c r="F17" s="16"/>
      <c r="G17" s="16"/>
      <c r="H17" s="16"/>
      <c r="I17" s="16"/>
      <c r="J17" s="16"/>
      <c r="K17" s="16"/>
      <c r="L17" s="16"/>
      <c r="M17" s="190" t="s">
        <v>29</v>
      </c>
      <c r="N17" s="190"/>
      <c r="O17" s="190"/>
      <c r="P17" s="190"/>
      <c r="Q17" s="190"/>
      <c r="R17" s="190"/>
    </row>
    <row r="18" spans="2:18" ht="15" x14ac:dyDescent="0.2">
      <c r="B18" s="15"/>
      <c r="C18" s="15"/>
      <c r="D18" s="16"/>
      <c r="E18" s="16"/>
      <c r="F18" s="16"/>
      <c r="G18" s="16"/>
      <c r="H18" s="16"/>
      <c r="I18" s="16"/>
      <c r="J18" s="16"/>
      <c r="K18" s="16"/>
      <c r="L18" s="16"/>
      <c r="M18" s="16"/>
      <c r="N18" s="16"/>
      <c r="O18" s="16"/>
      <c r="P18" s="16"/>
      <c r="Q18" s="16"/>
      <c r="R18" s="16"/>
    </row>
    <row r="19" spans="2:18" ht="15" x14ac:dyDescent="0.2">
      <c r="B19" s="15"/>
      <c r="C19" s="15"/>
      <c r="D19" s="16"/>
      <c r="E19" s="16"/>
      <c r="F19" s="16"/>
      <c r="G19" s="16"/>
      <c r="H19" s="16"/>
      <c r="I19" s="16"/>
      <c r="J19" s="16"/>
      <c r="K19" s="16"/>
      <c r="L19" s="16"/>
      <c r="M19" s="16"/>
      <c r="N19" s="16"/>
      <c r="O19" s="16"/>
      <c r="P19" s="16"/>
      <c r="Q19" s="16"/>
      <c r="R19" s="16"/>
    </row>
    <row r="20" spans="2:18" ht="15" x14ac:dyDescent="0.2">
      <c r="B20" s="15"/>
      <c r="C20" s="15"/>
      <c r="D20" s="16"/>
      <c r="E20" s="16"/>
      <c r="F20" s="16"/>
      <c r="G20" s="16"/>
      <c r="H20" s="16"/>
      <c r="I20" s="16"/>
      <c r="J20" s="16"/>
      <c r="K20" s="16"/>
      <c r="L20" s="16"/>
      <c r="M20" s="16"/>
      <c r="N20" s="16"/>
      <c r="O20" s="16"/>
      <c r="P20" s="16"/>
      <c r="Q20" s="16"/>
      <c r="R20" s="16"/>
    </row>
    <row r="21" spans="2:18" ht="15" x14ac:dyDescent="0.2">
      <c r="B21" s="15"/>
      <c r="C21" s="15"/>
      <c r="D21" s="16"/>
      <c r="E21" s="16"/>
      <c r="F21" s="16"/>
      <c r="G21" s="16"/>
      <c r="H21" s="16"/>
      <c r="I21" s="16"/>
      <c r="J21" s="16"/>
      <c r="K21" s="16"/>
      <c r="L21" s="16"/>
      <c r="M21" s="197" t="s">
        <v>1233</v>
      </c>
      <c r="N21" s="197"/>
      <c r="O21" s="197"/>
      <c r="P21" s="197"/>
      <c r="Q21" s="197"/>
      <c r="R21" s="197"/>
    </row>
    <row r="22" spans="2:18" ht="15" x14ac:dyDescent="0.2">
      <c r="B22" s="15"/>
      <c r="C22" s="15"/>
      <c r="D22" s="16"/>
      <c r="E22" s="16"/>
      <c r="F22" s="16"/>
      <c r="G22" s="16"/>
      <c r="H22" s="16"/>
      <c r="I22" s="16"/>
      <c r="J22" s="16"/>
      <c r="K22" s="16"/>
      <c r="L22" s="16"/>
      <c r="M22" s="190" t="s">
        <v>30</v>
      </c>
      <c r="N22" s="190"/>
      <c r="O22" s="190"/>
      <c r="P22" s="190"/>
      <c r="Q22" s="190"/>
      <c r="R22" s="190"/>
    </row>
    <row r="23" spans="2:18" ht="15" x14ac:dyDescent="0.2">
      <c r="M23" s="190" t="s">
        <v>1234</v>
      </c>
      <c r="N23" s="190"/>
      <c r="O23" s="190"/>
      <c r="P23" s="190"/>
      <c r="Q23" s="190"/>
      <c r="R23" s="190"/>
    </row>
  </sheetData>
  <mergeCells count="17">
    <mergeCell ref="C8:R8"/>
    <mergeCell ref="C2:R2"/>
    <mergeCell ref="C3:R3"/>
    <mergeCell ref="C4:R4"/>
    <mergeCell ref="D5:R5"/>
    <mergeCell ref="B7:R7"/>
    <mergeCell ref="M22:R22"/>
    <mergeCell ref="M23:R23"/>
    <mergeCell ref="M16:R16"/>
    <mergeCell ref="M17:R17"/>
    <mergeCell ref="C11:H11"/>
    <mergeCell ref="I11:M11"/>
    <mergeCell ref="N11:R11"/>
    <mergeCell ref="C12:H12"/>
    <mergeCell ref="I12:M12"/>
    <mergeCell ref="N12:R12"/>
    <mergeCell ref="M21:R21"/>
  </mergeCells>
  <pageMargins left="0.7" right="0.7" top="0.75" bottom="0.75"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566"/>
  <sheetViews>
    <sheetView topLeftCell="A4" zoomScaleNormal="100" workbookViewId="0">
      <selection activeCell="W12" sqref="W12"/>
    </sheetView>
  </sheetViews>
  <sheetFormatPr defaultRowHeight="15" x14ac:dyDescent="0.25"/>
  <cols>
    <col min="1" max="1" width="7" style="54" customWidth="1"/>
    <col min="2" max="2" width="10.6640625" style="20" customWidth="1"/>
    <col min="3" max="3" width="6.5" style="20" customWidth="1"/>
    <col min="4" max="4" width="3.33203125" style="20" customWidth="1"/>
    <col min="5" max="5" width="7" style="20" customWidth="1"/>
    <col min="6" max="6" width="4.5" style="20" customWidth="1"/>
    <col min="7" max="7" width="13" style="20" customWidth="1"/>
    <col min="8" max="8" width="33.1640625" style="20" customWidth="1"/>
    <col min="9" max="9" width="5.1640625" style="20" customWidth="1"/>
    <col min="10" max="10" width="3.6640625" style="20" customWidth="1"/>
    <col min="11" max="11" width="5.33203125" style="20" customWidth="1"/>
    <col min="12" max="12" width="4.5" style="20" customWidth="1"/>
    <col min="13" max="13" width="4.33203125" style="20" customWidth="1"/>
    <col min="14" max="14" width="4.1640625" style="20" customWidth="1"/>
    <col min="15" max="15" width="3.33203125" style="20" customWidth="1"/>
    <col min="16" max="16" width="4.6640625" style="20" customWidth="1"/>
    <col min="17" max="17" width="1.83203125" style="55" customWidth="1"/>
    <col min="18" max="18" width="14.33203125" style="20" customWidth="1"/>
    <col min="19" max="19" width="9.5" style="56" customWidth="1"/>
    <col min="20" max="16384" width="9.33203125" style="20"/>
  </cols>
  <sheetData>
    <row r="1" spans="1:20" ht="17.25" customHeight="1" x14ac:dyDescent="0.25">
      <c r="A1" s="5"/>
      <c r="B1" s="184" t="s">
        <v>3</v>
      </c>
      <c r="C1" s="184"/>
      <c r="D1" s="184"/>
      <c r="E1" s="184"/>
      <c r="F1" s="184"/>
      <c r="G1" s="184"/>
      <c r="H1" s="184"/>
      <c r="I1" s="184"/>
      <c r="J1" s="184"/>
      <c r="K1" s="184"/>
      <c r="L1" s="184"/>
      <c r="M1" s="184"/>
      <c r="N1" s="184"/>
      <c r="O1" s="184"/>
      <c r="P1" s="184"/>
      <c r="Q1" s="184"/>
      <c r="R1" s="184"/>
      <c r="S1" s="184"/>
    </row>
    <row r="2" spans="1:20" ht="23.25" x14ac:dyDescent="0.25">
      <c r="A2" s="5"/>
      <c r="B2" s="185" t="s">
        <v>4</v>
      </c>
      <c r="C2" s="185"/>
      <c r="D2" s="185"/>
      <c r="E2" s="185"/>
      <c r="F2" s="185"/>
      <c r="G2" s="185"/>
      <c r="H2" s="185"/>
      <c r="I2" s="185"/>
      <c r="J2" s="185"/>
      <c r="K2" s="185"/>
      <c r="L2" s="185"/>
      <c r="M2" s="185"/>
      <c r="N2" s="185"/>
      <c r="O2" s="185"/>
      <c r="P2" s="185"/>
      <c r="Q2" s="185"/>
      <c r="R2" s="185"/>
      <c r="S2" s="185"/>
    </row>
    <row r="3" spans="1:20" x14ac:dyDescent="0.25">
      <c r="A3" s="5"/>
      <c r="B3" s="186" t="s">
        <v>6</v>
      </c>
      <c r="C3" s="186"/>
      <c r="D3" s="186"/>
      <c r="E3" s="186"/>
      <c r="F3" s="186"/>
      <c r="G3" s="186"/>
      <c r="H3" s="186"/>
      <c r="I3" s="186"/>
      <c r="J3" s="186"/>
      <c r="K3" s="186"/>
      <c r="L3" s="186"/>
      <c r="M3" s="186"/>
      <c r="N3" s="186"/>
      <c r="O3" s="186"/>
      <c r="P3" s="186"/>
      <c r="Q3" s="186"/>
      <c r="R3" s="186"/>
      <c r="S3" s="186"/>
    </row>
    <row r="4" spans="1:20" ht="16.5" thickBot="1" x14ac:dyDescent="0.3">
      <c r="A4" s="4"/>
      <c r="B4" s="187" t="s">
        <v>5</v>
      </c>
      <c r="C4" s="187"/>
      <c r="D4" s="187"/>
      <c r="E4" s="187"/>
      <c r="F4" s="187"/>
      <c r="G4" s="187"/>
      <c r="H4" s="187"/>
      <c r="I4" s="187"/>
      <c r="J4" s="187"/>
      <c r="K4" s="187"/>
      <c r="L4" s="187"/>
      <c r="M4" s="187"/>
      <c r="N4" s="187"/>
      <c r="O4" s="187"/>
      <c r="P4" s="187"/>
      <c r="Q4" s="187"/>
      <c r="R4" s="187"/>
      <c r="S4" s="187"/>
    </row>
    <row r="5" spans="1:20" ht="15.75" thickTop="1" x14ac:dyDescent="0.25">
      <c r="A5"/>
      <c r="B5" s="1"/>
      <c r="C5" s="1"/>
      <c r="D5" s="1"/>
      <c r="E5"/>
      <c r="F5"/>
      <c r="G5"/>
      <c r="H5"/>
      <c r="I5"/>
      <c r="J5"/>
      <c r="K5"/>
      <c r="L5"/>
      <c r="M5"/>
      <c r="N5"/>
      <c r="O5"/>
      <c r="P5"/>
    </row>
    <row r="6" spans="1:20" ht="14.25" customHeight="1" x14ac:dyDescent="0.25">
      <c r="A6" s="188" t="s">
        <v>56</v>
      </c>
      <c r="B6" s="188"/>
      <c r="C6" s="188"/>
      <c r="D6" s="188"/>
      <c r="E6" s="188"/>
      <c r="F6" s="188"/>
      <c r="G6" s="188"/>
      <c r="H6" s="188"/>
      <c r="I6" s="188"/>
      <c r="J6" s="188"/>
      <c r="K6" s="188"/>
      <c r="L6" s="188"/>
      <c r="M6" s="188"/>
      <c r="N6" s="188"/>
      <c r="O6" s="188"/>
      <c r="P6" s="188"/>
      <c r="Q6" s="188"/>
      <c r="R6" s="188"/>
      <c r="S6" s="188"/>
    </row>
    <row r="7" spans="1:20" ht="14.25" customHeight="1" x14ac:dyDescent="0.25">
      <c r="A7" s="188" t="s">
        <v>57</v>
      </c>
      <c r="B7" s="188"/>
      <c r="C7" s="188"/>
      <c r="D7" s="188"/>
      <c r="E7" s="188"/>
      <c r="F7" s="188"/>
      <c r="G7" s="188"/>
      <c r="H7" s="188"/>
      <c r="I7" s="188"/>
      <c r="J7" s="188"/>
      <c r="K7" s="188"/>
      <c r="L7" s="188"/>
      <c r="M7" s="188"/>
      <c r="N7" s="188"/>
      <c r="O7" s="188"/>
      <c r="P7" s="188"/>
      <c r="Q7" s="188"/>
      <c r="R7" s="188"/>
      <c r="S7" s="188"/>
    </row>
    <row r="8" spans="1:20" ht="15" customHeight="1" x14ac:dyDescent="0.25">
      <c r="A8" s="12"/>
      <c r="B8" s="188" t="s">
        <v>21</v>
      </c>
      <c r="C8" s="188"/>
      <c r="D8" s="188"/>
      <c r="E8" s="188"/>
      <c r="F8" s="188"/>
      <c r="G8" s="188"/>
      <c r="H8" s="188"/>
      <c r="I8" s="188"/>
      <c r="J8" s="188"/>
      <c r="K8" s="188"/>
      <c r="L8" s="188"/>
      <c r="M8" s="188"/>
      <c r="N8" s="188"/>
      <c r="O8" s="188"/>
      <c r="P8" s="188"/>
      <c r="Q8" s="188"/>
      <c r="R8" s="188"/>
      <c r="S8" s="188"/>
    </row>
    <row r="10" spans="1:20" x14ac:dyDescent="0.25">
      <c r="B10" s="225" t="s">
        <v>392</v>
      </c>
      <c r="C10" s="225"/>
      <c r="D10" s="225"/>
      <c r="E10" s="225"/>
      <c r="F10" s="225"/>
      <c r="G10" s="225"/>
      <c r="H10" s="225"/>
      <c r="I10" s="225"/>
      <c r="J10" s="225"/>
      <c r="K10" s="225"/>
      <c r="L10" s="225"/>
      <c r="M10" s="225"/>
      <c r="N10" s="225"/>
      <c r="O10" s="225"/>
      <c r="P10" s="225"/>
      <c r="Q10" s="225"/>
      <c r="R10" s="225"/>
      <c r="S10" s="225"/>
    </row>
    <row r="11" spans="1:20" ht="17.25" customHeight="1" x14ac:dyDescent="0.25"/>
    <row r="12" spans="1:20" ht="16.5" customHeight="1" x14ac:dyDescent="0.25">
      <c r="A12" s="242" t="s">
        <v>2</v>
      </c>
      <c r="B12" s="242" t="s">
        <v>31</v>
      </c>
      <c r="C12" s="244" t="s">
        <v>32</v>
      </c>
      <c r="D12" s="245"/>
      <c r="E12" s="245"/>
      <c r="F12" s="246"/>
      <c r="G12" s="57" t="s">
        <v>33</v>
      </c>
      <c r="H12" s="250" t="s">
        <v>34</v>
      </c>
      <c r="I12" s="252" t="s">
        <v>35</v>
      </c>
      <c r="J12" s="252" t="s">
        <v>36</v>
      </c>
      <c r="K12" s="232" t="s">
        <v>37</v>
      </c>
      <c r="L12" s="233"/>
      <c r="M12" s="232" t="s">
        <v>20</v>
      </c>
      <c r="N12" s="233"/>
      <c r="O12" s="234" t="s">
        <v>38</v>
      </c>
      <c r="P12" s="235"/>
      <c r="Q12" s="235"/>
      <c r="R12" s="236"/>
      <c r="S12" s="240" t="s">
        <v>39</v>
      </c>
    </row>
    <row r="13" spans="1:20" ht="39" customHeight="1" x14ac:dyDescent="0.25">
      <c r="A13" s="243"/>
      <c r="B13" s="243"/>
      <c r="C13" s="247"/>
      <c r="D13" s="248"/>
      <c r="E13" s="248"/>
      <c r="F13" s="249"/>
      <c r="G13" s="58" t="s">
        <v>40</v>
      </c>
      <c r="H13" s="251"/>
      <c r="I13" s="253"/>
      <c r="J13" s="253"/>
      <c r="K13" s="59" t="s">
        <v>41</v>
      </c>
      <c r="L13" s="91" t="s">
        <v>42</v>
      </c>
      <c r="M13" s="60" t="s">
        <v>43</v>
      </c>
      <c r="N13" s="60" t="s">
        <v>44</v>
      </c>
      <c r="O13" s="237"/>
      <c r="P13" s="238"/>
      <c r="Q13" s="238"/>
      <c r="R13" s="239"/>
      <c r="S13" s="241"/>
    </row>
    <row r="14" spans="1:20" s="29" customFormat="1" ht="154.5" customHeight="1" x14ac:dyDescent="0.2">
      <c r="A14" s="21">
        <v>1</v>
      </c>
      <c r="B14" s="22" t="s">
        <v>393</v>
      </c>
      <c r="C14" s="213" t="s">
        <v>394</v>
      </c>
      <c r="D14" s="214"/>
      <c r="E14" s="214"/>
      <c r="F14" s="215"/>
      <c r="G14" s="23" t="s">
        <v>396</v>
      </c>
      <c r="H14" s="24" t="s">
        <v>395</v>
      </c>
      <c r="I14" s="25">
        <v>1</v>
      </c>
      <c r="J14" s="25">
        <v>0</v>
      </c>
      <c r="K14" s="25">
        <v>0</v>
      </c>
      <c r="L14" s="26">
        <v>0</v>
      </c>
      <c r="M14" s="27">
        <v>0</v>
      </c>
      <c r="N14" s="27">
        <v>0</v>
      </c>
      <c r="O14" s="219" t="s">
        <v>727</v>
      </c>
      <c r="P14" s="220"/>
      <c r="Q14" s="220"/>
      <c r="R14" s="221"/>
      <c r="S14" s="28" t="s">
        <v>52</v>
      </c>
      <c r="T14" s="112">
        <v>1</v>
      </c>
    </row>
    <row r="15" spans="1:20" s="33" customFormat="1" ht="150" customHeight="1" x14ac:dyDescent="0.25">
      <c r="A15" s="30">
        <v>2</v>
      </c>
      <c r="B15" s="22" t="s">
        <v>397</v>
      </c>
      <c r="C15" s="213" t="s">
        <v>398</v>
      </c>
      <c r="D15" s="214"/>
      <c r="E15" s="214"/>
      <c r="F15" s="215"/>
      <c r="G15" s="31" t="s">
        <v>400</v>
      </c>
      <c r="H15" s="24" t="s">
        <v>399</v>
      </c>
      <c r="I15" s="32">
        <v>1</v>
      </c>
      <c r="J15" s="32">
        <v>0</v>
      </c>
      <c r="K15" s="32">
        <v>0</v>
      </c>
      <c r="L15" s="32">
        <v>0</v>
      </c>
      <c r="M15" s="32">
        <v>0</v>
      </c>
      <c r="N15" s="32">
        <v>0</v>
      </c>
      <c r="O15" s="216" t="s">
        <v>728</v>
      </c>
      <c r="P15" s="217"/>
      <c r="Q15" s="217"/>
      <c r="R15" s="218"/>
      <c r="S15" s="28" t="s">
        <v>48</v>
      </c>
      <c r="T15" s="113">
        <v>2</v>
      </c>
    </row>
    <row r="16" spans="1:20" s="33" customFormat="1" ht="132" x14ac:dyDescent="0.25">
      <c r="A16" s="21">
        <v>3</v>
      </c>
      <c r="B16" s="24" t="s">
        <v>401</v>
      </c>
      <c r="C16" s="213" t="s">
        <v>402</v>
      </c>
      <c r="D16" s="214"/>
      <c r="E16" s="214"/>
      <c r="F16" s="215"/>
      <c r="G16" s="34" t="s">
        <v>404</v>
      </c>
      <c r="H16" s="24" t="s">
        <v>403</v>
      </c>
      <c r="I16" s="32">
        <v>1</v>
      </c>
      <c r="J16" s="32">
        <v>0</v>
      </c>
      <c r="K16" s="32">
        <v>0</v>
      </c>
      <c r="L16" s="32">
        <v>0</v>
      </c>
      <c r="M16" s="32">
        <v>0</v>
      </c>
      <c r="N16" s="32">
        <v>0</v>
      </c>
      <c r="O16" s="216" t="s">
        <v>729</v>
      </c>
      <c r="P16" s="217"/>
      <c r="Q16" s="217"/>
      <c r="R16" s="218"/>
      <c r="S16" s="28" t="s">
        <v>52</v>
      </c>
      <c r="T16" s="112">
        <v>3</v>
      </c>
    </row>
    <row r="17" spans="1:20" s="33" customFormat="1" ht="121.5" customHeight="1" x14ac:dyDescent="0.25">
      <c r="A17" s="30">
        <v>4</v>
      </c>
      <c r="B17" s="24" t="s">
        <v>401</v>
      </c>
      <c r="C17" s="213" t="s">
        <v>405</v>
      </c>
      <c r="D17" s="214"/>
      <c r="E17" s="214"/>
      <c r="F17" s="215"/>
      <c r="G17" s="31" t="s">
        <v>407</v>
      </c>
      <c r="H17" s="24" t="s">
        <v>406</v>
      </c>
      <c r="I17" s="32">
        <v>1</v>
      </c>
      <c r="J17" s="32">
        <v>0</v>
      </c>
      <c r="K17" s="32">
        <v>0</v>
      </c>
      <c r="L17" s="32">
        <v>0</v>
      </c>
      <c r="M17" s="32">
        <v>0</v>
      </c>
      <c r="N17" s="32">
        <v>0</v>
      </c>
      <c r="O17" s="216" t="s">
        <v>730</v>
      </c>
      <c r="P17" s="217"/>
      <c r="Q17" s="217"/>
      <c r="R17" s="218"/>
      <c r="S17" s="28" t="s">
        <v>47</v>
      </c>
      <c r="T17" s="113">
        <v>4</v>
      </c>
    </row>
    <row r="18" spans="1:20" s="33" customFormat="1" ht="151.5" customHeight="1" x14ac:dyDescent="0.25">
      <c r="A18" s="21">
        <v>5</v>
      </c>
      <c r="B18" s="22" t="s">
        <v>408</v>
      </c>
      <c r="C18" s="213" t="s">
        <v>409</v>
      </c>
      <c r="D18" s="214"/>
      <c r="E18" s="214"/>
      <c r="F18" s="215"/>
      <c r="G18" s="31" t="s">
        <v>411</v>
      </c>
      <c r="H18" s="24" t="s">
        <v>410</v>
      </c>
      <c r="I18" s="32">
        <v>1</v>
      </c>
      <c r="J18" s="32">
        <v>0</v>
      </c>
      <c r="K18" s="32">
        <v>0</v>
      </c>
      <c r="L18" s="32">
        <v>0</v>
      </c>
      <c r="M18" s="32">
        <v>0</v>
      </c>
      <c r="N18" s="32">
        <v>0</v>
      </c>
      <c r="O18" s="216" t="s">
        <v>731</v>
      </c>
      <c r="P18" s="217"/>
      <c r="Q18" s="217"/>
      <c r="R18" s="218"/>
      <c r="S18" s="28" t="s">
        <v>46</v>
      </c>
      <c r="T18" s="112">
        <v>5</v>
      </c>
    </row>
    <row r="19" spans="1:20" s="33" customFormat="1" ht="108.75" customHeight="1" x14ac:dyDescent="0.25">
      <c r="A19" s="30">
        <v>6</v>
      </c>
      <c r="B19" s="22" t="s">
        <v>412</v>
      </c>
      <c r="C19" s="213" t="s">
        <v>413</v>
      </c>
      <c r="D19" s="214"/>
      <c r="E19" s="214"/>
      <c r="F19" s="215"/>
      <c r="G19" s="23" t="s">
        <v>415</v>
      </c>
      <c r="H19" s="24" t="s">
        <v>414</v>
      </c>
      <c r="I19" s="32">
        <v>1</v>
      </c>
      <c r="J19" s="32">
        <v>0</v>
      </c>
      <c r="K19" s="32">
        <v>0</v>
      </c>
      <c r="L19" s="32">
        <v>0</v>
      </c>
      <c r="M19" s="32">
        <v>0</v>
      </c>
      <c r="N19" s="32">
        <v>0</v>
      </c>
      <c r="O19" s="219" t="s">
        <v>632</v>
      </c>
      <c r="P19" s="220"/>
      <c r="Q19" s="220"/>
      <c r="R19" s="221"/>
      <c r="S19" s="28" t="s">
        <v>47</v>
      </c>
      <c r="T19" s="113">
        <v>6</v>
      </c>
    </row>
    <row r="20" spans="1:20" s="33" customFormat="1" ht="137.25" customHeight="1" x14ac:dyDescent="0.25">
      <c r="A20" s="21">
        <v>7</v>
      </c>
      <c r="B20" s="22" t="s">
        <v>416</v>
      </c>
      <c r="C20" s="213" t="s">
        <v>417</v>
      </c>
      <c r="D20" s="214"/>
      <c r="E20" s="214"/>
      <c r="F20" s="215"/>
      <c r="G20" s="31" t="s">
        <v>419</v>
      </c>
      <c r="H20" s="24" t="s">
        <v>418</v>
      </c>
      <c r="I20" s="32">
        <v>1</v>
      </c>
      <c r="J20" s="32">
        <v>0</v>
      </c>
      <c r="K20" s="32">
        <v>0</v>
      </c>
      <c r="L20" s="32">
        <v>0</v>
      </c>
      <c r="M20" s="32">
        <v>0</v>
      </c>
      <c r="N20" s="32">
        <v>0</v>
      </c>
      <c r="O20" s="216" t="s">
        <v>680</v>
      </c>
      <c r="P20" s="217"/>
      <c r="Q20" s="217"/>
      <c r="R20" s="218"/>
      <c r="S20" s="28" t="s">
        <v>46</v>
      </c>
      <c r="T20" s="112">
        <v>7</v>
      </c>
    </row>
    <row r="21" spans="1:20" s="33" customFormat="1" ht="174.95" customHeight="1" x14ac:dyDescent="0.25">
      <c r="A21" s="30">
        <v>8</v>
      </c>
      <c r="B21" s="22" t="s">
        <v>416</v>
      </c>
      <c r="C21" s="213" t="s">
        <v>420</v>
      </c>
      <c r="D21" s="214"/>
      <c r="E21" s="214"/>
      <c r="F21" s="215"/>
      <c r="G21" s="31" t="s">
        <v>422</v>
      </c>
      <c r="H21" s="24" t="s">
        <v>421</v>
      </c>
      <c r="I21" s="32">
        <v>1</v>
      </c>
      <c r="J21" s="32">
        <v>0</v>
      </c>
      <c r="K21" s="32">
        <v>0</v>
      </c>
      <c r="L21" s="32">
        <v>0</v>
      </c>
      <c r="M21" s="32">
        <v>0</v>
      </c>
      <c r="N21" s="32">
        <v>0</v>
      </c>
      <c r="O21" s="216" t="s">
        <v>732</v>
      </c>
      <c r="P21" s="217"/>
      <c r="Q21" s="217"/>
      <c r="R21" s="218"/>
      <c r="S21" s="28" t="s">
        <v>45</v>
      </c>
      <c r="T21" s="113">
        <v>8</v>
      </c>
    </row>
    <row r="22" spans="1:20" s="33" customFormat="1" ht="174.95" customHeight="1" x14ac:dyDescent="0.25">
      <c r="A22" s="21">
        <v>9</v>
      </c>
      <c r="B22" s="22" t="s">
        <v>423</v>
      </c>
      <c r="C22" s="213" t="s">
        <v>424</v>
      </c>
      <c r="D22" s="214"/>
      <c r="E22" s="214"/>
      <c r="F22" s="215"/>
      <c r="G22" s="31" t="s">
        <v>426</v>
      </c>
      <c r="H22" s="24" t="s">
        <v>425</v>
      </c>
      <c r="I22" s="32">
        <v>1</v>
      </c>
      <c r="J22" s="32">
        <v>0</v>
      </c>
      <c r="K22" s="32">
        <v>0</v>
      </c>
      <c r="L22" s="32">
        <v>0</v>
      </c>
      <c r="M22" s="32">
        <v>0</v>
      </c>
      <c r="N22" s="32">
        <v>0</v>
      </c>
      <c r="O22" s="216" t="s">
        <v>733</v>
      </c>
      <c r="P22" s="217"/>
      <c r="Q22" s="217"/>
      <c r="R22" s="218"/>
      <c r="S22" s="28" t="s">
        <v>46</v>
      </c>
      <c r="T22" s="112">
        <v>9</v>
      </c>
    </row>
    <row r="23" spans="1:20" s="33" customFormat="1" ht="174.95" customHeight="1" x14ac:dyDescent="0.25">
      <c r="A23" s="30">
        <v>10</v>
      </c>
      <c r="B23" s="22" t="s">
        <v>423</v>
      </c>
      <c r="C23" s="213" t="s">
        <v>427</v>
      </c>
      <c r="D23" s="214"/>
      <c r="E23" s="214"/>
      <c r="F23" s="215"/>
      <c r="G23" s="31" t="s">
        <v>431</v>
      </c>
      <c r="H23" s="24" t="s">
        <v>430</v>
      </c>
      <c r="I23" s="32">
        <v>1</v>
      </c>
      <c r="J23" s="32">
        <v>0</v>
      </c>
      <c r="K23" s="32">
        <v>0</v>
      </c>
      <c r="L23" s="32">
        <v>0</v>
      </c>
      <c r="M23" s="32">
        <v>0</v>
      </c>
      <c r="N23" s="32">
        <v>0</v>
      </c>
      <c r="O23" s="216" t="s">
        <v>734</v>
      </c>
      <c r="P23" s="217"/>
      <c r="Q23" s="217"/>
      <c r="R23" s="218"/>
      <c r="S23" s="28" t="s">
        <v>46</v>
      </c>
      <c r="T23" s="113">
        <v>10</v>
      </c>
    </row>
    <row r="24" spans="1:20" s="33" customFormat="1" ht="120" x14ac:dyDescent="0.25">
      <c r="A24" s="21">
        <v>11</v>
      </c>
      <c r="B24" s="24" t="s">
        <v>428</v>
      </c>
      <c r="C24" s="213" t="s">
        <v>429</v>
      </c>
      <c r="D24" s="214"/>
      <c r="E24" s="214"/>
      <c r="F24" s="215"/>
      <c r="G24" s="31" t="s">
        <v>433</v>
      </c>
      <c r="H24" s="24" t="s">
        <v>432</v>
      </c>
      <c r="I24" s="32">
        <v>0</v>
      </c>
      <c r="J24" s="32">
        <v>1</v>
      </c>
      <c r="K24" s="32">
        <v>0</v>
      </c>
      <c r="L24" s="32">
        <v>0</v>
      </c>
      <c r="M24" s="32">
        <v>0</v>
      </c>
      <c r="N24" s="32">
        <v>0</v>
      </c>
      <c r="O24" s="216" t="s">
        <v>735</v>
      </c>
      <c r="P24" s="217"/>
      <c r="Q24" s="217"/>
      <c r="R24" s="218"/>
      <c r="S24" s="28" t="s">
        <v>54</v>
      </c>
      <c r="T24" s="112">
        <v>11</v>
      </c>
    </row>
    <row r="25" spans="1:20" s="33" customFormat="1" ht="126.75" customHeight="1" x14ac:dyDescent="0.25">
      <c r="A25" s="30">
        <v>12</v>
      </c>
      <c r="B25" s="22" t="s">
        <v>428</v>
      </c>
      <c r="C25" s="213" t="s">
        <v>434</v>
      </c>
      <c r="D25" s="214"/>
      <c r="E25" s="214"/>
      <c r="F25" s="215"/>
      <c r="G25" s="31" t="s">
        <v>436</v>
      </c>
      <c r="H25" s="24" t="s">
        <v>435</v>
      </c>
      <c r="I25" s="32">
        <v>1</v>
      </c>
      <c r="J25" s="32">
        <v>0</v>
      </c>
      <c r="K25" s="32">
        <v>0</v>
      </c>
      <c r="L25" s="32">
        <v>0</v>
      </c>
      <c r="M25" s="32">
        <v>0</v>
      </c>
      <c r="N25" s="32">
        <v>0</v>
      </c>
      <c r="O25" s="216" t="s">
        <v>736</v>
      </c>
      <c r="P25" s="217"/>
      <c r="Q25" s="217"/>
      <c r="R25" s="218"/>
      <c r="S25" s="28" t="s">
        <v>46</v>
      </c>
      <c r="T25" s="113">
        <v>12</v>
      </c>
    </row>
    <row r="26" spans="1:20" s="33" customFormat="1" ht="132.75" customHeight="1" x14ac:dyDescent="0.25">
      <c r="A26" s="21">
        <v>13</v>
      </c>
      <c r="B26" s="24" t="s">
        <v>437</v>
      </c>
      <c r="C26" s="213" t="s">
        <v>438</v>
      </c>
      <c r="D26" s="214"/>
      <c r="E26" s="214"/>
      <c r="F26" s="215"/>
      <c r="G26" s="35" t="s">
        <v>440</v>
      </c>
      <c r="H26" s="24" t="s">
        <v>439</v>
      </c>
      <c r="I26" s="32">
        <v>1</v>
      </c>
      <c r="J26" s="32">
        <v>0</v>
      </c>
      <c r="K26" s="32">
        <v>0</v>
      </c>
      <c r="L26" s="32">
        <v>0</v>
      </c>
      <c r="M26" s="32">
        <v>0</v>
      </c>
      <c r="N26" s="32">
        <v>0</v>
      </c>
      <c r="O26" s="219" t="s">
        <v>680</v>
      </c>
      <c r="P26" s="220"/>
      <c r="Q26" s="220"/>
      <c r="R26" s="221"/>
      <c r="S26" s="28" t="s">
        <v>46</v>
      </c>
      <c r="T26" s="112">
        <v>13</v>
      </c>
    </row>
    <row r="27" spans="1:20" s="33" customFormat="1" ht="132.75" customHeight="1" x14ac:dyDescent="0.25">
      <c r="A27" s="30">
        <v>14</v>
      </c>
      <c r="B27" s="24" t="s">
        <v>437</v>
      </c>
      <c r="C27" s="213" t="s">
        <v>441</v>
      </c>
      <c r="D27" s="214"/>
      <c r="E27" s="214"/>
      <c r="F27" s="215"/>
      <c r="G27" s="35" t="s">
        <v>443</v>
      </c>
      <c r="H27" s="24" t="s">
        <v>442</v>
      </c>
      <c r="I27" s="32">
        <v>1</v>
      </c>
      <c r="J27" s="32">
        <v>0</v>
      </c>
      <c r="K27" s="32">
        <v>0</v>
      </c>
      <c r="L27" s="32">
        <v>0</v>
      </c>
      <c r="M27" s="32">
        <v>0</v>
      </c>
      <c r="N27" s="32">
        <v>0</v>
      </c>
      <c r="O27" s="219" t="s">
        <v>732</v>
      </c>
      <c r="P27" s="220"/>
      <c r="Q27" s="220"/>
      <c r="R27" s="221"/>
      <c r="S27" s="28" t="s">
        <v>46</v>
      </c>
      <c r="T27" s="113">
        <v>14</v>
      </c>
    </row>
    <row r="28" spans="1:20" s="33" customFormat="1" ht="134.25" customHeight="1" x14ac:dyDescent="0.25">
      <c r="A28" s="21">
        <v>15</v>
      </c>
      <c r="B28" s="22" t="s">
        <v>444</v>
      </c>
      <c r="C28" s="213" t="s">
        <v>445</v>
      </c>
      <c r="D28" s="214"/>
      <c r="E28" s="214"/>
      <c r="F28" s="215"/>
      <c r="G28" s="31" t="s">
        <v>447</v>
      </c>
      <c r="H28" s="24" t="s">
        <v>446</v>
      </c>
      <c r="I28" s="32">
        <v>1</v>
      </c>
      <c r="J28" s="32">
        <v>0</v>
      </c>
      <c r="K28" s="32">
        <v>0</v>
      </c>
      <c r="L28" s="32">
        <v>0</v>
      </c>
      <c r="M28" s="32">
        <v>0</v>
      </c>
      <c r="N28" s="32">
        <v>0</v>
      </c>
      <c r="O28" s="216" t="s">
        <v>737</v>
      </c>
      <c r="P28" s="217"/>
      <c r="Q28" s="217"/>
      <c r="R28" s="218"/>
      <c r="S28" s="28" t="s">
        <v>46</v>
      </c>
      <c r="T28" s="112">
        <v>15</v>
      </c>
    </row>
    <row r="29" spans="1:20" s="33" customFormat="1" ht="174.95" customHeight="1" x14ac:dyDescent="0.25">
      <c r="A29" s="30">
        <v>16</v>
      </c>
      <c r="B29" s="22" t="s">
        <v>448</v>
      </c>
      <c r="C29" s="213" t="s">
        <v>449</v>
      </c>
      <c r="D29" s="214"/>
      <c r="E29" s="214"/>
      <c r="F29" s="215"/>
      <c r="G29" s="31" t="s">
        <v>451</v>
      </c>
      <c r="H29" s="24" t="s">
        <v>450</v>
      </c>
      <c r="I29" s="32">
        <v>1</v>
      </c>
      <c r="J29" s="32">
        <v>0</v>
      </c>
      <c r="K29" s="32">
        <v>0</v>
      </c>
      <c r="L29" s="32">
        <v>0</v>
      </c>
      <c r="M29" s="32">
        <v>0</v>
      </c>
      <c r="N29" s="32">
        <v>0</v>
      </c>
      <c r="O29" s="216" t="s">
        <v>738</v>
      </c>
      <c r="P29" s="217"/>
      <c r="Q29" s="217"/>
      <c r="R29" s="218"/>
      <c r="S29" s="28" t="s">
        <v>47</v>
      </c>
      <c r="T29" s="113">
        <v>16</v>
      </c>
    </row>
    <row r="30" spans="1:20" s="33" customFormat="1" ht="127.5" customHeight="1" x14ac:dyDescent="0.25">
      <c r="A30" s="21">
        <v>17</v>
      </c>
      <c r="B30" s="36" t="s">
        <v>448</v>
      </c>
      <c r="C30" s="213" t="s">
        <v>452</v>
      </c>
      <c r="D30" s="214"/>
      <c r="E30" s="214"/>
      <c r="F30" s="215"/>
      <c r="G30" s="31" t="s">
        <v>454</v>
      </c>
      <c r="H30" s="24" t="s">
        <v>453</v>
      </c>
      <c r="I30" s="32">
        <v>1</v>
      </c>
      <c r="J30" s="32">
        <v>0</v>
      </c>
      <c r="K30" s="32">
        <v>0</v>
      </c>
      <c r="L30" s="32">
        <v>0</v>
      </c>
      <c r="M30" s="32">
        <v>0</v>
      </c>
      <c r="N30" s="32">
        <v>0</v>
      </c>
      <c r="O30" s="219" t="s">
        <v>739</v>
      </c>
      <c r="P30" s="220"/>
      <c r="Q30" s="220"/>
      <c r="R30" s="221"/>
      <c r="S30" s="28" t="s">
        <v>46</v>
      </c>
      <c r="T30" s="112">
        <v>17</v>
      </c>
    </row>
    <row r="31" spans="1:20" ht="119.25" customHeight="1" x14ac:dyDescent="0.25">
      <c r="A31" s="30">
        <v>18</v>
      </c>
      <c r="B31" s="22" t="s">
        <v>455</v>
      </c>
      <c r="C31" s="213" t="s">
        <v>456</v>
      </c>
      <c r="D31" s="214"/>
      <c r="E31" s="214"/>
      <c r="F31" s="215"/>
      <c r="G31" s="23" t="s">
        <v>458</v>
      </c>
      <c r="H31" s="24" t="s">
        <v>457</v>
      </c>
      <c r="I31" s="25">
        <v>1</v>
      </c>
      <c r="J31" s="25">
        <v>0</v>
      </c>
      <c r="K31" s="25">
        <v>0</v>
      </c>
      <c r="L31" s="26">
        <v>0</v>
      </c>
      <c r="M31" s="27">
        <v>0</v>
      </c>
      <c r="N31" s="27">
        <v>0</v>
      </c>
      <c r="O31" s="219" t="s">
        <v>740</v>
      </c>
      <c r="P31" s="220"/>
      <c r="Q31" s="220"/>
      <c r="R31" s="221"/>
      <c r="S31" s="28" t="s">
        <v>46</v>
      </c>
      <c r="T31" s="113">
        <v>18</v>
      </c>
    </row>
    <row r="32" spans="1:20" ht="168" x14ac:dyDescent="0.25">
      <c r="A32" s="21">
        <v>19</v>
      </c>
      <c r="B32" s="22" t="s">
        <v>455</v>
      </c>
      <c r="C32" s="213" t="s">
        <v>459</v>
      </c>
      <c r="D32" s="214"/>
      <c r="E32" s="214"/>
      <c r="F32" s="215"/>
      <c r="G32" s="31" t="s">
        <v>461</v>
      </c>
      <c r="H32" s="24" t="s">
        <v>460</v>
      </c>
      <c r="I32" s="32">
        <v>1</v>
      </c>
      <c r="J32" s="32">
        <v>0</v>
      </c>
      <c r="K32" s="32">
        <v>0</v>
      </c>
      <c r="L32" s="32">
        <v>0</v>
      </c>
      <c r="M32" s="32">
        <v>0</v>
      </c>
      <c r="N32" s="32">
        <v>0</v>
      </c>
      <c r="O32" s="216" t="s">
        <v>741</v>
      </c>
      <c r="P32" s="217"/>
      <c r="Q32" s="217"/>
      <c r="R32" s="218"/>
      <c r="S32" s="28" t="s">
        <v>46</v>
      </c>
      <c r="T32" s="112">
        <v>19</v>
      </c>
    </row>
    <row r="33" spans="1:20" s="37" customFormat="1" ht="148.5" customHeight="1" x14ac:dyDescent="0.2">
      <c r="A33" s="30">
        <v>20</v>
      </c>
      <c r="B33" s="24" t="s">
        <v>462</v>
      </c>
      <c r="C33" s="213" t="s">
        <v>463</v>
      </c>
      <c r="D33" s="214"/>
      <c r="E33" s="214"/>
      <c r="F33" s="215"/>
      <c r="G33" s="34" t="s">
        <v>465</v>
      </c>
      <c r="H33" s="24" t="s">
        <v>464</v>
      </c>
      <c r="I33" s="32">
        <v>1</v>
      </c>
      <c r="J33" s="32">
        <v>0</v>
      </c>
      <c r="K33" s="32">
        <v>0</v>
      </c>
      <c r="L33" s="32">
        <v>0</v>
      </c>
      <c r="M33" s="32">
        <v>0</v>
      </c>
      <c r="N33" s="32">
        <v>0</v>
      </c>
      <c r="O33" s="216" t="s">
        <v>742</v>
      </c>
      <c r="P33" s="217"/>
      <c r="Q33" s="217"/>
      <c r="R33" s="218"/>
      <c r="S33" s="28" t="s">
        <v>45</v>
      </c>
      <c r="T33" s="113">
        <v>20</v>
      </c>
    </row>
    <row r="34" spans="1:20" s="37" customFormat="1" ht="174.95" customHeight="1" x14ac:dyDescent="0.2">
      <c r="A34" s="21">
        <v>21</v>
      </c>
      <c r="B34" s="22" t="s">
        <v>466</v>
      </c>
      <c r="C34" s="213" t="s">
        <v>354</v>
      </c>
      <c r="D34" s="214"/>
      <c r="E34" s="214"/>
      <c r="F34" s="215"/>
      <c r="G34" s="31" t="s">
        <v>468</v>
      </c>
      <c r="H34" s="24" t="s">
        <v>467</v>
      </c>
      <c r="I34" s="32">
        <v>1</v>
      </c>
      <c r="J34" s="32">
        <v>0</v>
      </c>
      <c r="K34" s="32">
        <v>0</v>
      </c>
      <c r="L34" s="32">
        <v>0</v>
      </c>
      <c r="M34" s="32">
        <v>0</v>
      </c>
      <c r="N34" s="32">
        <v>0</v>
      </c>
      <c r="O34" s="216" t="s">
        <v>743</v>
      </c>
      <c r="P34" s="217"/>
      <c r="Q34" s="217"/>
      <c r="R34" s="218"/>
      <c r="S34" s="28" t="s">
        <v>46</v>
      </c>
      <c r="T34" s="112">
        <v>21</v>
      </c>
    </row>
    <row r="35" spans="1:20" ht="144" customHeight="1" x14ac:dyDescent="0.25">
      <c r="A35" s="30">
        <v>22</v>
      </c>
      <c r="B35" s="22" t="s">
        <v>466</v>
      </c>
      <c r="C35" s="213" t="s">
        <v>469</v>
      </c>
      <c r="D35" s="214"/>
      <c r="E35" s="214"/>
      <c r="F35" s="215"/>
      <c r="G35" s="31" t="s">
        <v>471</v>
      </c>
      <c r="H35" s="24" t="s">
        <v>470</v>
      </c>
      <c r="I35" s="32">
        <v>1</v>
      </c>
      <c r="J35" s="32">
        <v>0</v>
      </c>
      <c r="K35" s="32">
        <v>0</v>
      </c>
      <c r="L35" s="32">
        <v>0</v>
      </c>
      <c r="M35" s="32">
        <v>0</v>
      </c>
      <c r="N35" s="32">
        <v>0</v>
      </c>
      <c r="O35" s="216" t="s">
        <v>744</v>
      </c>
      <c r="P35" s="217"/>
      <c r="Q35" s="217"/>
      <c r="R35" s="218"/>
      <c r="S35" s="28" t="s">
        <v>53</v>
      </c>
      <c r="T35" s="113">
        <v>22</v>
      </c>
    </row>
    <row r="36" spans="1:20" ht="127.5" customHeight="1" x14ac:dyDescent="0.25">
      <c r="A36" s="21">
        <v>23</v>
      </c>
      <c r="B36" s="22" t="s">
        <v>472</v>
      </c>
      <c r="C36" s="213" t="s">
        <v>358</v>
      </c>
      <c r="D36" s="214"/>
      <c r="E36" s="214"/>
      <c r="F36" s="215"/>
      <c r="G36" s="28" t="s">
        <v>474</v>
      </c>
      <c r="H36" s="24" t="s">
        <v>473</v>
      </c>
      <c r="I36" s="32">
        <v>0</v>
      </c>
      <c r="J36" s="32">
        <v>1</v>
      </c>
      <c r="K36" s="32">
        <v>0</v>
      </c>
      <c r="L36" s="32">
        <v>0</v>
      </c>
      <c r="M36" s="32">
        <v>0</v>
      </c>
      <c r="N36" s="32">
        <v>0</v>
      </c>
      <c r="O36" s="219" t="s">
        <v>745</v>
      </c>
      <c r="P36" s="220"/>
      <c r="Q36" s="220"/>
      <c r="R36" s="221"/>
      <c r="S36" s="28" t="s">
        <v>475</v>
      </c>
      <c r="T36" s="112">
        <v>23</v>
      </c>
    </row>
    <row r="37" spans="1:20" ht="130.5" customHeight="1" x14ac:dyDescent="0.25">
      <c r="A37" s="30">
        <v>24</v>
      </c>
      <c r="B37" s="22" t="s">
        <v>472</v>
      </c>
      <c r="C37" s="213" t="s">
        <v>476</v>
      </c>
      <c r="D37" s="214"/>
      <c r="E37" s="214"/>
      <c r="F37" s="215"/>
      <c r="G37" s="28" t="s">
        <v>478</v>
      </c>
      <c r="H37" s="24" t="s">
        <v>477</v>
      </c>
      <c r="I37" s="32">
        <v>0</v>
      </c>
      <c r="J37" s="32">
        <v>1</v>
      </c>
      <c r="K37" s="32">
        <v>0</v>
      </c>
      <c r="L37" s="32">
        <v>0</v>
      </c>
      <c r="M37" s="32">
        <v>0</v>
      </c>
      <c r="N37" s="32">
        <v>0</v>
      </c>
      <c r="O37" s="219" t="s">
        <v>746</v>
      </c>
      <c r="P37" s="220"/>
      <c r="Q37" s="220"/>
      <c r="R37" s="221"/>
      <c r="S37" s="28" t="s">
        <v>54</v>
      </c>
      <c r="T37" s="113">
        <v>24</v>
      </c>
    </row>
    <row r="38" spans="1:20" ht="123.75" customHeight="1" x14ac:dyDescent="0.25">
      <c r="A38" s="21">
        <v>25</v>
      </c>
      <c r="B38" s="22" t="s">
        <v>479</v>
      </c>
      <c r="C38" s="213" t="s">
        <v>480</v>
      </c>
      <c r="D38" s="214"/>
      <c r="E38" s="214"/>
      <c r="F38" s="215"/>
      <c r="G38" s="31" t="s">
        <v>482</v>
      </c>
      <c r="H38" s="24" t="s">
        <v>481</v>
      </c>
      <c r="I38" s="32">
        <v>1</v>
      </c>
      <c r="J38" s="32">
        <v>0</v>
      </c>
      <c r="K38" s="32">
        <v>0</v>
      </c>
      <c r="L38" s="32">
        <v>0</v>
      </c>
      <c r="M38" s="32">
        <v>0</v>
      </c>
      <c r="N38" s="32">
        <v>0</v>
      </c>
      <c r="O38" s="216" t="s">
        <v>747</v>
      </c>
      <c r="P38" s="217"/>
      <c r="Q38" s="217"/>
      <c r="R38" s="218"/>
      <c r="S38" s="28" t="s">
        <v>46</v>
      </c>
      <c r="T38" s="112">
        <v>25</v>
      </c>
    </row>
    <row r="39" spans="1:20" ht="135" customHeight="1" x14ac:dyDescent="0.25">
      <c r="A39" s="30">
        <v>26</v>
      </c>
      <c r="B39" s="24" t="s">
        <v>483</v>
      </c>
      <c r="C39" s="213" t="s">
        <v>484</v>
      </c>
      <c r="D39" s="214"/>
      <c r="E39" s="214"/>
      <c r="F39" s="215"/>
      <c r="G39" s="35" t="s">
        <v>486</v>
      </c>
      <c r="H39" s="24" t="s">
        <v>485</v>
      </c>
      <c r="I39" s="32">
        <v>0</v>
      </c>
      <c r="J39" s="32">
        <v>1</v>
      </c>
      <c r="K39" s="32">
        <v>0</v>
      </c>
      <c r="L39" s="32">
        <v>0</v>
      </c>
      <c r="M39" s="32">
        <v>0</v>
      </c>
      <c r="N39" s="32">
        <v>0</v>
      </c>
      <c r="O39" s="219" t="s">
        <v>748</v>
      </c>
      <c r="P39" s="220"/>
      <c r="Q39" s="220"/>
      <c r="R39" s="221"/>
      <c r="S39" s="28" t="s">
        <v>55</v>
      </c>
      <c r="T39" s="113">
        <v>26</v>
      </c>
    </row>
    <row r="40" spans="1:20" ht="135" customHeight="1" x14ac:dyDescent="0.25">
      <c r="A40" s="21">
        <v>27</v>
      </c>
      <c r="B40" s="24" t="s">
        <v>487</v>
      </c>
      <c r="C40" s="213" t="s">
        <v>488</v>
      </c>
      <c r="D40" s="214"/>
      <c r="E40" s="214"/>
      <c r="F40" s="215"/>
      <c r="G40" s="31" t="s">
        <v>490</v>
      </c>
      <c r="H40" s="24" t="s">
        <v>489</v>
      </c>
      <c r="I40" s="32">
        <v>1</v>
      </c>
      <c r="J40" s="32">
        <v>0</v>
      </c>
      <c r="K40" s="32">
        <v>0</v>
      </c>
      <c r="L40" s="32">
        <v>0</v>
      </c>
      <c r="M40" s="32">
        <v>0</v>
      </c>
      <c r="N40" s="32">
        <v>0</v>
      </c>
      <c r="O40" s="216" t="s">
        <v>749</v>
      </c>
      <c r="P40" s="217"/>
      <c r="Q40" s="217"/>
      <c r="R40" s="218"/>
      <c r="S40" s="28" t="s">
        <v>47</v>
      </c>
      <c r="T40" s="112">
        <v>27</v>
      </c>
    </row>
    <row r="41" spans="1:20" ht="146.25" customHeight="1" x14ac:dyDescent="0.25">
      <c r="A41" s="30">
        <v>28</v>
      </c>
      <c r="B41" s="22" t="s">
        <v>491</v>
      </c>
      <c r="C41" s="213" t="s">
        <v>492</v>
      </c>
      <c r="D41" s="214"/>
      <c r="E41" s="214"/>
      <c r="F41" s="215"/>
      <c r="G41" s="31" t="s">
        <v>494</v>
      </c>
      <c r="H41" s="24" t="s">
        <v>493</v>
      </c>
      <c r="I41" s="32">
        <v>1</v>
      </c>
      <c r="J41" s="32">
        <v>0</v>
      </c>
      <c r="K41" s="32">
        <v>0</v>
      </c>
      <c r="L41" s="32">
        <v>0</v>
      </c>
      <c r="M41" s="32">
        <v>0</v>
      </c>
      <c r="N41" s="32">
        <v>0</v>
      </c>
      <c r="O41" s="216" t="s">
        <v>719</v>
      </c>
      <c r="P41" s="217"/>
      <c r="Q41" s="217"/>
      <c r="R41" s="218"/>
      <c r="S41" s="28" t="s">
        <v>46</v>
      </c>
      <c r="T41" s="113">
        <v>28</v>
      </c>
    </row>
    <row r="42" spans="1:20" ht="174.95" customHeight="1" x14ac:dyDescent="0.25">
      <c r="A42" s="21">
        <v>29</v>
      </c>
      <c r="B42" s="22" t="s">
        <v>491</v>
      </c>
      <c r="C42" s="213" t="s">
        <v>495</v>
      </c>
      <c r="D42" s="214"/>
      <c r="E42" s="214"/>
      <c r="F42" s="215"/>
      <c r="G42" s="31" t="s">
        <v>348</v>
      </c>
      <c r="H42" s="24" t="s">
        <v>496</v>
      </c>
      <c r="I42" s="32">
        <v>1</v>
      </c>
      <c r="J42" s="32">
        <v>0</v>
      </c>
      <c r="K42" s="32">
        <v>0</v>
      </c>
      <c r="L42" s="32">
        <v>0</v>
      </c>
      <c r="M42" s="32">
        <v>0</v>
      </c>
      <c r="N42" s="32">
        <v>0</v>
      </c>
      <c r="O42" s="219" t="s">
        <v>750</v>
      </c>
      <c r="P42" s="220"/>
      <c r="Q42" s="220"/>
      <c r="R42" s="221"/>
      <c r="S42" s="28" t="s">
        <v>46</v>
      </c>
      <c r="T42" s="112">
        <v>29</v>
      </c>
    </row>
    <row r="43" spans="1:20" ht="174.95" customHeight="1" x14ac:dyDescent="0.25">
      <c r="A43" s="30">
        <v>30</v>
      </c>
      <c r="B43" s="22" t="s">
        <v>497</v>
      </c>
      <c r="C43" s="213" t="s">
        <v>498</v>
      </c>
      <c r="D43" s="214"/>
      <c r="E43" s="214"/>
      <c r="F43" s="215"/>
      <c r="G43" s="31" t="s">
        <v>500</v>
      </c>
      <c r="H43" s="24" t="s">
        <v>499</v>
      </c>
      <c r="I43" s="32">
        <v>0</v>
      </c>
      <c r="J43" s="32">
        <v>1</v>
      </c>
      <c r="K43" s="32">
        <v>0</v>
      </c>
      <c r="L43" s="32">
        <v>0</v>
      </c>
      <c r="M43" s="32">
        <v>0</v>
      </c>
      <c r="N43" s="32">
        <v>0</v>
      </c>
      <c r="O43" s="219" t="s">
        <v>647</v>
      </c>
      <c r="P43" s="220"/>
      <c r="Q43" s="220"/>
      <c r="R43" s="221"/>
      <c r="S43" s="28" t="s">
        <v>54</v>
      </c>
      <c r="T43" s="113">
        <v>30</v>
      </c>
    </row>
    <row r="44" spans="1:20" ht="174.95" customHeight="1" x14ac:dyDescent="0.25">
      <c r="A44" s="21">
        <v>31</v>
      </c>
      <c r="B44" s="22" t="s">
        <v>501</v>
      </c>
      <c r="C44" s="213" t="s">
        <v>502</v>
      </c>
      <c r="D44" s="214"/>
      <c r="E44" s="214"/>
      <c r="F44" s="215"/>
      <c r="G44" s="31" t="s">
        <v>504</v>
      </c>
      <c r="H44" s="24" t="s">
        <v>503</v>
      </c>
      <c r="I44" s="32">
        <v>1</v>
      </c>
      <c r="J44" s="32">
        <v>0</v>
      </c>
      <c r="K44" s="32">
        <v>0</v>
      </c>
      <c r="L44" s="32">
        <v>0</v>
      </c>
      <c r="M44" s="32">
        <v>0</v>
      </c>
      <c r="N44" s="32">
        <v>0</v>
      </c>
      <c r="O44" s="219" t="s">
        <v>751</v>
      </c>
      <c r="P44" s="220"/>
      <c r="Q44" s="220"/>
      <c r="R44" s="221"/>
      <c r="S44" s="28" t="s">
        <v>45</v>
      </c>
      <c r="T44" s="112">
        <v>31</v>
      </c>
    </row>
    <row r="45" spans="1:20" ht="174.95" customHeight="1" x14ac:dyDescent="0.25">
      <c r="A45" s="30">
        <v>32</v>
      </c>
      <c r="B45" s="22" t="s">
        <v>501</v>
      </c>
      <c r="C45" s="213" t="s">
        <v>505</v>
      </c>
      <c r="D45" s="214"/>
      <c r="E45" s="214"/>
      <c r="F45" s="215"/>
      <c r="G45" s="31" t="s">
        <v>507</v>
      </c>
      <c r="H45" s="24" t="s">
        <v>506</v>
      </c>
      <c r="I45" s="32">
        <v>1</v>
      </c>
      <c r="J45" s="32">
        <v>0</v>
      </c>
      <c r="K45" s="32">
        <v>0</v>
      </c>
      <c r="L45" s="32">
        <v>0</v>
      </c>
      <c r="M45" s="32">
        <v>0</v>
      </c>
      <c r="N45" s="32">
        <v>0</v>
      </c>
      <c r="O45" s="219" t="s">
        <v>746</v>
      </c>
      <c r="P45" s="220"/>
      <c r="Q45" s="220"/>
      <c r="R45" s="221"/>
      <c r="S45" s="28" t="s">
        <v>46</v>
      </c>
      <c r="T45" s="113">
        <v>32</v>
      </c>
    </row>
    <row r="46" spans="1:20" ht="193.5" customHeight="1" x14ac:dyDescent="0.25">
      <c r="A46" s="21">
        <v>33</v>
      </c>
      <c r="B46" s="22" t="s">
        <v>508</v>
      </c>
      <c r="C46" s="213" t="s">
        <v>509</v>
      </c>
      <c r="D46" s="214"/>
      <c r="E46" s="214"/>
      <c r="F46" s="215"/>
      <c r="G46" s="31" t="s">
        <v>514</v>
      </c>
      <c r="H46" s="24" t="s">
        <v>510</v>
      </c>
      <c r="I46" s="32">
        <v>1</v>
      </c>
      <c r="J46" s="32">
        <v>0</v>
      </c>
      <c r="K46" s="32">
        <v>0</v>
      </c>
      <c r="L46" s="32">
        <v>0</v>
      </c>
      <c r="M46" s="32">
        <v>0</v>
      </c>
      <c r="N46" s="32">
        <v>0</v>
      </c>
      <c r="O46" s="219" t="s">
        <v>627</v>
      </c>
      <c r="P46" s="220"/>
      <c r="Q46" s="220"/>
      <c r="R46" s="221"/>
      <c r="S46" s="28" t="s">
        <v>46</v>
      </c>
      <c r="T46" s="112">
        <v>33</v>
      </c>
    </row>
    <row r="47" spans="1:20" ht="135" customHeight="1" x14ac:dyDescent="0.25">
      <c r="A47" s="30">
        <v>34</v>
      </c>
      <c r="B47" s="38" t="s">
        <v>508</v>
      </c>
      <c r="C47" s="213" t="s">
        <v>511</v>
      </c>
      <c r="D47" s="214"/>
      <c r="E47" s="214"/>
      <c r="F47" s="215"/>
      <c r="G47" s="34" t="s">
        <v>513</v>
      </c>
      <c r="H47" s="39" t="s">
        <v>512</v>
      </c>
      <c r="I47" s="27">
        <v>1</v>
      </c>
      <c r="J47" s="27">
        <v>0</v>
      </c>
      <c r="K47" s="27">
        <v>0</v>
      </c>
      <c r="L47" s="27">
        <v>0</v>
      </c>
      <c r="M47" s="27">
        <v>0</v>
      </c>
      <c r="N47" s="27">
        <v>0</v>
      </c>
      <c r="O47" s="219" t="s">
        <v>752</v>
      </c>
      <c r="P47" s="220"/>
      <c r="Q47" s="220"/>
      <c r="R47" s="221"/>
      <c r="S47" s="26" t="s">
        <v>47</v>
      </c>
      <c r="T47" s="113">
        <v>34</v>
      </c>
    </row>
    <row r="48" spans="1:20" ht="135" customHeight="1" x14ac:dyDescent="0.25">
      <c r="A48" s="21">
        <v>35</v>
      </c>
      <c r="B48" s="40" t="s">
        <v>515</v>
      </c>
      <c r="C48" s="213" t="s">
        <v>516</v>
      </c>
      <c r="D48" s="214"/>
      <c r="E48" s="214"/>
      <c r="F48" s="215"/>
      <c r="G48" s="31" t="s">
        <v>518</v>
      </c>
      <c r="H48" s="24" t="s">
        <v>517</v>
      </c>
      <c r="I48" s="32">
        <v>1</v>
      </c>
      <c r="J48" s="32">
        <v>0</v>
      </c>
      <c r="K48" s="32">
        <v>0</v>
      </c>
      <c r="L48" s="32">
        <v>0</v>
      </c>
      <c r="M48" s="32">
        <v>0</v>
      </c>
      <c r="N48" s="32">
        <v>0</v>
      </c>
      <c r="O48" s="219" t="s">
        <v>632</v>
      </c>
      <c r="P48" s="220"/>
      <c r="Q48" s="220"/>
      <c r="R48" s="221"/>
      <c r="S48" s="28" t="s">
        <v>46</v>
      </c>
      <c r="T48" s="112">
        <v>35</v>
      </c>
    </row>
    <row r="49" spans="1:20" ht="135" customHeight="1" x14ac:dyDescent="0.25">
      <c r="A49" s="30">
        <v>36</v>
      </c>
      <c r="B49" s="40" t="s">
        <v>519</v>
      </c>
      <c r="C49" s="213" t="s">
        <v>520</v>
      </c>
      <c r="D49" s="214"/>
      <c r="E49" s="214"/>
      <c r="F49" s="215"/>
      <c r="G49" s="41" t="s">
        <v>522</v>
      </c>
      <c r="H49" s="39" t="s">
        <v>521</v>
      </c>
      <c r="I49" s="42">
        <v>1</v>
      </c>
      <c r="J49" s="42">
        <v>0</v>
      </c>
      <c r="K49" s="42">
        <v>0</v>
      </c>
      <c r="L49" s="42">
        <v>0</v>
      </c>
      <c r="M49" s="42">
        <v>0</v>
      </c>
      <c r="N49" s="42">
        <v>0</v>
      </c>
      <c r="O49" s="219" t="s">
        <v>753</v>
      </c>
      <c r="P49" s="220"/>
      <c r="Q49" s="220"/>
      <c r="R49" s="221"/>
      <c r="S49" s="23" t="s">
        <v>46</v>
      </c>
      <c r="T49" s="113">
        <v>36</v>
      </c>
    </row>
    <row r="50" spans="1:20" ht="174.95" customHeight="1" x14ac:dyDescent="0.25">
      <c r="A50" s="21">
        <v>37</v>
      </c>
      <c r="B50" s="22" t="s">
        <v>523</v>
      </c>
      <c r="C50" s="213" t="s">
        <v>524</v>
      </c>
      <c r="D50" s="214"/>
      <c r="E50" s="214"/>
      <c r="F50" s="215"/>
      <c r="G50" s="31" t="s">
        <v>526</v>
      </c>
      <c r="H50" s="24" t="s">
        <v>525</v>
      </c>
      <c r="I50" s="32">
        <v>0</v>
      </c>
      <c r="J50" s="32">
        <v>1</v>
      </c>
      <c r="K50" s="32">
        <v>0</v>
      </c>
      <c r="L50" s="32">
        <v>0</v>
      </c>
      <c r="M50" s="32">
        <v>0</v>
      </c>
      <c r="N50" s="32">
        <v>0</v>
      </c>
      <c r="O50" s="219" t="s">
        <v>754</v>
      </c>
      <c r="P50" s="220"/>
      <c r="Q50" s="220"/>
      <c r="R50" s="221"/>
      <c r="S50" s="28" t="s">
        <v>55</v>
      </c>
      <c r="T50" s="112">
        <v>37</v>
      </c>
    </row>
    <row r="51" spans="1:20" ht="174.95" customHeight="1" x14ac:dyDescent="0.25">
      <c r="A51" s="30">
        <v>38</v>
      </c>
      <c r="B51" s="22" t="s">
        <v>527</v>
      </c>
      <c r="C51" s="213" t="s">
        <v>528</v>
      </c>
      <c r="D51" s="214"/>
      <c r="E51" s="214"/>
      <c r="F51" s="215"/>
      <c r="G51" s="31" t="s">
        <v>530</v>
      </c>
      <c r="H51" s="24" t="s">
        <v>529</v>
      </c>
      <c r="I51" s="32">
        <v>1</v>
      </c>
      <c r="J51" s="32">
        <v>0</v>
      </c>
      <c r="K51" s="32">
        <v>0</v>
      </c>
      <c r="L51" s="32">
        <v>0</v>
      </c>
      <c r="M51" s="32">
        <v>0</v>
      </c>
      <c r="N51" s="32">
        <v>0</v>
      </c>
      <c r="O51" s="219" t="s">
        <v>632</v>
      </c>
      <c r="P51" s="220"/>
      <c r="Q51" s="220"/>
      <c r="R51" s="221"/>
      <c r="S51" s="28" t="s">
        <v>46</v>
      </c>
      <c r="T51" s="113">
        <v>38</v>
      </c>
    </row>
    <row r="52" spans="1:20" ht="184.5" customHeight="1" x14ac:dyDescent="0.25">
      <c r="A52" s="21">
        <v>39</v>
      </c>
      <c r="B52" s="22" t="s">
        <v>527</v>
      </c>
      <c r="C52" s="213" t="s">
        <v>531</v>
      </c>
      <c r="D52" s="214"/>
      <c r="E52" s="214"/>
      <c r="F52" s="215"/>
      <c r="G52" s="23" t="s">
        <v>533</v>
      </c>
      <c r="H52" s="24" t="s">
        <v>532</v>
      </c>
      <c r="I52" s="25">
        <v>1</v>
      </c>
      <c r="J52" s="25">
        <v>0</v>
      </c>
      <c r="K52" s="25">
        <v>0</v>
      </c>
      <c r="L52" s="26">
        <v>0</v>
      </c>
      <c r="M52" s="27">
        <v>0</v>
      </c>
      <c r="N52" s="27">
        <v>0</v>
      </c>
      <c r="O52" s="219" t="s">
        <v>755</v>
      </c>
      <c r="P52" s="220"/>
      <c r="Q52" s="220"/>
      <c r="R52" s="221"/>
      <c r="S52" s="28" t="s">
        <v>46</v>
      </c>
      <c r="T52" s="112">
        <v>39</v>
      </c>
    </row>
    <row r="53" spans="1:20" ht="174.95" customHeight="1" x14ac:dyDescent="0.25">
      <c r="A53" s="30">
        <v>40</v>
      </c>
      <c r="B53" s="22" t="s">
        <v>534</v>
      </c>
      <c r="C53" s="213" t="s">
        <v>535</v>
      </c>
      <c r="D53" s="214"/>
      <c r="E53" s="214"/>
      <c r="F53" s="215"/>
      <c r="G53" s="31" t="s">
        <v>537</v>
      </c>
      <c r="H53" s="24" t="s">
        <v>536</v>
      </c>
      <c r="I53" s="32">
        <v>1</v>
      </c>
      <c r="J53" s="32">
        <v>0</v>
      </c>
      <c r="K53" s="32">
        <v>0</v>
      </c>
      <c r="L53" s="32">
        <v>0</v>
      </c>
      <c r="M53" s="32">
        <v>0</v>
      </c>
      <c r="N53" s="32">
        <v>0</v>
      </c>
      <c r="O53" s="216" t="s">
        <v>756</v>
      </c>
      <c r="P53" s="217"/>
      <c r="Q53" s="217"/>
      <c r="R53" s="218"/>
      <c r="S53" s="28" t="s">
        <v>51</v>
      </c>
      <c r="T53" s="113">
        <v>40</v>
      </c>
    </row>
    <row r="54" spans="1:20" ht="150" customHeight="1" x14ac:dyDescent="0.25">
      <c r="A54" s="21">
        <v>41</v>
      </c>
      <c r="B54" s="22" t="s">
        <v>538</v>
      </c>
      <c r="C54" s="213" t="s">
        <v>539</v>
      </c>
      <c r="D54" s="214"/>
      <c r="E54" s="214"/>
      <c r="F54" s="215"/>
      <c r="G54" s="31" t="s">
        <v>541</v>
      </c>
      <c r="H54" s="24" t="s">
        <v>540</v>
      </c>
      <c r="I54" s="32">
        <v>0</v>
      </c>
      <c r="J54" s="32">
        <v>1</v>
      </c>
      <c r="K54" s="32">
        <v>0</v>
      </c>
      <c r="L54" s="32">
        <v>0</v>
      </c>
      <c r="M54" s="32">
        <v>0</v>
      </c>
      <c r="N54" s="32">
        <v>0</v>
      </c>
      <c r="O54" s="216" t="s">
        <v>757</v>
      </c>
      <c r="P54" s="217"/>
      <c r="Q54" s="217"/>
      <c r="R54" s="218"/>
      <c r="S54" s="28" t="s">
        <v>54</v>
      </c>
      <c r="T54" s="112">
        <v>41</v>
      </c>
    </row>
    <row r="55" spans="1:20" ht="174.95" customHeight="1" x14ac:dyDescent="0.25">
      <c r="A55" s="30">
        <v>42</v>
      </c>
      <c r="B55" s="22" t="s">
        <v>538</v>
      </c>
      <c r="C55" s="213" t="s">
        <v>542</v>
      </c>
      <c r="D55" s="214"/>
      <c r="E55" s="214"/>
      <c r="F55" s="215"/>
      <c r="G55" s="31" t="s">
        <v>544</v>
      </c>
      <c r="H55" s="24" t="s">
        <v>543</v>
      </c>
      <c r="I55" s="32">
        <v>1</v>
      </c>
      <c r="J55" s="32">
        <v>0</v>
      </c>
      <c r="K55" s="32">
        <v>0</v>
      </c>
      <c r="L55" s="32">
        <v>0</v>
      </c>
      <c r="M55" s="32">
        <v>0</v>
      </c>
      <c r="N55" s="32">
        <v>0</v>
      </c>
      <c r="O55" s="216" t="s">
        <v>758</v>
      </c>
      <c r="P55" s="217"/>
      <c r="Q55" s="217"/>
      <c r="R55" s="218"/>
      <c r="S55" s="28" t="s">
        <v>48</v>
      </c>
      <c r="T55" s="113">
        <v>42</v>
      </c>
    </row>
    <row r="56" spans="1:20" ht="135" customHeight="1" x14ac:dyDescent="0.25">
      <c r="A56" s="21">
        <v>43</v>
      </c>
      <c r="B56" s="22" t="s">
        <v>545</v>
      </c>
      <c r="C56" s="213" t="s">
        <v>546</v>
      </c>
      <c r="D56" s="214"/>
      <c r="E56" s="214"/>
      <c r="F56" s="215"/>
      <c r="G56" s="31" t="s">
        <v>548</v>
      </c>
      <c r="H56" s="24" t="s">
        <v>547</v>
      </c>
      <c r="I56" s="32">
        <v>1</v>
      </c>
      <c r="J56" s="32">
        <v>0</v>
      </c>
      <c r="K56" s="32">
        <v>0</v>
      </c>
      <c r="L56" s="32">
        <v>0</v>
      </c>
      <c r="M56" s="32">
        <v>0</v>
      </c>
      <c r="N56" s="32">
        <v>0</v>
      </c>
      <c r="O56" s="216" t="s">
        <v>759</v>
      </c>
      <c r="P56" s="217"/>
      <c r="Q56" s="217"/>
      <c r="R56" s="218"/>
      <c r="S56" s="28" t="s">
        <v>46</v>
      </c>
      <c r="T56" s="112">
        <v>43</v>
      </c>
    </row>
    <row r="57" spans="1:20" ht="135" customHeight="1" x14ac:dyDescent="0.25">
      <c r="A57" s="30">
        <v>44</v>
      </c>
      <c r="B57" s="22" t="s">
        <v>549</v>
      </c>
      <c r="C57" s="213" t="s">
        <v>550</v>
      </c>
      <c r="D57" s="214"/>
      <c r="E57" s="214"/>
      <c r="F57" s="215"/>
      <c r="G57" s="31" t="s">
        <v>552</v>
      </c>
      <c r="H57" s="24" t="s">
        <v>551</v>
      </c>
      <c r="I57" s="32">
        <v>1</v>
      </c>
      <c r="J57" s="32">
        <v>0</v>
      </c>
      <c r="K57" s="32">
        <v>0</v>
      </c>
      <c r="L57" s="32">
        <v>0</v>
      </c>
      <c r="M57" s="32">
        <v>0</v>
      </c>
      <c r="N57" s="32">
        <v>0</v>
      </c>
      <c r="O57" s="216" t="s">
        <v>733</v>
      </c>
      <c r="P57" s="217"/>
      <c r="Q57" s="217"/>
      <c r="R57" s="218"/>
      <c r="S57" s="28" t="s">
        <v>46</v>
      </c>
      <c r="T57" s="113">
        <v>44</v>
      </c>
    </row>
    <row r="58" spans="1:20" ht="189.75" customHeight="1" x14ac:dyDescent="0.25">
      <c r="A58" s="21">
        <v>45</v>
      </c>
      <c r="B58" s="22" t="s">
        <v>549</v>
      </c>
      <c r="C58" s="213" t="s">
        <v>553</v>
      </c>
      <c r="D58" s="214"/>
      <c r="E58" s="214"/>
      <c r="F58" s="215"/>
      <c r="G58" s="23" t="s">
        <v>555</v>
      </c>
      <c r="H58" s="24" t="s">
        <v>554</v>
      </c>
      <c r="I58" s="32">
        <v>1</v>
      </c>
      <c r="J58" s="32">
        <v>0</v>
      </c>
      <c r="K58" s="32">
        <v>0</v>
      </c>
      <c r="L58" s="32">
        <v>0</v>
      </c>
      <c r="M58" s="32">
        <v>0</v>
      </c>
      <c r="N58" s="32">
        <v>0</v>
      </c>
      <c r="O58" s="219" t="s">
        <v>746</v>
      </c>
      <c r="P58" s="220"/>
      <c r="Q58" s="220"/>
      <c r="R58" s="221"/>
      <c r="S58" s="28" t="s">
        <v>46</v>
      </c>
      <c r="T58" s="112">
        <v>45</v>
      </c>
    </row>
    <row r="59" spans="1:20" ht="174.95" customHeight="1" x14ac:dyDescent="0.25">
      <c r="A59" s="30">
        <v>46</v>
      </c>
      <c r="B59" s="22" t="s">
        <v>565</v>
      </c>
      <c r="C59" s="213" t="s">
        <v>564</v>
      </c>
      <c r="D59" s="214"/>
      <c r="E59" s="214"/>
      <c r="F59" s="215"/>
      <c r="G59" s="31" t="s">
        <v>563</v>
      </c>
      <c r="H59" s="24" t="s">
        <v>562</v>
      </c>
      <c r="I59" s="32">
        <v>0</v>
      </c>
      <c r="J59" s="32">
        <v>1</v>
      </c>
      <c r="K59" s="32">
        <v>0</v>
      </c>
      <c r="L59" s="32">
        <v>0</v>
      </c>
      <c r="M59" s="32">
        <v>0</v>
      </c>
      <c r="N59" s="32">
        <v>0</v>
      </c>
      <c r="O59" s="219" t="s">
        <v>714</v>
      </c>
      <c r="P59" s="220"/>
      <c r="Q59" s="220"/>
      <c r="R59" s="221"/>
      <c r="S59" s="28" t="s">
        <v>46</v>
      </c>
      <c r="T59" s="117">
        <v>1</v>
      </c>
    </row>
    <row r="60" spans="1:20" ht="174.95" customHeight="1" x14ac:dyDescent="0.25">
      <c r="A60" s="21">
        <v>47</v>
      </c>
      <c r="B60" s="24" t="s">
        <v>566</v>
      </c>
      <c r="C60" s="213" t="s">
        <v>567</v>
      </c>
      <c r="D60" s="214"/>
      <c r="E60" s="214"/>
      <c r="F60" s="215"/>
      <c r="G60" s="31" t="s">
        <v>569</v>
      </c>
      <c r="H60" s="24" t="s">
        <v>568</v>
      </c>
      <c r="I60" s="32">
        <v>1</v>
      </c>
      <c r="J60" s="32">
        <v>0</v>
      </c>
      <c r="K60" s="32">
        <v>0</v>
      </c>
      <c r="L60" s="32">
        <v>0</v>
      </c>
      <c r="M60" s="32">
        <v>0</v>
      </c>
      <c r="N60" s="32">
        <v>0</v>
      </c>
      <c r="O60" s="219" t="s">
        <v>715</v>
      </c>
      <c r="P60" s="220"/>
      <c r="Q60" s="220"/>
      <c r="R60" s="221"/>
      <c r="S60" s="28" t="s">
        <v>46</v>
      </c>
      <c r="T60" s="117">
        <v>2</v>
      </c>
    </row>
    <row r="61" spans="1:20" ht="192" customHeight="1" x14ac:dyDescent="0.25">
      <c r="A61" s="30">
        <v>48</v>
      </c>
      <c r="B61" s="24" t="s">
        <v>566</v>
      </c>
      <c r="C61" s="213" t="s">
        <v>570</v>
      </c>
      <c r="D61" s="214"/>
      <c r="E61" s="214"/>
      <c r="F61" s="215"/>
      <c r="G61" s="31" t="s">
        <v>572</v>
      </c>
      <c r="H61" s="24" t="s">
        <v>571</v>
      </c>
      <c r="I61" s="32">
        <v>1</v>
      </c>
      <c r="J61" s="32">
        <v>0</v>
      </c>
      <c r="K61" s="32">
        <v>0</v>
      </c>
      <c r="L61" s="32">
        <v>0</v>
      </c>
      <c r="M61" s="32">
        <v>0</v>
      </c>
      <c r="N61" s="32">
        <v>0</v>
      </c>
      <c r="O61" s="219" t="s">
        <v>716</v>
      </c>
      <c r="P61" s="220"/>
      <c r="Q61" s="220"/>
      <c r="R61" s="221"/>
      <c r="S61" s="28" t="s">
        <v>46</v>
      </c>
      <c r="T61" s="117">
        <v>3</v>
      </c>
    </row>
    <row r="62" spans="1:20" ht="218.25" customHeight="1" x14ac:dyDescent="0.25">
      <c r="A62" s="21">
        <v>49</v>
      </c>
      <c r="B62" s="24" t="s">
        <v>573</v>
      </c>
      <c r="C62" s="213" t="s">
        <v>502</v>
      </c>
      <c r="D62" s="214"/>
      <c r="E62" s="214"/>
      <c r="F62" s="215"/>
      <c r="G62" s="31" t="s">
        <v>575</v>
      </c>
      <c r="H62" s="24" t="s">
        <v>574</v>
      </c>
      <c r="I62" s="32">
        <v>1</v>
      </c>
      <c r="J62" s="32">
        <v>0</v>
      </c>
      <c r="K62" s="32">
        <v>0</v>
      </c>
      <c r="L62" s="32">
        <v>0</v>
      </c>
      <c r="M62" s="32">
        <v>0</v>
      </c>
      <c r="N62" s="32">
        <v>0</v>
      </c>
      <c r="O62" s="219" t="s">
        <v>717</v>
      </c>
      <c r="P62" s="220"/>
      <c r="Q62" s="220"/>
      <c r="R62" s="221"/>
      <c r="S62" s="28" t="s">
        <v>46</v>
      </c>
      <c r="T62" s="117">
        <v>4</v>
      </c>
    </row>
    <row r="63" spans="1:20" ht="174.95" customHeight="1" x14ac:dyDescent="0.25">
      <c r="A63" s="30">
        <v>50</v>
      </c>
      <c r="B63" s="24" t="s">
        <v>573</v>
      </c>
      <c r="C63" s="213" t="s">
        <v>576</v>
      </c>
      <c r="D63" s="214"/>
      <c r="E63" s="214"/>
      <c r="F63" s="215"/>
      <c r="G63" s="31" t="s">
        <v>578</v>
      </c>
      <c r="H63" s="24" t="s">
        <v>577</v>
      </c>
      <c r="I63" s="32">
        <v>1</v>
      </c>
      <c r="J63" s="32">
        <v>0</v>
      </c>
      <c r="K63" s="32">
        <v>0</v>
      </c>
      <c r="L63" s="32">
        <v>0</v>
      </c>
      <c r="M63" s="32">
        <v>0</v>
      </c>
      <c r="N63" s="32">
        <v>0</v>
      </c>
      <c r="O63" s="219" t="s">
        <v>718</v>
      </c>
      <c r="P63" s="220"/>
      <c r="Q63" s="220"/>
      <c r="R63" s="221"/>
      <c r="S63" s="28" t="s">
        <v>46</v>
      </c>
      <c r="T63" s="117">
        <v>5</v>
      </c>
    </row>
    <row r="64" spans="1:20" ht="148.5" customHeight="1" x14ac:dyDescent="0.25">
      <c r="A64" s="21">
        <v>51</v>
      </c>
      <c r="B64" s="24" t="s">
        <v>579</v>
      </c>
      <c r="C64" s="213" t="s">
        <v>580</v>
      </c>
      <c r="D64" s="214"/>
      <c r="E64" s="214"/>
      <c r="F64" s="215"/>
      <c r="G64" s="31" t="s">
        <v>582</v>
      </c>
      <c r="H64" s="24" t="s">
        <v>581</v>
      </c>
      <c r="I64" s="32">
        <v>1</v>
      </c>
      <c r="J64" s="32">
        <v>0</v>
      </c>
      <c r="K64" s="32">
        <v>0</v>
      </c>
      <c r="L64" s="32">
        <v>0</v>
      </c>
      <c r="M64" s="32">
        <v>0</v>
      </c>
      <c r="N64" s="32">
        <v>0</v>
      </c>
      <c r="O64" s="219" t="s">
        <v>719</v>
      </c>
      <c r="P64" s="220"/>
      <c r="Q64" s="220"/>
      <c r="R64" s="221"/>
      <c r="S64" s="28" t="s">
        <v>46</v>
      </c>
      <c r="T64" s="117">
        <v>6</v>
      </c>
    </row>
    <row r="65" spans="1:20" ht="189.75" customHeight="1" x14ac:dyDescent="0.25">
      <c r="A65" s="30">
        <v>52</v>
      </c>
      <c r="B65" s="24" t="s">
        <v>579</v>
      </c>
      <c r="C65" s="213" t="s">
        <v>583</v>
      </c>
      <c r="D65" s="214"/>
      <c r="E65" s="214"/>
      <c r="F65" s="215"/>
      <c r="G65" s="31" t="s">
        <v>585</v>
      </c>
      <c r="H65" s="24" t="s">
        <v>584</v>
      </c>
      <c r="I65" s="32">
        <v>1</v>
      </c>
      <c r="J65" s="32">
        <v>0</v>
      </c>
      <c r="K65" s="32">
        <v>0</v>
      </c>
      <c r="L65" s="32">
        <v>0</v>
      </c>
      <c r="M65" s="32">
        <v>0</v>
      </c>
      <c r="N65" s="32">
        <v>0</v>
      </c>
      <c r="O65" s="219" t="s">
        <v>720</v>
      </c>
      <c r="P65" s="220"/>
      <c r="Q65" s="220"/>
      <c r="R65" s="221"/>
      <c r="S65" s="28" t="s">
        <v>46</v>
      </c>
      <c r="T65" s="117">
        <v>7</v>
      </c>
    </row>
    <row r="66" spans="1:20" ht="135" customHeight="1" x14ac:dyDescent="0.25">
      <c r="A66" s="21">
        <v>53</v>
      </c>
      <c r="B66" s="24" t="s">
        <v>586</v>
      </c>
      <c r="C66" s="213" t="s">
        <v>587</v>
      </c>
      <c r="D66" s="214"/>
      <c r="E66" s="214"/>
      <c r="F66" s="215"/>
      <c r="G66" s="31" t="s">
        <v>589</v>
      </c>
      <c r="H66" s="24" t="s">
        <v>588</v>
      </c>
      <c r="I66" s="32">
        <v>1</v>
      </c>
      <c r="J66" s="32">
        <v>0</v>
      </c>
      <c r="K66" s="32">
        <v>0</v>
      </c>
      <c r="L66" s="32">
        <v>0</v>
      </c>
      <c r="M66" s="32">
        <v>0</v>
      </c>
      <c r="N66" s="32">
        <v>0</v>
      </c>
      <c r="O66" s="219" t="s">
        <v>632</v>
      </c>
      <c r="P66" s="220"/>
      <c r="Q66" s="220"/>
      <c r="R66" s="221"/>
      <c r="S66" s="28" t="s">
        <v>46</v>
      </c>
      <c r="T66" s="117">
        <v>8</v>
      </c>
    </row>
    <row r="67" spans="1:20" ht="135" customHeight="1" x14ac:dyDescent="0.25">
      <c r="A67" s="30">
        <v>54</v>
      </c>
      <c r="B67" s="24" t="s">
        <v>586</v>
      </c>
      <c r="C67" s="213" t="s">
        <v>590</v>
      </c>
      <c r="D67" s="214"/>
      <c r="E67" s="214"/>
      <c r="F67" s="215"/>
      <c r="G67" s="31" t="s">
        <v>592</v>
      </c>
      <c r="H67" s="24" t="s">
        <v>591</v>
      </c>
      <c r="I67" s="32">
        <v>1</v>
      </c>
      <c r="J67" s="32">
        <v>0</v>
      </c>
      <c r="K67" s="32">
        <v>0</v>
      </c>
      <c r="L67" s="32">
        <v>0</v>
      </c>
      <c r="M67" s="32">
        <v>0</v>
      </c>
      <c r="N67" s="32">
        <v>0</v>
      </c>
      <c r="O67" s="219" t="s">
        <v>716</v>
      </c>
      <c r="P67" s="220"/>
      <c r="Q67" s="220"/>
      <c r="R67" s="221"/>
      <c r="S67" s="28" t="s">
        <v>46</v>
      </c>
      <c r="T67" s="117">
        <v>9</v>
      </c>
    </row>
    <row r="68" spans="1:20" ht="135" customHeight="1" x14ac:dyDescent="0.25">
      <c r="A68" s="21">
        <v>55</v>
      </c>
      <c r="B68" s="24" t="s">
        <v>593</v>
      </c>
      <c r="C68" s="213" t="s">
        <v>594</v>
      </c>
      <c r="D68" s="214"/>
      <c r="E68" s="214"/>
      <c r="F68" s="215"/>
      <c r="G68" s="31" t="s">
        <v>596</v>
      </c>
      <c r="H68" s="24" t="s">
        <v>595</v>
      </c>
      <c r="I68" s="32">
        <v>1</v>
      </c>
      <c r="J68" s="32">
        <v>0</v>
      </c>
      <c r="K68" s="32">
        <v>0</v>
      </c>
      <c r="L68" s="32">
        <v>0</v>
      </c>
      <c r="M68" s="32">
        <v>0</v>
      </c>
      <c r="N68" s="32">
        <v>0</v>
      </c>
      <c r="O68" s="219" t="s">
        <v>721</v>
      </c>
      <c r="P68" s="220"/>
      <c r="Q68" s="220"/>
      <c r="R68" s="221"/>
      <c r="S68" s="28" t="s">
        <v>46</v>
      </c>
      <c r="T68" s="117">
        <v>10</v>
      </c>
    </row>
    <row r="69" spans="1:20" ht="135" customHeight="1" x14ac:dyDescent="0.25">
      <c r="A69" s="30">
        <v>56</v>
      </c>
      <c r="B69" s="24" t="s">
        <v>597</v>
      </c>
      <c r="C69" s="213" t="s">
        <v>598</v>
      </c>
      <c r="D69" s="214"/>
      <c r="E69" s="214"/>
      <c r="F69" s="215"/>
      <c r="G69" s="31" t="s">
        <v>600</v>
      </c>
      <c r="H69" s="24" t="s">
        <v>599</v>
      </c>
      <c r="I69" s="32">
        <v>1</v>
      </c>
      <c r="J69" s="32">
        <v>0</v>
      </c>
      <c r="K69" s="32">
        <v>0</v>
      </c>
      <c r="L69" s="32">
        <v>0</v>
      </c>
      <c r="M69" s="32">
        <v>0</v>
      </c>
      <c r="N69" s="32">
        <v>0</v>
      </c>
      <c r="O69" s="219" t="s">
        <v>722</v>
      </c>
      <c r="P69" s="220"/>
      <c r="Q69" s="220"/>
      <c r="R69" s="221"/>
      <c r="S69" s="28" t="s">
        <v>46</v>
      </c>
      <c r="T69" s="117">
        <v>11</v>
      </c>
    </row>
    <row r="70" spans="1:20" ht="135" customHeight="1" x14ac:dyDescent="0.25">
      <c r="A70" s="21">
        <v>57</v>
      </c>
      <c r="B70" s="24" t="s">
        <v>597</v>
      </c>
      <c r="C70" s="213" t="s">
        <v>601</v>
      </c>
      <c r="D70" s="214"/>
      <c r="E70" s="214"/>
      <c r="F70" s="215"/>
      <c r="G70" s="31" t="s">
        <v>603</v>
      </c>
      <c r="H70" s="24" t="s">
        <v>602</v>
      </c>
      <c r="I70" s="32">
        <v>1</v>
      </c>
      <c r="J70" s="32">
        <v>0</v>
      </c>
      <c r="K70" s="32">
        <v>0</v>
      </c>
      <c r="L70" s="32">
        <v>0</v>
      </c>
      <c r="M70" s="32">
        <v>0</v>
      </c>
      <c r="N70" s="32">
        <v>0</v>
      </c>
      <c r="O70" s="219" t="s">
        <v>723</v>
      </c>
      <c r="P70" s="220"/>
      <c r="Q70" s="220"/>
      <c r="R70" s="221"/>
      <c r="S70" s="28" t="s">
        <v>46</v>
      </c>
      <c r="T70" s="117">
        <v>12</v>
      </c>
    </row>
    <row r="71" spans="1:20" ht="135" customHeight="1" x14ac:dyDescent="0.25">
      <c r="A71" s="30">
        <v>58</v>
      </c>
      <c r="B71" s="22" t="s">
        <v>604</v>
      </c>
      <c r="C71" s="213" t="s">
        <v>605</v>
      </c>
      <c r="D71" s="214"/>
      <c r="E71" s="214"/>
      <c r="F71" s="215"/>
      <c r="G71" s="31" t="s">
        <v>607</v>
      </c>
      <c r="H71" s="24" t="s">
        <v>606</v>
      </c>
      <c r="I71" s="32">
        <v>0</v>
      </c>
      <c r="J71" s="32">
        <v>1</v>
      </c>
      <c r="K71" s="32">
        <v>0</v>
      </c>
      <c r="L71" s="32">
        <v>0</v>
      </c>
      <c r="M71" s="32">
        <v>0</v>
      </c>
      <c r="N71" s="32">
        <v>0</v>
      </c>
      <c r="O71" s="216" t="s">
        <v>726</v>
      </c>
      <c r="P71" s="217"/>
      <c r="Q71" s="217"/>
      <c r="R71" s="218"/>
      <c r="S71" s="28" t="s">
        <v>608</v>
      </c>
      <c r="T71" s="117">
        <v>13</v>
      </c>
    </row>
    <row r="72" spans="1:20" ht="146.25" customHeight="1" x14ac:dyDescent="0.25">
      <c r="A72" s="21">
        <v>59</v>
      </c>
      <c r="B72" s="24" t="s">
        <v>604</v>
      </c>
      <c r="C72" s="213" t="s">
        <v>609</v>
      </c>
      <c r="D72" s="214"/>
      <c r="E72" s="214"/>
      <c r="F72" s="215"/>
      <c r="G72" s="31" t="s">
        <v>611</v>
      </c>
      <c r="H72" s="24" t="s">
        <v>610</v>
      </c>
      <c r="I72" s="32">
        <v>0</v>
      </c>
      <c r="J72" s="32">
        <v>1</v>
      </c>
      <c r="K72" s="32">
        <v>0</v>
      </c>
      <c r="L72" s="32">
        <v>0</v>
      </c>
      <c r="M72" s="32">
        <v>0</v>
      </c>
      <c r="N72" s="32">
        <v>0</v>
      </c>
      <c r="O72" s="216" t="s">
        <v>725</v>
      </c>
      <c r="P72" s="217"/>
      <c r="Q72" s="217"/>
      <c r="R72" s="218"/>
      <c r="S72" s="28" t="s">
        <v>384</v>
      </c>
      <c r="T72" s="117">
        <v>14</v>
      </c>
    </row>
    <row r="73" spans="1:20" ht="185.25" customHeight="1" x14ac:dyDescent="0.25">
      <c r="A73" s="30">
        <v>60</v>
      </c>
      <c r="B73" s="22" t="s">
        <v>612</v>
      </c>
      <c r="C73" s="213" t="s">
        <v>613</v>
      </c>
      <c r="D73" s="214"/>
      <c r="E73" s="214"/>
      <c r="F73" s="215"/>
      <c r="G73" s="31" t="s">
        <v>615</v>
      </c>
      <c r="H73" s="24" t="s">
        <v>614</v>
      </c>
      <c r="I73" s="32">
        <v>0</v>
      </c>
      <c r="J73" s="32">
        <v>1</v>
      </c>
      <c r="K73" s="32">
        <v>0</v>
      </c>
      <c r="L73" s="32">
        <v>0</v>
      </c>
      <c r="M73" s="32">
        <v>0</v>
      </c>
      <c r="N73" s="32">
        <v>0</v>
      </c>
      <c r="O73" s="216" t="s">
        <v>619</v>
      </c>
      <c r="P73" s="217"/>
      <c r="Q73" s="217"/>
      <c r="R73" s="218"/>
      <c r="S73" s="28" t="s">
        <v>55</v>
      </c>
      <c r="T73" s="117">
        <v>15</v>
      </c>
    </row>
    <row r="74" spans="1:20" ht="135" customHeight="1" x14ac:dyDescent="0.25">
      <c r="A74" s="21">
        <v>61</v>
      </c>
      <c r="B74" s="22" t="s">
        <v>616</v>
      </c>
      <c r="C74" s="213" t="s">
        <v>363</v>
      </c>
      <c r="D74" s="214"/>
      <c r="E74" s="214"/>
      <c r="F74" s="215"/>
      <c r="G74" s="31" t="s">
        <v>618</v>
      </c>
      <c r="H74" s="24" t="s">
        <v>617</v>
      </c>
      <c r="I74" s="32">
        <v>0</v>
      </c>
      <c r="J74" s="32">
        <v>1</v>
      </c>
      <c r="K74" s="32">
        <v>0</v>
      </c>
      <c r="L74" s="32">
        <v>0</v>
      </c>
      <c r="M74" s="32">
        <v>0</v>
      </c>
      <c r="N74" s="32">
        <v>0</v>
      </c>
      <c r="O74" s="216" t="s">
        <v>724</v>
      </c>
      <c r="P74" s="217"/>
      <c r="Q74" s="217"/>
      <c r="R74" s="218"/>
      <c r="S74" s="28" t="s">
        <v>49</v>
      </c>
      <c r="T74" s="117">
        <v>16</v>
      </c>
    </row>
    <row r="75" spans="1:20" ht="135" customHeight="1" x14ac:dyDescent="0.25">
      <c r="A75" s="30">
        <v>62</v>
      </c>
      <c r="B75" s="22" t="s">
        <v>616</v>
      </c>
      <c r="C75" s="213" t="s">
        <v>620</v>
      </c>
      <c r="D75" s="214"/>
      <c r="E75" s="214"/>
      <c r="F75" s="215"/>
      <c r="G75" s="31" t="s">
        <v>622</v>
      </c>
      <c r="H75" s="24" t="s">
        <v>621</v>
      </c>
      <c r="I75" s="32">
        <v>1</v>
      </c>
      <c r="J75" s="32">
        <v>0</v>
      </c>
      <c r="K75" s="32">
        <v>0</v>
      </c>
      <c r="L75" s="32">
        <v>0</v>
      </c>
      <c r="M75" s="32">
        <v>0</v>
      </c>
      <c r="N75" s="32">
        <v>0</v>
      </c>
      <c r="O75" s="216" t="s">
        <v>623</v>
      </c>
      <c r="P75" s="217"/>
      <c r="Q75" s="217"/>
      <c r="R75" s="218"/>
      <c r="S75" s="28" t="s">
        <v>52</v>
      </c>
      <c r="T75" s="117">
        <v>17</v>
      </c>
    </row>
    <row r="76" spans="1:20" ht="160.5" customHeight="1" x14ac:dyDescent="0.25">
      <c r="A76" s="21">
        <v>63</v>
      </c>
      <c r="B76" s="22" t="s">
        <v>624</v>
      </c>
      <c r="C76" s="213" t="s">
        <v>360</v>
      </c>
      <c r="D76" s="214"/>
      <c r="E76" s="214"/>
      <c r="F76" s="215"/>
      <c r="G76" s="31" t="s">
        <v>626</v>
      </c>
      <c r="H76" s="24" t="s">
        <v>625</v>
      </c>
      <c r="I76" s="32">
        <v>1</v>
      </c>
      <c r="J76" s="32">
        <v>0</v>
      </c>
      <c r="K76" s="32">
        <v>0</v>
      </c>
      <c r="L76" s="32">
        <v>0</v>
      </c>
      <c r="M76" s="32">
        <v>0</v>
      </c>
      <c r="N76" s="32">
        <v>0</v>
      </c>
      <c r="O76" s="216" t="s">
        <v>627</v>
      </c>
      <c r="P76" s="217"/>
      <c r="Q76" s="217"/>
      <c r="R76" s="218"/>
      <c r="S76" s="28" t="s">
        <v>46</v>
      </c>
      <c r="T76" s="117">
        <v>18</v>
      </c>
    </row>
    <row r="77" spans="1:20" ht="135" customHeight="1" x14ac:dyDescent="0.25">
      <c r="A77" s="30">
        <v>64</v>
      </c>
      <c r="B77" s="24" t="s">
        <v>628</v>
      </c>
      <c r="C77" s="114" t="s">
        <v>629</v>
      </c>
      <c r="D77" s="115"/>
      <c r="E77" s="115"/>
      <c r="F77" s="116"/>
      <c r="G77" s="35" t="s">
        <v>631</v>
      </c>
      <c r="H77" s="24" t="s">
        <v>630</v>
      </c>
      <c r="I77" s="32">
        <v>1</v>
      </c>
      <c r="J77" s="32">
        <v>0</v>
      </c>
      <c r="K77" s="32">
        <v>0</v>
      </c>
      <c r="L77" s="32">
        <v>0</v>
      </c>
      <c r="M77" s="32">
        <v>0</v>
      </c>
      <c r="N77" s="32">
        <v>0</v>
      </c>
      <c r="O77" s="219" t="s">
        <v>632</v>
      </c>
      <c r="P77" s="220"/>
      <c r="Q77" s="220"/>
      <c r="R77" s="221"/>
      <c r="S77" s="28" t="s">
        <v>46</v>
      </c>
      <c r="T77" s="117">
        <v>19</v>
      </c>
    </row>
    <row r="78" spans="1:20" ht="149.25" customHeight="1" x14ac:dyDescent="0.25">
      <c r="A78" s="21">
        <v>65</v>
      </c>
      <c r="B78" s="22" t="s">
        <v>628</v>
      </c>
      <c r="C78" s="213" t="s">
        <v>633</v>
      </c>
      <c r="D78" s="214"/>
      <c r="E78" s="214"/>
      <c r="F78" s="215"/>
      <c r="G78" s="31" t="s">
        <v>635</v>
      </c>
      <c r="H78" s="24" t="s">
        <v>634</v>
      </c>
      <c r="I78" s="32">
        <v>1</v>
      </c>
      <c r="J78" s="32">
        <v>0</v>
      </c>
      <c r="K78" s="32">
        <v>0</v>
      </c>
      <c r="L78" s="32">
        <v>0</v>
      </c>
      <c r="M78" s="32">
        <v>0</v>
      </c>
      <c r="N78" s="32">
        <v>0</v>
      </c>
      <c r="O78" s="216" t="s">
        <v>636</v>
      </c>
      <c r="P78" s="217"/>
      <c r="Q78" s="217"/>
      <c r="R78" s="218"/>
      <c r="S78" s="28" t="s">
        <v>48</v>
      </c>
      <c r="T78" s="117">
        <v>20</v>
      </c>
    </row>
    <row r="79" spans="1:20" ht="135" customHeight="1" x14ac:dyDescent="0.25">
      <c r="A79" s="30">
        <v>66</v>
      </c>
      <c r="B79" s="40" t="s">
        <v>637</v>
      </c>
      <c r="C79" s="213" t="s">
        <v>638</v>
      </c>
      <c r="D79" s="214"/>
      <c r="E79" s="214"/>
      <c r="F79" s="215"/>
      <c r="G79" s="31" t="s">
        <v>639</v>
      </c>
      <c r="H79" s="24" t="s">
        <v>640</v>
      </c>
      <c r="I79" s="32">
        <v>1</v>
      </c>
      <c r="J79" s="32">
        <v>0</v>
      </c>
      <c r="K79" s="32">
        <v>0</v>
      </c>
      <c r="L79" s="32">
        <v>0</v>
      </c>
      <c r="M79" s="32">
        <v>0</v>
      </c>
      <c r="N79" s="32">
        <v>0</v>
      </c>
      <c r="O79" s="216" t="s">
        <v>641</v>
      </c>
      <c r="P79" s="217"/>
      <c r="Q79" s="217"/>
      <c r="R79" s="218"/>
      <c r="S79" s="28" t="s">
        <v>46</v>
      </c>
      <c r="T79" s="117">
        <v>21</v>
      </c>
    </row>
    <row r="80" spans="1:20" ht="135" customHeight="1" x14ac:dyDescent="0.25">
      <c r="A80" s="21">
        <v>67</v>
      </c>
      <c r="B80" s="36" t="s">
        <v>642</v>
      </c>
      <c r="C80" s="213" t="s">
        <v>643</v>
      </c>
      <c r="D80" s="214"/>
      <c r="E80" s="214"/>
      <c r="F80" s="215"/>
      <c r="G80" s="31" t="s">
        <v>645</v>
      </c>
      <c r="H80" s="24" t="s">
        <v>644</v>
      </c>
      <c r="I80" s="32">
        <v>0</v>
      </c>
      <c r="J80" s="32">
        <v>1</v>
      </c>
      <c r="K80" s="32">
        <v>0</v>
      </c>
      <c r="L80" s="32">
        <v>0</v>
      </c>
      <c r="M80" s="32">
        <v>0</v>
      </c>
      <c r="N80" s="32">
        <v>0</v>
      </c>
      <c r="O80" s="216" t="s">
        <v>647</v>
      </c>
      <c r="P80" s="217"/>
      <c r="Q80" s="217"/>
      <c r="R80" s="218"/>
      <c r="S80" s="28" t="s">
        <v>646</v>
      </c>
      <c r="T80" s="117">
        <v>22</v>
      </c>
    </row>
    <row r="81" spans="1:20" ht="135" customHeight="1" x14ac:dyDescent="0.25">
      <c r="A81" s="30">
        <v>68</v>
      </c>
      <c r="B81" s="36" t="s">
        <v>648</v>
      </c>
      <c r="C81" s="213" t="s">
        <v>649</v>
      </c>
      <c r="D81" s="214"/>
      <c r="E81" s="214"/>
      <c r="F81" s="215"/>
      <c r="G81" s="31" t="s">
        <v>651</v>
      </c>
      <c r="H81" s="24" t="s">
        <v>650</v>
      </c>
      <c r="I81" s="32">
        <v>1</v>
      </c>
      <c r="J81" s="32">
        <v>0</v>
      </c>
      <c r="K81" s="32">
        <v>0</v>
      </c>
      <c r="L81" s="32">
        <v>0</v>
      </c>
      <c r="M81" s="32">
        <v>0</v>
      </c>
      <c r="N81" s="32">
        <v>0</v>
      </c>
      <c r="O81" s="216" t="s">
        <v>652</v>
      </c>
      <c r="P81" s="217"/>
      <c r="Q81" s="217"/>
      <c r="R81" s="218"/>
      <c r="S81" s="28" t="s">
        <v>46</v>
      </c>
      <c r="T81" s="117">
        <v>23</v>
      </c>
    </row>
    <row r="82" spans="1:20" ht="161.25" customHeight="1" x14ac:dyDescent="0.25">
      <c r="A82" s="21">
        <v>69</v>
      </c>
      <c r="B82" s="36" t="s">
        <v>653</v>
      </c>
      <c r="C82" s="213" t="s">
        <v>654</v>
      </c>
      <c r="D82" s="214"/>
      <c r="E82" s="214"/>
      <c r="F82" s="215"/>
      <c r="G82" s="31" t="s">
        <v>656</v>
      </c>
      <c r="H82" s="24" t="s">
        <v>655</v>
      </c>
      <c r="I82" s="32">
        <v>1</v>
      </c>
      <c r="J82" s="32">
        <v>0</v>
      </c>
      <c r="K82" s="32">
        <v>0</v>
      </c>
      <c r="L82" s="32">
        <v>0</v>
      </c>
      <c r="M82" s="32">
        <v>0</v>
      </c>
      <c r="N82" s="32">
        <v>0</v>
      </c>
      <c r="O82" s="219" t="s">
        <v>657</v>
      </c>
      <c r="P82" s="220"/>
      <c r="Q82" s="220"/>
      <c r="R82" s="221"/>
      <c r="S82" s="28" t="s">
        <v>45</v>
      </c>
      <c r="T82" s="117">
        <v>24</v>
      </c>
    </row>
    <row r="83" spans="1:20" ht="189" customHeight="1" x14ac:dyDescent="0.25">
      <c r="A83" s="30">
        <v>70</v>
      </c>
      <c r="B83" s="36" t="s">
        <v>658</v>
      </c>
      <c r="C83" s="213" t="s">
        <v>659</v>
      </c>
      <c r="D83" s="214"/>
      <c r="E83" s="214"/>
      <c r="F83" s="215"/>
      <c r="G83" s="31" t="s">
        <v>661</v>
      </c>
      <c r="H83" s="24" t="s">
        <v>660</v>
      </c>
      <c r="I83" s="32">
        <v>1</v>
      </c>
      <c r="J83" s="32">
        <v>0</v>
      </c>
      <c r="K83" s="32">
        <v>0</v>
      </c>
      <c r="L83" s="32">
        <v>0</v>
      </c>
      <c r="M83" s="32">
        <v>0</v>
      </c>
      <c r="N83" s="32">
        <v>0</v>
      </c>
      <c r="O83" s="219" t="s">
        <v>662</v>
      </c>
      <c r="P83" s="220"/>
      <c r="Q83" s="220"/>
      <c r="R83" s="221"/>
      <c r="S83" s="28" t="s">
        <v>46</v>
      </c>
      <c r="T83" s="117">
        <v>25</v>
      </c>
    </row>
    <row r="84" spans="1:20" ht="135" customHeight="1" x14ac:dyDescent="0.25">
      <c r="A84" s="21">
        <v>71</v>
      </c>
      <c r="B84" s="36" t="s">
        <v>663</v>
      </c>
      <c r="C84" s="213" t="s">
        <v>664</v>
      </c>
      <c r="D84" s="214"/>
      <c r="E84" s="214"/>
      <c r="F84" s="215"/>
      <c r="G84" s="31" t="s">
        <v>666</v>
      </c>
      <c r="H84" s="24" t="s">
        <v>665</v>
      </c>
      <c r="I84" s="32">
        <v>1</v>
      </c>
      <c r="J84" s="32">
        <v>0</v>
      </c>
      <c r="K84" s="32">
        <v>0</v>
      </c>
      <c r="L84" s="32">
        <v>0</v>
      </c>
      <c r="M84" s="32">
        <v>0</v>
      </c>
      <c r="N84" s="32">
        <v>0</v>
      </c>
      <c r="O84" s="219" t="s">
        <v>667</v>
      </c>
      <c r="P84" s="220"/>
      <c r="Q84" s="220"/>
      <c r="R84" s="221"/>
      <c r="S84" s="28" t="s">
        <v>46</v>
      </c>
      <c r="T84" s="117">
        <v>26</v>
      </c>
    </row>
    <row r="85" spans="1:20" ht="135" customHeight="1" x14ac:dyDescent="0.25">
      <c r="A85" s="30">
        <v>72</v>
      </c>
      <c r="B85" s="36" t="s">
        <v>668</v>
      </c>
      <c r="C85" s="213" t="s">
        <v>669</v>
      </c>
      <c r="D85" s="214"/>
      <c r="E85" s="214"/>
      <c r="F85" s="215"/>
      <c r="G85" s="31" t="s">
        <v>671</v>
      </c>
      <c r="H85" s="24" t="s">
        <v>670</v>
      </c>
      <c r="I85" s="32">
        <v>1</v>
      </c>
      <c r="J85" s="32">
        <v>0</v>
      </c>
      <c r="K85" s="32">
        <v>0</v>
      </c>
      <c r="L85" s="32">
        <v>0</v>
      </c>
      <c r="M85" s="32">
        <v>0</v>
      </c>
      <c r="N85" s="32">
        <v>0</v>
      </c>
      <c r="O85" s="219" t="s">
        <v>672</v>
      </c>
      <c r="P85" s="220"/>
      <c r="Q85" s="220"/>
      <c r="R85" s="221"/>
      <c r="S85" s="28" t="s">
        <v>46</v>
      </c>
      <c r="T85" s="117">
        <v>27</v>
      </c>
    </row>
    <row r="86" spans="1:20" ht="164.25" customHeight="1" x14ac:dyDescent="0.25">
      <c r="A86" s="21">
        <v>73</v>
      </c>
      <c r="B86" s="22" t="s">
        <v>668</v>
      </c>
      <c r="C86" s="213" t="s">
        <v>673</v>
      </c>
      <c r="D86" s="214"/>
      <c r="E86" s="214"/>
      <c r="F86" s="215"/>
      <c r="G86" s="23" t="s">
        <v>675</v>
      </c>
      <c r="H86" s="24" t="s">
        <v>674</v>
      </c>
      <c r="I86" s="25">
        <v>1</v>
      </c>
      <c r="J86" s="25">
        <v>0</v>
      </c>
      <c r="K86" s="25">
        <v>0</v>
      </c>
      <c r="L86" s="26">
        <v>0</v>
      </c>
      <c r="M86" s="27">
        <v>0</v>
      </c>
      <c r="N86" s="27">
        <v>0</v>
      </c>
      <c r="O86" s="219" t="s">
        <v>676</v>
      </c>
      <c r="P86" s="220"/>
      <c r="Q86" s="220"/>
      <c r="R86" s="221"/>
      <c r="S86" s="28" t="s">
        <v>46</v>
      </c>
      <c r="T86" s="117">
        <v>28</v>
      </c>
    </row>
    <row r="87" spans="1:20" ht="224.25" customHeight="1" x14ac:dyDescent="0.25">
      <c r="A87" s="30">
        <v>74</v>
      </c>
      <c r="B87" s="22" t="s">
        <v>677</v>
      </c>
      <c r="C87" s="213" t="s">
        <v>363</v>
      </c>
      <c r="D87" s="214"/>
      <c r="E87" s="214"/>
      <c r="F87" s="215"/>
      <c r="G87" s="31" t="s">
        <v>679</v>
      </c>
      <c r="H87" s="24" t="s">
        <v>678</v>
      </c>
      <c r="I87" s="32">
        <v>1</v>
      </c>
      <c r="J87" s="32">
        <v>0</v>
      </c>
      <c r="K87" s="32">
        <v>0</v>
      </c>
      <c r="L87" s="32">
        <v>0</v>
      </c>
      <c r="M87" s="32">
        <v>0</v>
      </c>
      <c r="N87" s="32">
        <v>0</v>
      </c>
      <c r="O87" s="219" t="s">
        <v>680</v>
      </c>
      <c r="P87" s="220"/>
      <c r="Q87" s="220"/>
      <c r="R87" s="221"/>
      <c r="S87" s="28" t="s">
        <v>47</v>
      </c>
      <c r="T87" s="117">
        <v>29</v>
      </c>
    </row>
    <row r="88" spans="1:20" ht="174.95" customHeight="1" x14ac:dyDescent="0.25">
      <c r="A88" s="21">
        <v>75</v>
      </c>
      <c r="B88" s="24" t="s">
        <v>677</v>
      </c>
      <c r="C88" s="213" t="s">
        <v>681</v>
      </c>
      <c r="D88" s="214"/>
      <c r="E88" s="214"/>
      <c r="F88" s="215"/>
      <c r="G88" s="34" t="s">
        <v>683</v>
      </c>
      <c r="H88" s="24" t="s">
        <v>682</v>
      </c>
      <c r="I88" s="32">
        <v>1</v>
      </c>
      <c r="J88" s="32">
        <v>0</v>
      </c>
      <c r="K88" s="32">
        <v>0</v>
      </c>
      <c r="L88" s="32">
        <v>0</v>
      </c>
      <c r="M88" s="32">
        <v>0</v>
      </c>
      <c r="N88" s="32">
        <v>0</v>
      </c>
      <c r="O88" s="219" t="s">
        <v>684</v>
      </c>
      <c r="P88" s="220"/>
      <c r="Q88" s="220"/>
      <c r="R88" s="221"/>
      <c r="S88" s="28" t="s">
        <v>46</v>
      </c>
      <c r="T88" s="117">
        <v>30</v>
      </c>
    </row>
    <row r="89" spans="1:20" ht="135" customHeight="1" x14ac:dyDescent="0.25">
      <c r="A89" s="30">
        <v>76</v>
      </c>
      <c r="B89" s="22" t="s">
        <v>685</v>
      </c>
      <c r="C89" s="213" t="s">
        <v>686</v>
      </c>
      <c r="D89" s="214"/>
      <c r="E89" s="214"/>
      <c r="F89" s="215"/>
      <c r="G89" s="31" t="s">
        <v>688</v>
      </c>
      <c r="H89" s="24" t="s">
        <v>687</v>
      </c>
      <c r="I89" s="32">
        <v>1</v>
      </c>
      <c r="J89" s="32">
        <v>0</v>
      </c>
      <c r="K89" s="32">
        <v>0</v>
      </c>
      <c r="L89" s="32">
        <v>0</v>
      </c>
      <c r="M89" s="32">
        <v>0</v>
      </c>
      <c r="N89" s="32">
        <v>0</v>
      </c>
      <c r="O89" s="216" t="s">
        <v>689</v>
      </c>
      <c r="P89" s="217"/>
      <c r="Q89" s="217"/>
      <c r="R89" s="218"/>
      <c r="S89" s="28" t="s">
        <v>46</v>
      </c>
      <c r="T89" s="117">
        <v>31</v>
      </c>
    </row>
    <row r="90" spans="1:20" ht="135" customHeight="1" x14ac:dyDescent="0.25">
      <c r="A90" s="21">
        <v>77</v>
      </c>
      <c r="B90" s="22" t="s">
        <v>690</v>
      </c>
      <c r="C90" s="213" t="s">
        <v>691</v>
      </c>
      <c r="D90" s="214"/>
      <c r="E90" s="214"/>
      <c r="F90" s="215"/>
      <c r="G90" s="31" t="s">
        <v>693</v>
      </c>
      <c r="H90" s="24" t="s">
        <v>692</v>
      </c>
      <c r="I90" s="32">
        <v>1</v>
      </c>
      <c r="J90" s="32">
        <v>0</v>
      </c>
      <c r="K90" s="32">
        <v>0</v>
      </c>
      <c r="L90" s="32">
        <v>0</v>
      </c>
      <c r="M90" s="32">
        <v>0</v>
      </c>
      <c r="N90" s="32">
        <v>0</v>
      </c>
      <c r="O90" s="216" t="s">
        <v>627</v>
      </c>
      <c r="P90" s="217"/>
      <c r="Q90" s="217"/>
      <c r="R90" s="218"/>
      <c r="S90" s="28" t="s">
        <v>46</v>
      </c>
      <c r="T90" s="117">
        <v>32</v>
      </c>
    </row>
    <row r="91" spans="1:20" ht="211.5" customHeight="1" x14ac:dyDescent="0.25">
      <c r="A91" s="30">
        <v>78</v>
      </c>
      <c r="B91" s="22" t="s">
        <v>690</v>
      </c>
      <c r="C91" s="213" t="s">
        <v>694</v>
      </c>
      <c r="D91" s="214"/>
      <c r="E91" s="214"/>
      <c r="F91" s="215"/>
      <c r="G91" s="23" t="s">
        <v>696</v>
      </c>
      <c r="H91" s="24" t="s">
        <v>695</v>
      </c>
      <c r="I91" s="32">
        <v>0</v>
      </c>
      <c r="J91" s="32">
        <v>1</v>
      </c>
      <c r="K91" s="32">
        <v>0</v>
      </c>
      <c r="L91" s="32">
        <v>0</v>
      </c>
      <c r="M91" s="32">
        <v>0</v>
      </c>
      <c r="N91" s="32">
        <v>0</v>
      </c>
      <c r="O91" s="219" t="s">
        <v>697</v>
      </c>
      <c r="P91" s="220"/>
      <c r="Q91" s="220"/>
      <c r="R91" s="221"/>
      <c r="S91" s="28" t="s">
        <v>49</v>
      </c>
      <c r="T91" s="117">
        <v>33</v>
      </c>
    </row>
    <row r="92" spans="1:20" ht="132" customHeight="1" x14ac:dyDescent="0.25">
      <c r="A92" s="21">
        <v>79</v>
      </c>
      <c r="B92" s="22" t="s">
        <v>698</v>
      </c>
      <c r="C92" s="213" t="s">
        <v>699</v>
      </c>
      <c r="D92" s="214"/>
      <c r="E92" s="214"/>
      <c r="F92" s="215"/>
      <c r="G92" s="31" t="s">
        <v>701</v>
      </c>
      <c r="H92" s="24" t="s">
        <v>700</v>
      </c>
      <c r="I92" s="32">
        <v>1</v>
      </c>
      <c r="J92" s="32">
        <v>0</v>
      </c>
      <c r="K92" s="32">
        <v>0</v>
      </c>
      <c r="L92" s="32">
        <v>0</v>
      </c>
      <c r="M92" s="32">
        <v>0</v>
      </c>
      <c r="N92" s="32">
        <v>0</v>
      </c>
      <c r="O92" s="219" t="s">
        <v>662</v>
      </c>
      <c r="P92" s="220"/>
      <c r="Q92" s="220"/>
      <c r="R92" s="221"/>
      <c r="S92" s="28" t="s">
        <v>46</v>
      </c>
      <c r="T92" s="117">
        <v>34</v>
      </c>
    </row>
    <row r="93" spans="1:20" ht="150.75" customHeight="1" x14ac:dyDescent="0.25">
      <c r="A93" s="30">
        <v>80</v>
      </c>
      <c r="B93" s="24" t="s">
        <v>698</v>
      </c>
      <c r="C93" s="213" t="s">
        <v>702</v>
      </c>
      <c r="D93" s="214"/>
      <c r="E93" s="214"/>
      <c r="F93" s="215"/>
      <c r="G93" s="31" t="s">
        <v>704</v>
      </c>
      <c r="H93" s="24" t="s">
        <v>703</v>
      </c>
      <c r="I93" s="32">
        <v>1</v>
      </c>
      <c r="J93" s="32">
        <v>0</v>
      </c>
      <c r="K93" s="32">
        <v>0</v>
      </c>
      <c r="L93" s="32">
        <v>0</v>
      </c>
      <c r="M93" s="32">
        <v>0</v>
      </c>
      <c r="N93" s="32">
        <v>0</v>
      </c>
      <c r="O93" s="219" t="s">
        <v>705</v>
      </c>
      <c r="P93" s="220"/>
      <c r="Q93" s="220"/>
      <c r="R93" s="221"/>
      <c r="S93" s="28" t="s">
        <v>46</v>
      </c>
      <c r="T93" s="117">
        <v>35</v>
      </c>
    </row>
    <row r="94" spans="1:20" ht="174.95" customHeight="1" x14ac:dyDescent="0.25">
      <c r="A94" s="21">
        <v>81</v>
      </c>
      <c r="B94" s="22" t="s">
        <v>706</v>
      </c>
      <c r="C94" s="213" t="s">
        <v>707</v>
      </c>
      <c r="D94" s="214"/>
      <c r="E94" s="214"/>
      <c r="F94" s="215"/>
      <c r="G94" s="31" t="s">
        <v>366</v>
      </c>
      <c r="H94" s="24" t="s">
        <v>708</v>
      </c>
      <c r="I94" s="32">
        <v>1</v>
      </c>
      <c r="J94" s="32">
        <v>0</v>
      </c>
      <c r="K94" s="32">
        <v>0</v>
      </c>
      <c r="L94" s="32">
        <v>0</v>
      </c>
      <c r="M94" s="32">
        <v>0</v>
      </c>
      <c r="N94" s="32">
        <v>0</v>
      </c>
      <c r="O94" s="216" t="s">
        <v>709</v>
      </c>
      <c r="P94" s="217"/>
      <c r="Q94" s="217"/>
      <c r="R94" s="218"/>
      <c r="S94" s="28" t="s">
        <v>46</v>
      </c>
      <c r="T94" s="117">
        <v>36</v>
      </c>
    </row>
    <row r="95" spans="1:20" ht="174.95" customHeight="1" x14ac:dyDescent="0.25">
      <c r="A95" s="30">
        <v>82</v>
      </c>
      <c r="B95" s="22" t="s">
        <v>706</v>
      </c>
      <c r="C95" s="213" t="s">
        <v>710</v>
      </c>
      <c r="D95" s="214"/>
      <c r="E95" s="214"/>
      <c r="F95" s="215"/>
      <c r="G95" s="31" t="s">
        <v>712</v>
      </c>
      <c r="H95" s="24" t="s">
        <v>711</v>
      </c>
      <c r="I95" s="32">
        <v>1</v>
      </c>
      <c r="J95" s="32">
        <v>0</v>
      </c>
      <c r="K95" s="32">
        <v>0</v>
      </c>
      <c r="L95" s="32">
        <v>0</v>
      </c>
      <c r="M95" s="32">
        <v>0</v>
      </c>
      <c r="N95" s="32">
        <v>0</v>
      </c>
      <c r="O95" s="216" t="s">
        <v>713</v>
      </c>
      <c r="P95" s="217"/>
      <c r="Q95" s="217"/>
      <c r="R95" s="218"/>
      <c r="S95" s="28" t="s">
        <v>50</v>
      </c>
      <c r="T95" s="117">
        <v>37</v>
      </c>
    </row>
    <row r="96" spans="1:20" ht="174.95" customHeight="1" x14ac:dyDescent="0.25">
      <c r="A96" s="21">
        <v>83</v>
      </c>
      <c r="B96" s="22" t="s">
        <v>772</v>
      </c>
      <c r="C96" s="213" t="s">
        <v>402</v>
      </c>
      <c r="D96" s="214"/>
      <c r="E96" s="214"/>
      <c r="F96" s="215"/>
      <c r="G96" s="31" t="s">
        <v>774</v>
      </c>
      <c r="H96" s="24" t="s">
        <v>773</v>
      </c>
      <c r="I96" s="32">
        <v>1</v>
      </c>
      <c r="J96" s="32">
        <v>0</v>
      </c>
      <c r="K96" s="32">
        <v>0</v>
      </c>
      <c r="L96" s="32">
        <v>0</v>
      </c>
      <c r="M96" s="32">
        <v>0</v>
      </c>
      <c r="N96" s="32">
        <v>0</v>
      </c>
      <c r="O96" s="216" t="s">
        <v>775</v>
      </c>
      <c r="P96" s="217"/>
      <c r="Q96" s="217"/>
      <c r="R96" s="218"/>
      <c r="S96" s="28" t="s">
        <v>46</v>
      </c>
      <c r="T96" s="117">
        <v>1</v>
      </c>
    </row>
    <row r="97" spans="1:20" ht="174.95" customHeight="1" x14ac:dyDescent="0.25">
      <c r="A97" s="30">
        <v>84</v>
      </c>
      <c r="B97" s="22" t="s">
        <v>772</v>
      </c>
      <c r="C97" s="213" t="s">
        <v>776</v>
      </c>
      <c r="D97" s="214"/>
      <c r="E97" s="214"/>
      <c r="F97" s="215"/>
      <c r="G97" s="31" t="s">
        <v>778</v>
      </c>
      <c r="H97" s="24" t="s">
        <v>777</v>
      </c>
      <c r="I97" s="32">
        <v>0</v>
      </c>
      <c r="J97" s="32">
        <v>1</v>
      </c>
      <c r="K97" s="32">
        <v>0</v>
      </c>
      <c r="L97" s="32">
        <v>0</v>
      </c>
      <c r="M97" s="32">
        <v>0</v>
      </c>
      <c r="N97" s="32">
        <v>0</v>
      </c>
      <c r="O97" s="216" t="s">
        <v>779</v>
      </c>
      <c r="P97" s="217"/>
      <c r="Q97" s="217"/>
      <c r="R97" s="218"/>
      <c r="S97" s="28" t="s">
        <v>49</v>
      </c>
      <c r="T97" s="117">
        <v>2</v>
      </c>
    </row>
    <row r="98" spans="1:20" ht="174.95" customHeight="1" x14ac:dyDescent="0.25">
      <c r="A98" s="21">
        <v>85</v>
      </c>
      <c r="B98" s="22" t="s">
        <v>780</v>
      </c>
      <c r="C98" s="213" t="s">
        <v>781</v>
      </c>
      <c r="D98" s="214"/>
      <c r="E98" s="214"/>
      <c r="F98" s="215"/>
      <c r="G98" s="31" t="s">
        <v>783</v>
      </c>
      <c r="H98" s="24" t="s">
        <v>782</v>
      </c>
      <c r="I98" s="32">
        <v>1</v>
      </c>
      <c r="J98" s="32">
        <v>0</v>
      </c>
      <c r="K98" s="32">
        <v>0</v>
      </c>
      <c r="L98" s="32">
        <v>0</v>
      </c>
      <c r="M98" s="32">
        <v>0</v>
      </c>
      <c r="N98" s="32">
        <v>0</v>
      </c>
      <c r="O98" s="216" t="s">
        <v>733</v>
      </c>
      <c r="P98" s="217"/>
      <c r="Q98" s="217"/>
      <c r="R98" s="218"/>
      <c r="S98" s="28" t="s">
        <v>46</v>
      </c>
      <c r="T98" s="117">
        <v>3</v>
      </c>
    </row>
    <row r="99" spans="1:20" ht="174.95" customHeight="1" x14ac:dyDescent="0.25">
      <c r="A99" s="30">
        <v>86</v>
      </c>
      <c r="B99" s="36" t="s">
        <v>780</v>
      </c>
      <c r="C99" s="213" t="s">
        <v>784</v>
      </c>
      <c r="D99" s="214"/>
      <c r="E99" s="214"/>
      <c r="F99" s="215"/>
      <c r="G99" s="31" t="s">
        <v>786</v>
      </c>
      <c r="H99" s="24" t="s">
        <v>785</v>
      </c>
      <c r="I99" s="32">
        <v>1</v>
      </c>
      <c r="J99" s="32">
        <v>0</v>
      </c>
      <c r="K99" s="32">
        <v>0</v>
      </c>
      <c r="L99" s="32">
        <v>0</v>
      </c>
      <c r="M99" s="32">
        <v>0</v>
      </c>
      <c r="N99" s="32">
        <v>0</v>
      </c>
      <c r="O99" s="216" t="s">
        <v>787</v>
      </c>
      <c r="P99" s="217"/>
      <c r="Q99" s="217"/>
      <c r="R99" s="218"/>
      <c r="S99" s="28" t="s">
        <v>46</v>
      </c>
      <c r="T99" s="117">
        <v>4</v>
      </c>
    </row>
    <row r="100" spans="1:20" ht="174.95" customHeight="1" x14ac:dyDescent="0.25">
      <c r="A100" s="21">
        <v>87</v>
      </c>
      <c r="B100" s="22" t="s">
        <v>788</v>
      </c>
      <c r="C100" s="213" t="s">
        <v>789</v>
      </c>
      <c r="D100" s="214"/>
      <c r="E100" s="214"/>
      <c r="F100" s="215"/>
      <c r="G100" s="31" t="s">
        <v>791</v>
      </c>
      <c r="H100" s="24" t="s">
        <v>790</v>
      </c>
      <c r="I100" s="32">
        <v>1</v>
      </c>
      <c r="J100" s="32">
        <v>0</v>
      </c>
      <c r="K100" s="32">
        <v>0</v>
      </c>
      <c r="L100" s="32">
        <v>0</v>
      </c>
      <c r="M100" s="32">
        <v>0</v>
      </c>
      <c r="N100" s="32">
        <v>0</v>
      </c>
      <c r="O100" s="216" t="s">
        <v>792</v>
      </c>
      <c r="P100" s="217"/>
      <c r="Q100" s="217"/>
      <c r="R100" s="218"/>
      <c r="S100" s="28" t="s">
        <v>46</v>
      </c>
      <c r="T100" s="117">
        <v>5</v>
      </c>
    </row>
    <row r="101" spans="1:20" ht="174.95" customHeight="1" x14ac:dyDescent="0.25">
      <c r="A101" s="30">
        <v>88</v>
      </c>
      <c r="B101" s="36" t="s">
        <v>788</v>
      </c>
      <c r="C101" s="213" t="s">
        <v>793</v>
      </c>
      <c r="D101" s="214"/>
      <c r="E101" s="214"/>
      <c r="F101" s="215"/>
      <c r="G101" s="31" t="s">
        <v>795</v>
      </c>
      <c r="H101" s="24" t="s">
        <v>794</v>
      </c>
      <c r="I101" s="32">
        <v>1</v>
      </c>
      <c r="J101" s="32">
        <v>0</v>
      </c>
      <c r="K101" s="32">
        <v>0</v>
      </c>
      <c r="L101" s="32">
        <v>0</v>
      </c>
      <c r="M101" s="32">
        <v>0</v>
      </c>
      <c r="N101" s="32">
        <v>0</v>
      </c>
      <c r="O101" s="219" t="s">
        <v>720</v>
      </c>
      <c r="P101" s="220"/>
      <c r="Q101" s="220"/>
      <c r="R101" s="221"/>
      <c r="S101" s="28" t="s">
        <v>46</v>
      </c>
      <c r="T101" s="117">
        <v>6</v>
      </c>
    </row>
    <row r="102" spans="1:20" ht="184.5" customHeight="1" x14ac:dyDescent="0.25">
      <c r="A102" s="21">
        <v>89</v>
      </c>
      <c r="B102" s="36" t="s">
        <v>796</v>
      </c>
      <c r="C102" s="213" t="s">
        <v>797</v>
      </c>
      <c r="D102" s="214"/>
      <c r="E102" s="214"/>
      <c r="F102" s="215"/>
      <c r="G102" s="31" t="s">
        <v>799</v>
      </c>
      <c r="H102" s="24" t="s">
        <v>798</v>
      </c>
      <c r="I102" s="32">
        <v>1</v>
      </c>
      <c r="J102" s="32">
        <v>0</v>
      </c>
      <c r="K102" s="32">
        <v>0</v>
      </c>
      <c r="L102" s="32">
        <v>0</v>
      </c>
      <c r="M102" s="32">
        <v>0</v>
      </c>
      <c r="N102" s="32">
        <v>0</v>
      </c>
      <c r="O102" s="219" t="s">
        <v>800</v>
      </c>
      <c r="P102" s="220"/>
      <c r="Q102" s="220"/>
      <c r="R102" s="221"/>
      <c r="S102" s="28" t="s">
        <v>46</v>
      </c>
      <c r="T102" s="117">
        <v>7</v>
      </c>
    </row>
    <row r="103" spans="1:20" ht="135" customHeight="1" x14ac:dyDescent="0.25">
      <c r="A103" s="30">
        <v>90</v>
      </c>
      <c r="B103" s="36" t="s">
        <v>796</v>
      </c>
      <c r="C103" s="213" t="s">
        <v>801</v>
      </c>
      <c r="D103" s="214"/>
      <c r="E103" s="214"/>
      <c r="F103" s="215"/>
      <c r="G103" s="31" t="s">
        <v>803</v>
      </c>
      <c r="H103" s="24" t="s">
        <v>802</v>
      </c>
      <c r="I103" s="32">
        <v>1</v>
      </c>
      <c r="J103" s="32">
        <v>0</v>
      </c>
      <c r="K103" s="32">
        <v>0</v>
      </c>
      <c r="L103" s="32">
        <v>0</v>
      </c>
      <c r="M103" s="32">
        <v>0</v>
      </c>
      <c r="N103" s="32">
        <v>0</v>
      </c>
      <c r="O103" s="219" t="s">
        <v>804</v>
      </c>
      <c r="P103" s="220"/>
      <c r="Q103" s="220"/>
      <c r="R103" s="221"/>
      <c r="S103" s="28" t="s">
        <v>47</v>
      </c>
      <c r="T103" s="117">
        <v>8</v>
      </c>
    </row>
    <row r="104" spans="1:20" ht="146.25" customHeight="1" x14ac:dyDescent="0.25">
      <c r="A104" s="21">
        <v>91</v>
      </c>
      <c r="B104" s="36" t="s">
        <v>805</v>
      </c>
      <c r="C104" s="213" t="s">
        <v>806</v>
      </c>
      <c r="D104" s="214"/>
      <c r="E104" s="214"/>
      <c r="F104" s="215"/>
      <c r="G104" s="31" t="s">
        <v>808</v>
      </c>
      <c r="H104" s="24" t="s">
        <v>807</v>
      </c>
      <c r="I104" s="32">
        <v>1</v>
      </c>
      <c r="J104" s="32">
        <v>0</v>
      </c>
      <c r="K104" s="32">
        <v>0</v>
      </c>
      <c r="L104" s="32">
        <v>0</v>
      </c>
      <c r="M104" s="32">
        <v>0</v>
      </c>
      <c r="N104" s="32">
        <v>0</v>
      </c>
      <c r="O104" s="219" t="s">
        <v>809</v>
      </c>
      <c r="P104" s="220"/>
      <c r="Q104" s="220"/>
      <c r="R104" s="221"/>
      <c r="S104" s="28" t="s">
        <v>46</v>
      </c>
      <c r="T104" s="117">
        <v>9</v>
      </c>
    </row>
    <row r="105" spans="1:20" ht="135" customHeight="1" x14ac:dyDescent="0.25">
      <c r="A105" s="30">
        <v>92</v>
      </c>
      <c r="B105" s="36" t="s">
        <v>805</v>
      </c>
      <c r="C105" s="213" t="s">
        <v>810</v>
      </c>
      <c r="D105" s="214"/>
      <c r="E105" s="214"/>
      <c r="F105" s="215"/>
      <c r="G105" s="31" t="s">
        <v>812</v>
      </c>
      <c r="H105" s="24" t="s">
        <v>811</v>
      </c>
      <c r="I105" s="32">
        <v>1</v>
      </c>
      <c r="J105" s="32">
        <v>0</v>
      </c>
      <c r="K105" s="32">
        <v>0</v>
      </c>
      <c r="L105" s="32">
        <v>0</v>
      </c>
      <c r="M105" s="32">
        <v>0</v>
      </c>
      <c r="N105" s="32">
        <v>0</v>
      </c>
      <c r="O105" s="219" t="s">
        <v>813</v>
      </c>
      <c r="P105" s="220"/>
      <c r="Q105" s="220"/>
      <c r="R105" s="221"/>
      <c r="S105" s="28" t="s">
        <v>47</v>
      </c>
      <c r="T105" s="117">
        <v>10</v>
      </c>
    </row>
    <row r="106" spans="1:20" ht="135" customHeight="1" x14ac:dyDescent="0.25">
      <c r="A106" s="21">
        <v>93</v>
      </c>
      <c r="B106" s="43" t="s">
        <v>814</v>
      </c>
      <c r="C106" s="213" t="s">
        <v>815</v>
      </c>
      <c r="D106" s="214"/>
      <c r="E106" s="214"/>
      <c r="F106" s="215"/>
      <c r="G106" s="44" t="s">
        <v>817</v>
      </c>
      <c r="H106" s="45" t="s">
        <v>816</v>
      </c>
      <c r="I106" s="46">
        <v>1</v>
      </c>
      <c r="J106" s="46">
        <v>0</v>
      </c>
      <c r="K106" s="46">
        <v>0</v>
      </c>
      <c r="L106" s="47">
        <v>0</v>
      </c>
      <c r="M106" s="48">
        <v>0</v>
      </c>
      <c r="N106" s="48">
        <v>0</v>
      </c>
      <c r="O106" s="226" t="s">
        <v>818</v>
      </c>
      <c r="P106" s="227"/>
      <c r="Q106" s="227"/>
      <c r="R106" s="228"/>
      <c r="S106" s="49" t="s">
        <v>47</v>
      </c>
      <c r="T106" s="117">
        <v>11</v>
      </c>
    </row>
    <row r="107" spans="1:20" ht="135" customHeight="1" x14ac:dyDescent="0.25">
      <c r="A107" s="30">
        <v>94</v>
      </c>
      <c r="B107" s="45" t="s">
        <v>814</v>
      </c>
      <c r="C107" s="213" t="s">
        <v>819</v>
      </c>
      <c r="D107" s="214"/>
      <c r="E107" s="214"/>
      <c r="F107" s="215"/>
      <c r="G107" s="50" t="s">
        <v>821</v>
      </c>
      <c r="H107" s="45" t="s">
        <v>820</v>
      </c>
      <c r="I107" s="51">
        <v>1</v>
      </c>
      <c r="J107" s="51">
        <v>0</v>
      </c>
      <c r="K107" s="51">
        <v>0</v>
      </c>
      <c r="L107" s="51">
        <v>0</v>
      </c>
      <c r="M107" s="51">
        <v>0</v>
      </c>
      <c r="N107" s="51">
        <v>0</v>
      </c>
      <c r="O107" s="229" t="s">
        <v>822</v>
      </c>
      <c r="P107" s="230"/>
      <c r="Q107" s="230"/>
      <c r="R107" s="231"/>
      <c r="S107" s="49" t="s">
        <v>46</v>
      </c>
      <c r="T107" s="117">
        <v>12</v>
      </c>
    </row>
    <row r="108" spans="1:20" ht="135" customHeight="1" x14ac:dyDescent="0.25">
      <c r="A108" s="21">
        <v>95</v>
      </c>
      <c r="B108" s="43" t="s">
        <v>823</v>
      </c>
      <c r="C108" s="213" t="s">
        <v>824</v>
      </c>
      <c r="D108" s="214"/>
      <c r="E108" s="214"/>
      <c r="F108" s="215"/>
      <c r="G108" s="52" t="s">
        <v>826</v>
      </c>
      <c r="H108" s="45" t="s">
        <v>825</v>
      </c>
      <c r="I108" s="51">
        <v>1</v>
      </c>
      <c r="J108" s="51">
        <v>0</v>
      </c>
      <c r="K108" s="51">
        <v>0</v>
      </c>
      <c r="L108" s="51">
        <v>0</v>
      </c>
      <c r="M108" s="51">
        <v>0</v>
      </c>
      <c r="N108" s="51">
        <v>0</v>
      </c>
      <c r="O108" s="229" t="s">
        <v>800</v>
      </c>
      <c r="P108" s="230"/>
      <c r="Q108" s="230"/>
      <c r="R108" s="231"/>
      <c r="S108" s="49" t="s">
        <v>46</v>
      </c>
      <c r="T108" s="117">
        <v>13</v>
      </c>
    </row>
    <row r="109" spans="1:20" ht="135" customHeight="1" x14ac:dyDescent="0.25">
      <c r="A109" s="30">
        <v>96</v>
      </c>
      <c r="B109" s="43" t="s">
        <v>823</v>
      </c>
      <c r="C109" s="213" t="s">
        <v>827</v>
      </c>
      <c r="D109" s="214"/>
      <c r="E109" s="214"/>
      <c r="F109" s="215"/>
      <c r="G109" s="52" t="s">
        <v>829</v>
      </c>
      <c r="H109" s="45" t="s">
        <v>828</v>
      </c>
      <c r="I109" s="51">
        <v>1</v>
      </c>
      <c r="J109" s="51">
        <v>0</v>
      </c>
      <c r="K109" s="51">
        <v>0</v>
      </c>
      <c r="L109" s="51">
        <v>0</v>
      </c>
      <c r="M109" s="51">
        <v>0</v>
      </c>
      <c r="N109" s="51">
        <v>0</v>
      </c>
      <c r="O109" s="229" t="s">
        <v>830</v>
      </c>
      <c r="P109" s="230"/>
      <c r="Q109" s="230"/>
      <c r="R109" s="231"/>
      <c r="S109" s="49" t="s">
        <v>48</v>
      </c>
      <c r="T109" s="117">
        <v>14</v>
      </c>
    </row>
    <row r="110" spans="1:20" ht="144.75" customHeight="1" x14ac:dyDescent="0.25">
      <c r="A110" s="21">
        <v>97</v>
      </c>
      <c r="B110" s="43" t="s">
        <v>831</v>
      </c>
      <c r="C110" s="213" t="s">
        <v>355</v>
      </c>
      <c r="D110" s="214"/>
      <c r="E110" s="214"/>
      <c r="F110" s="215"/>
      <c r="G110" s="52" t="s">
        <v>833</v>
      </c>
      <c r="H110" s="45" t="s">
        <v>832</v>
      </c>
      <c r="I110" s="51">
        <v>1</v>
      </c>
      <c r="J110" s="51">
        <v>0</v>
      </c>
      <c r="K110" s="51">
        <v>0</v>
      </c>
      <c r="L110" s="51">
        <v>0</v>
      </c>
      <c r="M110" s="51">
        <v>0</v>
      </c>
      <c r="N110" s="51">
        <v>0</v>
      </c>
      <c r="O110" s="229" t="s">
        <v>834</v>
      </c>
      <c r="P110" s="230"/>
      <c r="Q110" s="230"/>
      <c r="R110" s="231"/>
      <c r="S110" s="49" t="s">
        <v>46</v>
      </c>
      <c r="T110" s="117">
        <v>15</v>
      </c>
    </row>
    <row r="111" spans="1:20" ht="174.95" customHeight="1" x14ac:dyDescent="0.25">
      <c r="A111" s="30">
        <v>98</v>
      </c>
      <c r="B111" s="43" t="s">
        <v>835</v>
      </c>
      <c r="C111" s="213" t="s">
        <v>567</v>
      </c>
      <c r="D111" s="214"/>
      <c r="E111" s="214"/>
      <c r="F111" s="215"/>
      <c r="G111" s="52" t="s">
        <v>837</v>
      </c>
      <c r="H111" s="45" t="s">
        <v>836</v>
      </c>
      <c r="I111" s="51">
        <v>1</v>
      </c>
      <c r="J111" s="51">
        <v>0</v>
      </c>
      <c r="K111" s="51">
        <v>0</v>
      </c>
      <c r="L111" s="51">
        <v>0</v>
      </c>
      <c r="M111" s="51">
        <v>0</v>
      </c>
      <c r="N111" s="51">
        <v>0</v>
      </c>
      <c r="O111" s="226" t="s">
        <v>740</v>
      </c>
      <c r="P111" s="227"/>
      <c r="Q111" s="227"/>
      <c r="R111" s="228"/>
      <c r="S111" s="49" t="s">
        <v>47</v>
      </c>
      <c r="T111" s="117">
        <v>16</v>
      </c>
    </row>
    <row r="112" spans="1:20" ht="174.95" customHeight="1" x14ac:dyDescent="0.25">
      <c r="A112" s="21">
        <v>99</v>
      </c>
      <c r="B112" s="43" t="s">
        <v>835</v>
      </c>
      <c r="C112" s="213" t="s">
        <v>838</v>
      </c>
      <c r="D112" s="214"/>
      <c r="E112" s="214"/>
      <c r="F112" s="215"/>
      <c r="G112" s="52" t="s">
        <v>840</v>
      </c>
      <c r="H112" s="45" t="s">
        <v>839</v>
      </c>
      <c r="I112" s="51">
        <v>1</v>
      </c>
      <c r="J112" s="51">
        <v>0</v>
      </c>
      <c r="K112" s="51">
        <v>0</v>
      </c>
      <c r="L112" s="51">
        <v>0</v>
      </c>
      <c r="M112" s="51">
        <v>0</v>
      </c>
      <c r="N112" s="51">
        <v>0</v>
      </c>
      <c r="O112" s="229" t="s">
        <v>841</v>
      </c>
      <c r="P112" s="230"/>
      <c r="Q112" s="230"/>
      <c r="R112" s="231"/>
      <c r="S112" s="49" t="s">
        <v>46</v>
      </c>
      <c r="T112" s="117">
        <v>17</v>
      </c>
    </row>
    <row r="113" spans="1:20" ht="174.95" customHeight="1" x14ac:dyDescent="0.25">
      <c r="A113" s="30">
        <v>100</v>
      </c>
      <c r="B113" s="43" t="s">
        <v>842</v>
      </c>
      <c r="C113" s="213" t="s">
        <v>843</v>
      </c>
      <c r="D113" s="214"/>
      <c r="E113" s="214"/>
      <c r="F113" s="215"/>
      <c r="G113" s="52" t="s">
        <v>845</v>
      </c>
      <c r="H113" s="45" t="s">
        <v>844</v>
      </c>
      <c r="I113" s="51">
        <v>1</v>
      </c>
      <c r="J113" s="51">
        <v>0</v>
      </c>
      <c r="K113" s="51">
        <v>0</v>
      </c>
      <c r="L113" s="51">
        <v>0</v>
      </c>
      <c r="M113" s="51">
        <v>0</v>
      </c>
      <c r="N113" s="51">
        <v>0</v>
      </c>
      <c r="O113" s="229" t="s">
        <v>733</v>
      </c>
      <c r="P113" s="230"/>
      <c r="Q113" s="230"/>
      <c r="R113" s="231"/>
      <c r="S113" s="49" t="s">
        <v>46</v>
      </c>
      <c r="T113" s="117">
        <v>18</v>
      </c>
    </row>
    <row r="114" spans="1:20" ht="192.75" customHeight="1" x14ac:dyDescent="0.25">
      <c r="A114" s="21">
        <v>101</v>
      </c>
      <c r="B114" s="45" t="s">
        <v>842</v>
      </c>
      <c r="C114" s="213" t="s">
        <v>846</v>
      </c>
      <c r="D114" s="214"/>
      <c r="E114" s="214"/>
      <c r="F114" s="215"/>
      <c r="G114" s="52" t="s">
        <v>848</v>
      </c>
      <c r="H114" s="45" t="s">
        <v>847</v>
      </c>
      <c r="I114" s="51">
        <v>1</v>
      </c>
      <c r="J114" s="51">
        <v>0</v>
      </c>
      <c r="K114" s="51">
        <v>0</v>
      </c>
      <c r="L114" s="51">
        <v>0</v>
      </c>
      <c r="M114" s="51">
        <v>0</v>
      </c>
      <c r="N114" s="51">
        <v>0</v>
      </c>
      <c r="O114" s="226" t="s">
        <v>849</v>
      </c>
      <c r="P114" s="227"/>
      <c r="Q114" s="227"/>
      <c r="R114" s="228"/>
      <c r="S114" s="49" t="s">
        <v>46</v>
      </c>
      <c r="T114" s="117">
        <v>19</v>
      </c>
    </row>
    <row r="115" spans="1:20" ht="195.75" customHeight="1" x14ac:dyDescent="0.25">
      <c r="A115" s="30">
        <v>102</v>
      </c>
      <c r="B115" s="43" t="s">
        <v>850</v>
      </c>
      <c r="C115" s="213" t="s">
        <v>362</v>
      </c>
      <c r="D115" s="214"/>
      <c r="E115" s="214"/>
      <c r="F115" s="215"/>
      <c r="G115" s="52" t="s">
        <v>852</v>
      </c>
      <c r="H115" s="45" t="s">
        <v>851</v>
      </c>
      <c r="I115" s="51">
        <v>1</v>
      </c>
      <c r="J115" s="51">
        <v>0</v>
      </c>
      <c r="K115" s="51">
        <v>0</v>
      </c>
      <c r="L115" s="51">
        <v>0</v>
      </c>
      <c r="M115" s="51">
        <v>0</v>
      </c>
      <c r="N115" s="51">
        <v>0</v>
      </c>
      <c r="O115" s="229" t="s">
        <v>627</v>
      </c>
      <c r="P115" s="230"/>
      <c r="Q115" s="230"/>
      <c r="R115" s="231"/>
      <c r="S115" s="49" t="s">
        <v>46</v>
      </c>
      <c r="T115" s="117">
        <v>20</v>
      </c>
    </row>
    <row r="116" spans="1:20" ht="213" customHeight="1" x14ac:dyDescent="0.25">
      <c r="A116" s="21">
        <v>103</v>
      </c>
      <c r="B116" s="45" t="s">
        <v>850</v>
      </c>
      <c r="C116" s="213" t="s">
        <v>853</v>
      </c>
      <c r="D116" s="214"/>
      <c r="E116" s="214"/>
      <c r="F116" s="215"/>
      <c r="G116" s="52" t="s">
        <v>855</v>
      </c>
      <c r="H116" s="45" t="s">
        <v>854</v>
      </c>
      <c r="I116" s="51">
        <v>1</v>
      </c>
      <c r="J116" s="51">
        <v>0</v>
      </c>
      <c r="K116" s="51">
        <v>0</v>
      </c>
      <c r="L116" s="51">
        <v>0</v>
      </c>
      <c r="M116" s="51">
        <v>0</v>
      </c>
      <c r="N116" s="51">
        <v>0</v>
      </c>
      <c r="O116" s="229" t="s">
        <v>856</v>
      </c>
      <c r="P116" s="230"/>
      <c r="Q116" s="230"/>
      <c r="R116" s="231"/>
      <c r="S116" s="49" t="s">
        <v>375</v>
      </c>
      <c r="T116" s="117">
        <v>21</v>
      </c>
    </row>
    <row r="117" spans="1:20" ht="174.95" customHeight="1" x14ac:dyDescent="0.25">
      <c r="A117" s="30">
        <v>104</v>
      </c>
      <c r="B117" s="53" t="s">
        <v>857</v>
      </c>
      <c r="C117" s="213" t="s">
        <v>858</v>
      </c>
      <c r="D117" s="214"/>
      <c r="E117" s="214"/>
      <c r="F117" s="215"/>
      <c r="G117" s="52" t="s">
        <v>860</v>
      </c>
      <c r="H117" s="45" t="s">
        <v>859</v>
      </c>
      <c r="I117" s="51">
        <v>1</v>
      </c>
      <c r="J117" s="51">
        <v>0</v>
      </c>
      <c r="K117" s="51">
        <v>0</v>
      </c>
      <c r="L117" s="51">
        <v>0</v>
      </c>
      <c r="M117" s="51">
        <v>0</v>
      </c>
      <c r="N117" s="51">
        <v>0</v>
      </c>
      <c r="O117" s="226" t="s">
        <v>662</v>
      </c>
      <c r="P117" s="227"/>
      <c r="Q117" s="227"/>
      <c r="R117" s="228"/>
      <c r="S117" s="49" t="s">
        <v>46</v>
      </c>
      <c r="T117" s="117">
        <v>22</v>
      </c>
    </row>
    <row r="118" spans="1:20" ht="174.95" customHeight="1" x14ac:dyDescent="0.25">
      <c r="A118" s="21">
        <v>105</v>
      </c>
      <c r="B118" s="43" t="s">
        <v>857</v>
      </c>
      <c r="C118" s="213" t="s">
        <v>861</v>
      </c>
      <c r="D118" s="214"/>
      <c r="E118" s="214"/>
      <c r="F118" s="215"/>
      <c r="G118" s="52" t="s">
        <v>863</v>
      </c>
      <c r="H118" s="45" t="s">
        <v>862</v>
      </c>
      <c r="I118" s="51">
        <v>1</v>
      </c>
      <c r="J118" s="51">
        <v>0</v>
      </c>
      <c r="K118" s="51">
        <v>0</v>
      </c>
      <c r="L118" s="51">
        <v>0</v>
      </c>
      <c r="M118" s="51">
        <v>0</v>
      </c>
      <c r="N118" s="51">
        <v>0</v>
      </c>
      <c r="O118" s="226" t="s">
        <v>864</v>
      </c>
      <c r="P118" s="227"/>
      <c r="Q118" s="227"/>
      <c r="R118" s="228"/>
      <c r="S118" s="49" t="s">
        <v>48</v>
      </c>
      <c r="T118" s="117">
        <v>23</v>
      </c>
    </row>
    <row r="119" spans="1:20" ht="174.95" customHeight="1" x14ac:dyDescent="0.25">
      <c r="A119" s="30">
        <v>106</v>
      </c>
      <c r="B119" s="43" t="s">
        <v>865</v>
      </c>
      <c r="C119" s="213" t="s">
        <v>359</v>
      </c>
      <c r="D119" s="214"/>
      <c r="E119" s="214"/>
      <c r="F119" s="215"/>
      <c r="G119" s="52" t="s">
        <v>867</v>
      </c>
      <c r="H119" s="45" t="s">
        <v>866</v>
      </c>
      <c r="I119" s="51">
        <v>1</v>
      </c>
      <c r="J119" s="51">
        <v>0</v>
      </c>
      <c r="K119" s="51">
        <v>0</v>
      </c>
      <c r="L119" s="51">
        <v>0</v>
      </c>
      <c r="M119" s="51">
        <v>0</v>
      </c>
      <c r="N119" s="51">
        <v>0</v>
      </c>
      <c r="O119" s="229" t="s">
        <v>868</v>
      </c>
      <c r="P119" s="230"/>
      <c r="Q119" s="230"/>
      <c r="R119" s="231"/>
      <c r="S119" s="49" t="s">
        <v>46</v>
      </c>
      <c r="T119" s="117">
        <v>24</v>
      </c>
    </row>
    <row r="120" spans="1:20" ht="174.95" customHeight="1" x14ac:dyDescent="0.25">
      <c r="A120" s="21">
        <v>107</v>
      </c>
      <c r="B120" s="43" t="s">
        <v>865</v>
      </c>
      <c r="C120" s="213" t="s">
        <v>869</v>
      </c>
      <c r="D120" s="214"/>
      <c r="E120" s="214"/>
      <c r="F120" s="215"/>
      <c r="G120" s="52" t="s">
        <v>871</v>
      </c>
      <c r="H120" s="45" t="s">
        <v>870</v>
      </c>
      <c r="I120" s="51">
        <v>1</v>
      </c>
      <c r="J120" s="51">
        <v>0</v>
      </c>
      <c r="K120" s="51">
        <v>0</v>
      </c>
      <c r="L120" s="51">
        <v>0</v>
      </c>
      <c r="M120" s="51">
        <v>0</v>
      </c>
      <c r="N120" s="51">
        <v>0</v>
      </c>
      <c r="O120" s="226" t="s">
        <v>872</v>
      </c>
      <c r="P120" s="227"/>
      <c r="Q120" s="227"/>
      <c r="R120" s="228"/>
      <c r="S120" s="49" t="s">
        <v>46</v>
      </c>
      <c r="T120" s="117">
        <v>25</v>
      </c>
    </row>
    <row r="121" spans="1:20" ht="174.95" customHeight="1" x14ac:dyDescent="0.25">
      <c r="A121" s="30">
        <v>108</v>
      </c>
      <c r="B121" s="43" t="s">
        <v>873</v>
      </c>
      <c r="C121" s="213" t="s">
        <v>874</v>
      </c>
      <c r="D121" s="214"/>
      <c r="E121" s="214"/>
      <c r="F121" s="215"/>
      <c r="G121" s="52" t="s">
        <v>876</v>
      </c>
      <c r="H121" s="45" t="s">
        <v>875</v>
      </c>
      <c r="I121" s="51">
        <v>1</v>
      </c>
      <c r="J121" s="51">
        <v>0</v>
      </c>
      <c r="K121" s="51">
        <v>0</v>
      </c>
      <c r="L121" s="51">
        <v>0</v>
      </c>
      <c r="M121" s="51">
        <v>0</v>
      </c>
      <c r="N121" s="51">
        <v>0</v>
      </c>
      <c r="O121" s="226" t="s">
        <v>627</v>
      </c>
      <c r="P121" s="227"/>
      <c r="Q121" s="227"/>
      <c r="R121" s="228"/>
      <c r="S121" s="49" t="s">
        <v>46</v>
      </c>
      <c r="T121" s="117">
        <v>26</v>
      </c>
    </row>
    <row r="122" spans="1:20" ht="174.95" customHeight="1" x14ac:dyDescent="0.25">
      <c r="A122" s="21">
        <v>109</v>
      </c>
      <c r="B122" s="53" t="s">
        <v>873</v>
      </c>
      <c r="C122" s="213" t="s">
        <v>877</v>
      </c>
      <c r="D122" s="214"/>
      <c r="E122" s="214"/>
      <c r="F122" s="215"/>
      <c r="G122" s="52" t="s">
        <v>879</v>
      </c>
      <c r="H122" s="45" t="s">
        <v>878</v>
      </c>
      <c r="I122" s="51">
        <v>1</v>
      </c>
      <c r="J122" s="51">
        <v>0</v>
      </c>
      <c r="K122" s="51">
        <v>0</v>
      </c>
      <c r="L122" s="51">
        <v>0</v>
      </c>
      <c r="M122" s="51">
        <v>0</v>
      </c>
      <c r="N122" s="51">
        <v>0</v>
      </c>
      <c r="O122" s="229" t="s">
        <v>880</v>
      </c>
      <c r="P122" s="230"/>
      <c r="Q122" s="230"/>
      <c r="R122" s="231"/>
      <c r="S122" s="49" t="s">
        <v>46</v>
      </c>
      <c r="T122" s="117">
        <v>27</v>
      </c>
    </row>
    <row r="123" spans="1:20" ht="174.95" customHeight="1" x14ac:dyDescent="0.25">
      <c r="A123" s="30">
        <v>110</v>
      </c>
      <c r="B123" s="24" t="s">
        <v>881</v>
      </c>
      <c r="C123" s="213" t="s">
        <v>882</v>
      </c>
      <c r="D123" s="214"/>
      <c r="E123" s="214"/>
      <c r="F123" s="215"/>
      <c r="G123" s="31" t="s">
        <v>350</v>
      </c>
      <c r="H123" s="24" t="s">
        <v>883</v>
      </c>
      <c r="I123" s="32">
        <v>1</v>
      </c>
      <c r="J123" s="32">
        <v>0</v>
      </c>
      <c r="K123" s="32">
        <v>0</v>
      </c>
      <c r="L123" s="32">
        <v>0</v>
      </c>
      <c r="M123" s="32">
        <v>0</v>
      </c>
      <c r="N123" s="32">
        <v>0</v>
      </c>
      <c r="O123" s="216" t="s">
        <v>884</v>
      </c>
      <c r="P123" s="217"/>
      <c r="Q123" s="217"/>
      <c r="R123" s="218"/>
      <c r="S123" s="28" t="s">
        <v>46</v>
      </c>
      <c r="T123" s="117">
        <v>28</v>
      </c>
    </row>
    <row r="124" spans="1:20" ht="210" customHeight="1" x14ac:dyDescent="0.25">
      <c r="A124" s="21">
        <v>111</v>
      </c>
      <c r="B124" s="24" t="s">
        <v>881</v>
      </c>
      <c r="C124" s="213" t="s">
        <v>885</v>
      </c>
      <c r="D124" s="214"/>
      <c r="E124" s="214"/>
      <c r="F124" s="215"/>
      <c r="G124" s="31" t="s">
        <v>887</v>
      </c>
      <c r="H124" s="24" t="s">
        <v>886</v>
      </c>
      <c r="I124" s="32">
        <v>1</v>
      </c>
      <c r="J124" s="32">
        <v>0</v>
      </c>
      <c r="K124" s="32">
        <v>0</v>
      </c>
      <c r="L124" s="32">
        <v>0</v>
      </c>
      <c r="M124" s="32">
        <v>0</v>
      </c>
      <c r="N124" s="32">
        <v>0</v>
      </c>
      <c r="O124" s="216" t="s">
        <v>864</v>
      </c>
      <c r="P124" s="217"/>
      <c r="Q124" s="217"/>
      <c r="R124" s="218"/>
      <c r="S124" s="28" t="s">
        <v>46</v>
      </c>
      <c r="T124" s="117">
        <v>29</v>
      </c>
    </row>
    <row r="125" spans="1:20" ht="174.95" customHeight="1" x14ac:dyDescent="0.25">
      <c r="A125" s="30">
        <v>112</v>
      </c>
      <c r="B125" s="24" t="s">
        <v>888</v>
      </c>
      <c r="C125" s="213" t="s">
        <v>889</v>
      </c>
      <c r="D125" s="214"/>
      <c r="E125" s="214"/>
      <c r="F125" s="215"/>
      <c r="G125" s="31" t="s">
        <v>891</v>
      </c>
      <c r="H125" s="24" t="s">
        <v>890</v>
      </c>
      <c r="I125" s="32">
        <v>1</v>
      </c>
      <c r="J125" s="32">
        <v>0</v>
      </c>
      <c r="K125" s="32">
        <v>0</v>
      </c>
      <c r="L125" s="32">
        <v>0</v>
      </c>
      <c r="M125" s="32">
        <v>0</v>
      </c>
      <c r="N125" s="32">
        <v>0</v>
      </c>
      <c r="O125" s="216" t="s">
        <v>892</v>
      </c>
      <c r="P125" s="217"/>
      <c r="Q125" s="217"/>
      <c r="R125" s="218"/>
      <c r="S125" s="28" t="s">
        <v>46</v>
      </c>
      <c r="T125" s="117">
        <v>30</v>
      </c>
    </row>
    <row r="126" spans="1:20" ht="174.95" customHeight="1" x14ac:dyDescent="0.25">
      <c r="A126" s="21">
        <v>113</v>
      </c>
      <c r="B126" s="24" t="s">
        <v>893</v>
      </c>
      <c r="C126" s="213" t="s">
        <v>894</v>
      </c>
      <c r="D126" s="214"/>
      <c r="E126" s="214"/>
      <c r="F126" s="215"/>
      <c r="G126" s="31" t="s">
        <v>896</v>
      </c>
      <c r="H126" s="24" t="s">
        <v>895</v>
      </c>
      <c r="I126" s="32">
        <v>1</v>
      </c>
      <c r="J126" s="32">
        <v>0</v>
      </c>
      <c r="K126" s="32">
        <v>0</v>
      </c>
      <c r="L126" s="32">
        <v>0</v>
      </c>
      <c r="M126" s="32">
        <v>0</v>
      </c>
      <c r="N126" s="32">
        <v>0</v>
      </c>
      <c r="O126" s="219" t="s">
        <v>627</v>
      </c>
      <c r="P126" s="220"/>
      <c r="Q126" s="220"/>
      <c r="R126" s="221"/>
      <c r="S126" s="28" t="s">
        <v>46</v>
      </c>
      <c r="T126" s="117">
        <v>31</v>
      </c>
    </row>
    <row r="127" spans="1:20" ht="174.95" customHeight="1" x14ac:dyDescent="0.25">
      <c r="A127" s="30">
        <v>114</v>
      </c>
      <c r="B127" s="24" t="s">
        <v>893</v>
      </c>
      <c r="C127" s="213" t="s">
        <v>897</v>
      </c>
      <c r="D127" s="214"/>
      <c r="E127" s="214"/>
      <c r="F127" s="215"/>
      <c r="G127" s="31" t="s">
        <v>899</v>
      </c>
      <c r="H127" s="24" t="s">
        <v>898</v>
      </c>
      <c r="I127" s="32">
        <v>1</v>
      </c>
      <c r="J127" s="32">
        <v>0</v>
      </c>
      <c r="K127" s="32">
        <v>0</v>
      </c>
      <c r="L127" s="32">
        <v>0</v>
      </c>
      <c r="M127" s="32">
        <v>0</v>
      </c>
      <c r="N127" s="32">
        <v>0</v>
      </c>
      <c r="O127" s="219" t="s">
        <v>900</v>
      </c>
      <c r="P127" s="220"/>
      <c r="Q127" s="220"/>
      <c r="R127" s="221"/>
      <c r="S127" s="28" t="s">
        <v>48</v>
      </c>
      <c r="T127" s="117">
        <v>32</v>
      </c>
    </row>
    <row r="128" spans="1:20" ht="174.95" customHeight="1" x14ac:dyDescent="0.25">
      <c r="A128" s="21">
        <v>115</v>
      </c>
      <c r="B128" s="24" t="s">
        <v>901</v>
      </c>
      <c r="C128" s="213" t="s">
        <v>902</v>
      </c>
      <c r="D128" s="214"/>
      <c r="E128" s="214"/>
      <c r="F128" s="215"/>
      <c r="G128" s="31" t="s">
        <v>904</v>
      </c>
      <c r="H128" s="24" t="s">
        <v>903</v>
      </c>
      <c r="I128" s="32">
        <v>1</v>
      </c>
      <c r="J128" s="32">
        <v>0</v>
      </c>
      <c r="K128" s="32">
        <v>0</v>
      </c>
      <c r="L128" s="32">
        <v>0</v>
      </c>
      <c r="M128" s="32">
        <v>0</v>
      </c>
      <c r="N128" s="32">
        <v>0</v>
      </c>
      <c r="O128" s="219" t="s">
        <v>905</v>
      </c>
      <c r="P128" s="220"/>
      <c r="Q128" s="220"/>
      <c r="R128" s="221"/>
      <c r="S128" s="28" t="s">
        <v>46</v>
      </c>
      <c r="T128" s="117">
        <v>33</v>
      </c>
    </row>
    <row r="129" spans="1:20" ht="174.95" customHeight="1" x14ac:dyDescent="0.25">
      <c r="A129" s="30">
        <v>116</v>
      </c>
      <c r="B129" s="24" t="s">
        <v>906</v>
      </c>
      <c r="C129" s="213" t="s">
        <v>907</v>
      </c>
      <c r="D129" s="214"/>
      <c r="E129" s="214"/>
      <c r="F129" s="215"/>
      <c r="G129" s="31" t="s">
        <v>909</v>
      </c>
      <c r="H129" s="24" t="s">
        <v>908</v>
      </c>
      <c r="I129" s="32">
        <v>1</v>
      </c>
      <c r="J129" s="32">
        <v>0</v>
      </c>
      <c r="K129" s="32">
        <v>0</v>
      </c>
      <c r="L129" s="32">
        <v>0</v>
      </c>
      <c r="M129" s="32">
        <v>0</v>
      </c>
      <c r="N129" s="32">
        <v>0</v>
      </c>
      <c r="O129" s="219" t="s">
        <v>910</v>
      </c>
      <c r="P129" s="220"/>
      <c r="Q129" s="220"/>
      <c r="R129" s="221"/>
      <c r="S129" s="28" t="s">
        <v>47</v>
      </c>
      <c r="T129" s="117">
        <v>34</v>
      </c>
    </row>
    <row r="130" spans="1:20" ht="174.95" customHeight="1" x14ac:dyDescent="0.25">
      <c r="A130" s="21">
        <v>117</v>
      </c>
      <c r="B130" s="24" t="s">
        <v>906</v>
      </c>
      <c r="C130" s="213" t="s">
        <v>911</v>
      </c>
      <c r="D130" s="214"/>
      <c r="E130" s="214"/>
      <c r="F130" s="215"/>
      <c r="G130" s="31" t="s">
        <v>913</v>
      </c>
      <c r="H130" s="24" t="s">
        <v>912</v>
      </c>
      <c r="I130" s="32">
        <v>1</v>
      </c>
      <c r="J130" s="32">
        <v>0</v>
      </c>
      <c r="K130" s="32">
        <v>0</v>
      </c>
      <c r="L130" s="32">
        <v>0</v>
      </c>
      <c r="M130" s="32">
        <v>0</v>
      </c>
      <c r="N130" s="32">
        <v>0</v>
      </c>
      <c r="O130" s="219" t="s">
        <v>914</v>
      </c>
      <c r="P130" s="220"/>
      <c r="Q130" s="220"/>
      <c r="R130" s="221"/>
      <c r="S130" s="28" t="s">
        <v>46</v>
      </c>
      <c r="T130" s="117">
        <v>35</v>
      </c>
    </row>
    <row r="131" spans="1:20" ht="174.95" customHeight="1" x14ac:dyDescent="0.25">
      <c r="A131" s="30">
        <v>118</v>
      </c>
      <c r="B131" s="24" t="s">
        <v>915</v>
      </c>
      <c r="C131" s="213" t="s">
        <v>916</v>
      </c>
      <c r="D131" s="214"/>
      <c r="E131" s="214"/>
      <c r="F131" s="215"/>
      <c r="G131" s="31" t="s">
        <v>918</v>
      </c>
      <c r="H131" s="24" t="s">
        <v>917</v>
      </c>
      <c r="I131" s="32">
        <v>1</v>
      </c>
      <c r="J131" s="32">
        <v>0</v>
      </c>
      <c r="K131" s="32">
        <v>0</v>
      </c>
      <c r="L131" s="32">
        <v>0</v>
      </c>
      <c r="M131" s="32">
        <v>0</v>
      </c>
      <c r="N131" s="32">
        <v>0</v>
      </c>
      <c r="O131" s="219" t="s">
        <v>919</v>
      </c>
      <c r="P131" s="220"/>
      <c r="Q131" s="220"/>
      <c r="R131" s="221"/>
      <c r="S131" s="28" t="s">
        <v>52</v>
      </c>
      <c r="T131" s="117">
        <v>36</v>
      </c>
    </row>
    <row r="132" spans="1:20" ht="174.95" customHeight="1" x14ac:dyDescent="0.25">
      <c r="A132" s="21">
        <v>119</v>
      </c>
      <c r="B132" s="24" t="s">
        <v>915</v>
      </c>
      <c r="C132" s="213" t="s">
        <v>920</v>
      </c>
      <c r="D132" s="214"/>
      <c r="E132" s="214"/>
      <c r="F132" s="215"/>
      <c r="G132" s="31" t="s">
        <v>922</v>
      </c>
      <c r="H132" s="24" t="s">
        <v>921</v>
      </c>
      <c r="I132" s="32">
        <v>1</v>
      </c>
      <c r="J132" s="32">
        <v>0</v>
      </c>
      <c r="K132" s="32">
        <v>0</v>
      </c>
      <c r="L132" s="32">
        <v>0</v>
      </c>
      <c r="M132" s="32">
        <v>0</v>
      </c>
      <c r="N132" s="32">
        <v>0</v>
      </c>
      <c r="O132" s="219" t="s">
        <v>923</v>
      </c>
      <c r="P132" s="220"/>
      <c r="Q132" s="220"/>
      <c r="R132" s="221"/>
      <c r="S132" s="28" t="s">
        <v>49</v>
      </c>
      <c r="T132" s="117">
        <v>37</v>
      </c>
    </row>
    <row r="133" spans="1:20" ht="174.95" customHeight="1" x14ac:dyDescent="0.25">
      <c r="A133" s="30">
        <v>120</v>
      </c>
      <c r="B133" s="24" t="s">
        <v>924</v>
      </c>
      <c r="C133" s="213" t="s">
        <v>567</v>
      </c>
      <c r="D133" s="214"/>
      <c r="E133" s="214"/>
      <c r="F133" s="215"/>
      <c r="G133" s="31" t="s">
        <v>926</v>
      </c>
      <c r="H133" s="24" t="s">
        <v>925</v>
      </c>
      <c r="I133" s="32">
        <v>1</v>
      </c>
      <c r="J133" s="32">
        <v>0</v>
      </c>
      <c r="K133" s="32">
        <v>0</v>
      </c>
      <c r="L133" s="32">
        <v>0</v>
      </c>
      <c r="M133" s="32">
        <v>0</v>
      </c>
      <c r="N133" s="32">
        <v>0</v>
      </c>
      <c r="O133" s="219" t="s">
        <v>927</v>
      </c>
      <c r="P133" s="220"/>
      <c r="Q133" s="220"/>
      <c r="R133" s="221"/>
      <c r="S133" s="28" t="s">
        <v>46</v>
      </c>
      <c r="T133" s="117">
        <v>38</v>
      </c>
    </row>
    <row r="134" spans="1:20" ht="174.95" customHeight="1" x14ac:dyDescent="0.25">
      <c r="A134" s="21">
        <v>121</v>
      </c>
      <c r="B134" s="24" t="s">
        <v>924</v>
      </c>
      <c r="C134" s="213" t="s">
        <v>928</v>
      </c>
      <c r="D134" s="214"/>
      <c r="E134" s="214"/>
      <c r="F134" s="215"/>
      <c r="G134" s="31" t="s">
        <v>930</v>
      </c>
      <c r="H134" s="24" t="s">
        <v>929</v>
      </c>
      <c r="I134" s="32">
        <v>1</v>
      </c>
      <c r="J134" s="32">
        <v>0</v>
      </c>
      <c r="K134" s="32">
        <v>0</v>
      </c>
      <c r="L134" s="32">
        <v>0</v>
      </c>
      <c r="M134" s="32">
        <v>0</v>
      </c>
      <c r="N134" s="32">
        <v>0</v>
      </c>
      <c r="O134" s="219" t="s">
        <v>931</v>
      </c>
      <c r="P134" s="220"/>
      <c r="Q134" s="220"/>
      <c r="R134" s="221"/>
      <c r="S134" s="28" t="s">
        <v>46</v>
      </c>
      <c r="T134" s="117">
        <v>39</v>
      </c>
    </row>
    <row r="135" spans="1:20" ht="174.95" customHeight="1" x14ac:dyDescent="0.25">
      <c r="A135" s="30">
        <v>122</v>
      </c>
      <c r="B135" s="24" t="s">
        <v>932</v>
      </c>
      <c r="C135" s="213" t="s">
        <v>933</v>
      </c>
      <c r="D135" s="214"/>
      <c r="E135" s="214"/>
      <c r="F135" s="215"/>
      <c r="G135" s="31" t="s">
        <v>935</v>
      </c>
      <c r="H135" s="24" t="s">
        <v>934</v>
      </c>
      <c r="I135" s="32">
        <v>0</v>
      </c>
      <c r="J135" s="32">
        <v>1</v>
      </c>
      <c r="K135" s="32">
        <v>0</v>
      </c>
      <c r="L135" s="32">
        <v>0</v>
      </c>
      <c r="M135" s="32">
        <v>0</v>
      </c>
      <c r="N135" s="32">
        <v>0</v>
      </c>
      <c r="O135" s="219" t="s">
        <v>733</v>
      </c>
      <c r="P135" s="220"/>
      <c r="Q135" s="220"/>
      <c r="R135" s="221"/>
      <c r="S135" s="28" t="s">
        <v>55</v>
      </c>
      <c r="T135" s="117">
        <v>40</v>
      </c>
    </row>
    <row r="136" spans="1:20" ht="174.95" customHeight="1" x14ac:dyDescent="0.25">
      <c r="A136" s="21">
        <v>123</v>
      </c>
      <c r="B136" s="24" t="s">
        <v>932</v>
      </c>
      <c r="C136" s="213" t="s">
        <v>936</v>
      </c>
      <c r="D136" s="214"/>
      <c r="E136" s="214"/>
      <c r="F136" s="215"/>
      <c r="G136" s="31" t="s">
        <v>938</v>
      </c>
      <c r="H136" s="24" t="s">
        <v>937</v>
      </c>
      <c r="I136" s="32">
        <v>0</v>
      </c>
      <c r="J136" s="32">
        <v>1</v>
      </c>
      <c r="K136" s="32">
        <v>0</v>
      </c>
      <c r="L136" s="32">
        <v>0</v>
      </c>
      <c r="M136" s="32">
        <v>0</v>
      </c>
      <c r="N136" s="32">
        <v>0</v>
      </c>
      <c r="O136" s="219" t="s">
        <v>939</v>
      </c>
      <c r="P136" s="220"/>
      <c r="Q136" s="220"/>
      <c r="R136" s="221"/>
      <c r="S136" s="28" t="s">
        <v>365</v>
      </c>
      <c r="T136" s="117">
        <v>41</v>
      </c>
    </row>
    <row r="137" spans="1:20" ht="174.95" customHeight="1" x14ac:dyDescent="0.25">
      <c r="A137" s="30">
        <v>124</v>
      </c>
      <c r="B137" s="24" t="s">
        <v>940</v>
      </c>
      <c r="C137" s="213" t="s">
        <v>941</v>
      </c>
      <c r="D137" s="214"/>
      <c r="E137" s="214"/>
      <c r="F137" s="215"/>
      <c r="G137" s="31" t="s">
        <v>943</v>
      </c>
      <c r="H137" s="24" t="s">
        <v>942</v>
      </c>
      <c r="I137" s="32">
        <v>1</v>
      </c>
      <c r="J137" s="32">
        <v>0</v>
      </c>
      <c r="K137" s="32">
        <v>0</v>
      </c>
      <c r="L137" s="32">
        <v>0</v>
      </c>
      <c r="M137" s="32">
        <v>0</v>
      </c>
      <c r="N137" s="32">
        <v>0</v>
      </c>
      <c r="O137" s="219" t="s">
        <v>627</v>
      </c>
      <c r="P137" s="220"/>
      <c r="Q137" s="220"/>
      <c r="R137" s="221"/>
      <c r="S137" s="28" t="s">
        <v>47</v>
      </c>
      <c r="T137" s="117">
        <v>42</v>
      </c>
    </row>
    <row r="138" spans="1:20" ht="174.95" customHeight="1" x14ac:dyDescent="0.25">
      <c r="A138" s="21">
        <v>125</v>
      </c>
      <c r="B138" s="24" t="s">
        <v>940</v>
      </c>
      <c r="C138" s="213" t="s">
        <v>944</v>
      </c>
      <c r="D138" s="214"/>
      <c r="E138" s="214"/>
      <c r="F138" s="215"/>
      <c r="G138" s="31" t="s">
        <v>946</v>
      </c>
      <c r="H138" s="24" t="s">
        <v>945</v>
      </c>
      <c r="I138" s="32">
        <v>1</v>
      </c>
      <c r="J138" s="32">
        <v>0</v>
      </c>
      <c r="K138" s="32">
        <v>0</v>
      </c>
      <c r="L138" s="32">
        <v>0</v>
      </c>
      <c r="M138" s="32">
        <v>0</v>
      </c>
      <c r="N138" s="32">
        <v>0</v>
      </c>
      <c r="O138" s="219" t="s">
        <v>752</v>
      </c>
      <c r="P138" s="220"/>
      <c r="Q138" s="220"/>
      <c r="R138" s="221"/>
      <c r="S138" s="28" t="s">
        <v>46</v>
      </c>
      <c r="T138" s="117">
        <v>43</v>
      </c>
    </row>
    <row r="139" spans="1:20" ht="174.95" customHeight="1" x14ac:dyDescent="0.25">
      <c r="A139" s="30">
        <v>126</v>
      </c>
      <c r="B139" s="24" t="s">
        <v>947</v>
      </c>
      <c r="C139" s="213" t="s">
        <v>948</v>
      </c>
      <c r="D139" s="214"/>
      <c r="E139" s="214"/>
      <c r="F139" s="215"/>
      <c r="G139" s="31" t="s">
        <v>950</v>
      </c>
      <c r="H139" s="24" t="s">
        <v>949</v>
      </c>
      <c r="I139" s="32">
        <v>1</v>
      </c>
      <c r="J139" s="32">
        <v>0</v>
      </c>
      <c r="K139" s="32">
        <v>0</v>
      </c>
      <c r="L139" s="32">
        <v>0</v>
      </c>
      <c r="M139" s="32">
        <v>0</v>
      </c>
      <c r="N139" s="32">
        <v>0</v>
      </c>
      <c r="O139" s="219" t="s">
        <v>632</v>
      </c>
      <c r="P139" s="220"/>
      <c r="Q139" s="220"/>
      <c r="R139" s="221"/>
      <c r="S139" s="28" t="s">
        <v>46</v>
      </c>
      <c r="T139" s="117">
        <v>44</v>
      </c>
    </row>
    <row r="140" spans="1:20" ht="174.95" customHeight="1" x14ac:dyDescent="0.25">
      <c r="A140" s="21">
        <v>127</v>
      </c>
      <c r="B140" s="24" t="s">
        <v>947</v>
      </c>
      <c r="C140" s="213" t="s">
        <v>951</v>
      </c>
      <c r="D140" s="214"/>
      <c r="E140" s="214"/>
      <c r="F140" s="215"/>
      <c r="G140" s="31" t="s">
        <v>953</v>
      </c>
      <c r="H140" s="24" t="s">
        <v>952</v>
      </c>
      <c r="I140" s="32">
        <v>1</v>
      </c>
      <c r="J140" s="32">
        <v>0</v>
      </c>
      <c r="K140" s="32">
        <v>0</v>
      </c>
      <c r="L140" s="32">
        <v>0</v>
      </c>
      <c r="M140" s="32">
        <v>0</v>
      </c>
      <c r="N140" s="32">
        <v>0</v>
      </c>
      <c r="O140" s="219" t="s">
        <v>954</v>
      </c>
      <c r="P140" s="220"/>
      <c r="Q140" s="220"/>
      <c r="R140" s="221"/>
      <c r="S140" s="28" t="s">
        <v>46</v>
      </c>
      <c r="T140" s="117">
        <v>45</v>
      </c>
    </row>
    <row r="141" spans="1:20" ht="174.95" customHeight="1" x14ac:dyDescent="0.25">
      <c r="A141" s="30">
        <v>128</v>
      </c>
      <c r="B141" s="24" t="s">
        <v>955</v>
      </c>
      <c r="C141" s="213" t="s">
        <v>858</v>
      </c>
      <c r="D141" s="214"/>
      <c r="E141" s="214"/>
      <c r="F141" s="215"/>
      <c r="G141" s="31" t="s">
        <v>957</v>
      </c>
      <c r="H141" s="24" t="s">
        <v>956</v>
      </c>
      <c r="I141" s="32">
        <v>1</v>
      </c>
      <c r="J141" s="32">
        <v>0</v>
      </c>
      <c r="K141" s="32">
        <v>0</v>
      </c>
      <c r="L141" s="32">
        <v>0</v>
      </c>
      <c r="M141" s="32">
        <v>0</v>
      </c>
      <c r="N141" s="32">
        <v>0</v>
      </c>
      <c r="O141" s="219" t="s">
        <v>958</v>
      </c>
      <c r="P141" s="220"/>
      <c r="Q141" s="220"/>
      <c r="R141" s="221"/>
      <c r="S141" s="28" t="s">
        <v>46</v>
      </c>
      <c r="T141" s="117">
        <v>46</v>
      </c>
    </row>
    <row r="142" spans="1:20" ht="174.95" customHeight="1" x14ac:dyDescent="0.25">
      <c r="A142" s="21">
        <v>129</v>
      </c>
      <c r="B142" s="24" t="s">
        <v>955</v>
      </c>
      <c r="C142" s="213" t="s">
        <v>959</v>
      </c>
      <c r="D142" s="214"/>
      <c r="E142" s="214"/>
      <c r="F142" s="215"/>
      <c r="G142" s="31" t="s">
        <v>961</v>
      </c>
      <c r="H142" s="24" t="s">
        <v>960</v>
      </c>
      <c r="I142" s="32">
        <v>0</v>
      </c>
      <c r="J142" s="32">
        <v>1</v>
      </c>
      <c r="K142" s="32">
        <v>0</v>
      </c>
      <c r="L142" s="32">
        <v>0</v>
      </c>
      <c r="M142" s="32">
        <v>0</v>
      </c>
      <c r="N142" s="32">
        <v>0</v>
      </c>
      <c r="O142" s="219" t="s">
        <v>963</v>
      </c>
      <c r="P142" s="220"/>
      <c r="Q142" s="220"/>
      <c r="R142" s="221"/>
      <c r="S142" s="28" t="s">
        <v>962</v>
      </c>
      <c r="T142" s="117">
        <v>47</v>
      </c>
    </row>
    <row r="143" spans="1:20" ht="174.95" customHeight="1" x14ac:dyDescent="0.25">
      <c r="A143" s="30">
        <v>130</v>
      </c>
      <c r="B143" s="24" t="s">
        <v>964</v>
      </c>
      <c r="C143" s="213" t="s">
        <v>351</v>
      </c>
      <c r="D143" s="214"/>
      <c r="E143" s="214"/>
      <c r="F143" s="215"/>
      <c r="G143" s="31" t="s">
        <v>966</v>
      </c>
      <c r="H143" s="24" t="s">
        <v>965</v>
      </c>
      <c r="I143" s="32">
        <v>1</v>
      </c>
      <c r="J143" s="32">
        <v>0</v>
      </c>
      <c r="K143" s="32">
        <v>0</v>
      </c>
      <c r="L143" s="32">
        <v>0</v>
      </c>
      <c r="M143" s="32">
        <v>0</v>
      </c>
      <c r="N143" s="32">
        <v>0</v>
      </c>
      <c r="O143" s="219" t="s">
        <v>967</v>
      </c>
      <c r="P143" s="220"/>
      <c r="Q143" s="220"/>
      <c r="R143" s="221"/>
      <c r="S143" s="28" t="s">
        <v>46</v>
      </c>
      <c r="T143" s="117">
        <v>48</v>
      </c>
    </row>
    <row r="144" spans="1:20" ht="174.95" customHeight="1" x14ac:dyDescent="0.25">
      <c r="A144" s="21">
        <v>131</v>
      </c>
      <c r="B144" s="24" t="s">
        <v>964</v>
      </c>
      <c r="C144" s="213" t="s">
        <v>968</v>
      </c>
      <c r="D144" s="214"/>
      <c r="E144" s="214"/>
      <c r="F144" s="215"/>
      <c r="G144" s="31" t="s">
        <v>970</v>
      </c>
      <c r="H144" s="24" t="s">
        <v>969</v>
      </c>
      <c r="I144" s="32">
        <v>1</v>
      </c>
      <c r="J144" s="32">
        <v>0</v>
      </c>
      <c r="K144" s="32">
        <v>0</v>
      </c>
      <c r="L144" s="32">
        <v>0</v>
      </c>
      <c r="M144" s="32">
        <v>0</v>
      </c>
      <c r="N144" s="32">
        <v>0</v>
      </c>
      <c r="O144" s="219" t="s">
        <v>971</v>
      </c>
      <c r="P144" s="220"/>
      <c r="Q144" s="220"/>
      <c r="R144" s="221"/>
      <c r="S144" s="28" t="s">
        <v>972</v>
      </c>
      <c r="T144" s="117">
        <v>49</v>
      </c>
    </row>
    <row r="145" spans="1:20" ht="174.95" customHeight="1" x14ac:dyDescent="0.25">
      <c r="A145" s="30">
        <v>132</v>
      </c>
      <c r="B145" s="24" t="s">
        <v>973</v>
      </c>
      <c r="C145" s="213" t="s">
        <v>567</v>
      </c>
      <c r="D145" s="214"/>
      <c r="E145" s="214"/>
      <c r="F145" s="215"/>
      <c r="G145" s="31" t="s">
        <v>975</v>
      </c>
      <c r="H145" s="24" t="s">
        <v>974</v>
      </c>
      <c r="I145" s="32">
        <v>1</v>
      </c>
      <c r="J145" s="32">
        <v>0</v>
      </c>
      <c r="K145" s="32">
        <v>0</v>
      </c>
      <c r="L145" s="32">
        <v>0</v>
      </c>
      <c r="M145" s="32">
        <v>0</v>
      </c>
      <c r="N145" s="32">
        <v>0</v>
      </c>
      <c r="O145" s="219" t="s">
        <v>715</v>
      </c>
      <c r="P145" s="220"/>
      <c r="Q145" s="220"/>
      <c r="R145" s="221"/>
      <c r="S145" s="28" t="s">
        <v>46</v>
      </c>
      <c r="T145" s="117">
        <v>50</v>
      </c>
    </row>
    <row r="146" spans="1:20" ht="174.95" customHeight="1" x14ac:dyDescent="0.25">
      <c r="A146" s="21">
        <v>133</v>
      </c>
      <c r="B146" s="24" t="s">
        <v>976</v>
      </c>
      <c r="C146" s="213" t="s">
        <v>977</v>
      </c>
      <c r="D146" s="214"/>
      <c r="E146" s="214"/>
      <c r="F146" s="215"/>
      <c r="G146" s="31" t="s">
        <v>979</v>
      </c>
      <c r="H146" s="24" t="s">
        <v>978</v>
      </c>
      <c r="I146" s="32">
        <v>1</v>
      </c>
      <c r="J146" s="32">
        <v>0</v>
      </c>
      <c r="K146" s="32">
        <v>0</v>
      </c>
      <c r="L146" s="32">
        <v>0</v>
      </c>
      <c r="M146" s="32">
        <v>0</v>
      </c>
      <c r="N146" s="32">
        <v>0</v>
      </c>
      <c r="O146" s="219" t="s">
        <v>958</v>
      </c>
      <c r="P146" s="220"/>
      <c r="Q146" s="220"/>
      <c r="R146" s="221"/>
      <c r="S146" s="28" t="s">
        <v>46</v>
      </c>
      <c r="T146" s="117">
        <v>51</v>
      </c>
    </row>
    <row r="147" spans="1:20" ht="174.95" customHeight="1" x14ac:dyDescent="0.25">
      <c r="A147" s="30">
        <v>134</v>
      </c>
      <c r="B147" s="24" t="s">
        <v>976</v>
      </c>
      <c r="C147" s="213" t="s">
        <v>980</v>
      </c>
      <c r="D147" s="214"/>
      <c r="E147" s="214"/>
      <c r="F147" s="215"/>
      <c r="G147" s="31" t="s">
        <v>366</v>
      </c>
      <c r="H147" s="24" t="s">
        <v>981</v>
      </c>
      <c r="I147" s="32">
        <v>0</v>
      </c>
      <c r="J147" s="32">
        <v>1</v>
      </c>
      <c r="K147" s="32">
        <v>0</v>
      </c>
      <c r="L147" s="32">
        <v>0</v>
      </c>
      <c r="M147" s="32">
        <v>0</v>
      </c>
      <c r="N147" s="32">
        <v>0</v>
      </c>
      <c r="O147" s="219" t="s">
        <v>627</v>
      </c>
      <c r="P147" s="220"/>
      <c r="Q147" s="220"/>
      <c r="R147" s="221"/>
      <c r="S147" s="28" t="s">
        <v>55</v>
      </c>
      <c r="T147" s="117">
        <v>52</v>
      </c>
    </row>
    <row r="148" spans="1:20" ht="174.95" customHeight="1" x14ac:dyDescent="0.25">
      <c r="A148" s="21">
        <v>135</v>
      </c>
      <c r="B148" s="24" t="s">
        <v>982</v>
      </c>
      <c r="C148" s="213" t="s">
        <v>983</v>
      </c>
      <c r="D148" s="214"/>
      <c r="E148" s="214"/>
      <c r="F148" s="215"/>
      <c r="G148" s="31" t="s">
        <v>985</v>
      </c>
      <c r="H148" s="24" t="s">
        <v>984</v>
      </c>
      <c r="I148" s="32">
        <v>0</v>
      </c>
      <c r="J148" s="32">
        <v>1</v>
      </c>
      <c r="K148" s="32">
        <v>0</v>
      </c>
      <c r="L148" s="32">
        <v>0</v>
      </c>
      <c r="M148" s="32">
        <v>0</v>
      </c>
      <c r="N148" s="32">
        <v>0</v>
      </c>
      <c r="O148" s="219" t="s">
        <v>632</v>
      </c>
      <c r="P148" s="220"/>
      <c r="Q148" s="220"/>
      <c r="R148" s="221"/>
      <c r="S148" s="28" t="s">
        <v>54</v>
      </c>
      <c r="T148" s="117">
        <v>53</v>
      </c>
    </row>
    <row r="149" spans="1:20" ht="174.95" customHeight="1" x14ac:dyDescent="0.25">
      <c r="A149" s="30">
        <v>136</v>
      </c>
      <c r="B149" s="24" t="s">
        <v>1174</v>
      </c>
      <c r="C149" s="213" t="s">
        <v>986</v>
      </c>
      <c r="D149" s="214"/>
      <c r="E149" s="214"/>
      <c r="F149" s="215"/>
      <c r="G149" s="31" t="s">
        <v>988</v>
      </c>
      <c r="H149" s="24" t="s">
        <v>987</v>
      </c>
      <c r="I149" s="32">
        <v>1</v>
      </c>
      <c r="J149" s="32">
        <v>0</v>
      </c>
      <c r="K149" s="32">
        <v>0</v>
      </c>
      <c r="L149" s="32">
        <v>0</v>
      </c>
      <c r="M149" s="32">
        <v>0</v>
      </c>
      <c r="N149" s="32">
        <v>0</v>
      </c>
      <c r="O149" s="216" t="s">
        <v>989</v>
      </c>
      <c r="P149" s="217"/>
      <c r="Q149" s="217"/>
      <c r="R149" s="218"/>
      <c r="S149" s="28" t="s">
        <v>46</v>
      </c>
      <c r="T149" s="117">
        <v>54</v>
      </c>
    </row>
    <row r="150" spans="1:20" ht="174.95" customHeight="1" x14ac:dyDescent="0.25">
      <c r="A150" s="21">
        <v>137</v>
      </c>
      <c r="B150" s="24" t="s">
        <v>999</v>
      </c>
      <c r="C150" s="213" t="s">
        <v>1000</v>
      </c>
      <c r="D150" s="214"/>
      <c r="E150" s="214"/>
      <c r="F150" s="215"/>
      <c r="G150" s="31" t="s">
        <v>1001</v>
      </c>
      <c r="H150" s="24" t="s">
        <v>1002</v>
      </c>
      <c r="I150" s="32">
        <v>1</v>
      </c>
      <c r="J150" s="32">
        <v>0</v>
      </c>
      <c r="K150" s="32">
        <v>0</v>
      </c>
      <c r="L150" s="32">
        <v>0</v>
      </c>
      <c r="M150" s="32">
        <v>0</v>
      </c>
      <c r="N150" s="32">
        <v>0</v>
      </c>
      <c r="O150" s="216" t="s">
        <v>1003</v>
      </c>
      <c r="P150" s="217"/>
      <c r="Q150" s="217"/>
      <c r="R150" s="218"/>
      <c r="S150" s="28" t="s">
        <v>46</v>
      </c>
      <c r="T150" s="117">
        <v>1</v>
      </c>
    </row>
    <row r="151" spans="1:20" ht="174.95" customHeight="1" x14ac:dyDescent="0.25">
      <c r="A151" s="30">
        <v>138</v>
      </c>
      <c r="B151" s="24" t="s">
        <v>1004</v>
      </c>
      <c r="C151" s="213" t="s">
        <v>1005</v>
      </c>
      <c r="D151" s="214"/>
      <c r="E151" s="214"/>
      <c r="F151" s="215"/>
      <c r="G151" s="31" t="s">
        <v>1007</v>
      </c>
      <c r="H151" s="24" t="s">
        <v>1006</v>
      </c>
      <c r="I151" s="32">
        <v>1</v>
      </c>
      <c r="J151" s="32">
        <v>0</v>
      </c>
      <c r="K151" s="32">
        <v>0</v>
      </c>
      <c r="L151" s="32">
        <v>0</v>
      </c>
      <c r="M151" s="32">
        <v>0</v>
      </c>
      <c r="N151" s="32">
        <v>0</v>
      </c>
      <c r="O151" s="216" t="s">
        <v>627</v>
      </c>
      <c r="P151" s="217"/>
      <c r="Q151" s="217"/>
      <c r="R151" s="218"/>
      <c r="S151" s="28" t="s">
        <v>374</v>
      </c>
      <c r="T151" s="117">
        <v>2</v>
      </c>
    </row>
    <row r="152" spans="1:20" ht="174.95" customHeight="1" x14ac:dyDescent="0.25">
      <c r="A152" s="21">
        <v>139</v>
      </c>
      <c r="B152" s="24" t="s">
        <v>1004</v>
      </c>
      <c r="C152" s="213" t="s">
        <v>1008</v>
      </c>
      <c r="D152" s="214"/>
      <c r="E152" s="214"/>
      <c r="F152" s="215"/>
      <c r="G152" s="31" t="s">
        <v>1010</v>
      </c>
      <c r="H152" s="24" t="s">
        <v>1009</v>
      </c>
      <c r="I152" s="32">
        <v>1</v>
      </c>
      <c r="J152" s="32">
        <v>0</v>
      </c>
      <c r="K152" s="32">
        <v>0</v>
      </c>
      <c r="L152" s="32">
        <v>0</v>
      </c>
      <c r="M152" s="32">
        <v>0</v>
      </c>
      <c r="N152" s="32">
        <v>0</v>
      </c>
      <c r="O152" s="216" t="s">
        <v>1011</v>
      </c>
      <c r="P152" s="217"/>
      <c r="Q152" s="217"/>
      <c r="R152" s="218"/>
      <c r="S152" s="28" t="s">
        <v>377</v>
      </c>
      <c r="T152" s="117">
        <v>3</v>
      </c>
    </row>
    <row r="153" spans="1:20" ht="174.95" customHeight="1" x14ac:dyDescent="0.25">
      <c r="A153" s="30">
        <v>140</v>
      </c>
      <c r="B153" s="24" t="s">
        <v>1012</v>
      </c>
      <c r="C153" s="213" t="s">
        <v>1013</v>
      </c>
      <c r="D153" s="214"/>
      <c r="E153" s="214"/>
      <c r="F153" s="215"/>
      <c r="G153" s="31" t="s">
        <v>1015</v>
      </c>
      <c r="H153" s="24" t="s">
        <v>1014</v>
      </c>
      <c r="I153" s="32">
        <v>0</v>
      </c>
      <c r="J153" s="32">
        <v>1</v>
      </c>
      <c r="K153" s="32">
        <v>0</v>
      </c>
      <c r="L153" s="32">
        <v>0</v>
      </c>
      <c r="M153" s="32">
        <v>0</v>
      </c>
      <c r="N153" s="32">
        <v>0</v>
      </c>
      <c r="O153" s="216" t="s">
        <v>927</v>
      </c>
      <c r="P153" s="217"/>
      <c r="Q153" s="217"/>
      <c r="R153" s="218"/>
      <c r="S153" s="28" t="s">
        <v>1016</v>
      </c>
      <c r="T153" s="117">
        <v>4</v>
      </c>
    </row>
    <row r="154" spans="1:20" ht="174.95" customHeight="1" x14ac:dyDescent="0.25">
      <c r="A154" s="21">
        <v>141</v>
      </c>
      <c r="B154" s="24" t="s">
        <v>1017</v>
      </c>
      <c r="C154" s="213" t="s">
        <v>1018</v>
      </c>
      <c r="D154" s="214"/>
      <c r="E154" s="214"/>
      <c r="F154" s="215"/>
      <c r="G154" s="31" t="s">
        <v>1020</v>
      </c>
      <c r="H154" s="24" t="s">
        <v>1019</v>
      </c>
      <c r="I154" s="32">
        <v>0</v>
      </c>
      <c r="J154" s="32">
        <v>1</v>
      </c>
      <c r="K154" s="32">
        <v>0</v>
      </c>
      <c r="L154" s="32">
        <v>0</v>
      </c>
      <c r="M154" s="32">
        <v>0</v>
      </c>
      <c r="N154" s="32">
        <v>0</v>
      </c>
      <c r="O154" s="219" t="s">
        <v>745</v>
      </c>
      <c r="P154" s="220"/>
      <c r="Q154" s="220"/>
      <c r="R154" s="221"/>
      <c r="S154" s="28" t="s">
        <v>1021</v>
      </c>
      <c r="T154" s="117">
        <v>5</v>
      </c>
    </row>
    <row r="155" spans="1:20" ht="174.95" customHeight="1" x14ac:dyDescent="0.25">
      <c r="A155" s="30">
        <v>142</v>
      </c>
      <c r="B155" s="24" t="s">
        <v>1017</v>
      </c>
      <c r="C155" s="213" t="s">
        <v>352</v>
      </c>
      <c r="D155" s="214"/>
      <c r="E155" s="214"/>
      <c r="F155" s="215"/>
      <c r="G155" s="31" t="s">
        <v>1023</v>
      </c>
      <c r="H155" s="24" t="s">
        <v>1022</v>
      </c>
      <c r="I155" s="32">
        <v>1</v>
      </c>
      <c r="J155" s="32">
        <v>0</v>
      </c>
      <c r="K155" s="32">
        <v>0</v>
      </c>
      <c r="L155" s="32">
        <v>0</v>
      </c>
      <c r="M155" s="32">
        <v>0</v>
      </c>
      <c r="N155" s="32">
        <v>0</v>
      </c>
      <c r="O155" s="216" t="s">
        <v>1024</v>
      </c>
      <c r="P155" s="217"/>
      <c r="Q155" s="217"/>
      <c r="R155" s="218"/>
      <c r="S155" s="28" t="s">
        <v>374</v>
      </c>
      <c r="T155" s="117">
        <v>6</v>
      </c>
    </row>
    <row r="156" spans="1:20" ht="174.95" customHeight="1" x14ac:dyDescent="0.25">
      <c r="A156" s="21">
        <v>143</v>
      </c>
      <c r="B156" s="24" t="s">
        <v>1025</v>
      </c>
      <c r="C156" s="213" t="s">
        <v>1026</v>
      </c>
      <c r="D156" s="214"/>
      <c r="E156" s="214"/>
      <c r="F156" s="215"/>
      <c r="G156" s="31" t="s">
        <v>1028</v>
      </c>
      <c r="H156" s="24" t="s">
        <v>1027</v>
      </c>
      <c r="I156" s="32">
        <v>1</v>
      </c>
      <c r="J156" s="32">
        <v>0</v>
      </c>
      <c r="K156" s="32">
        <v>0</v>
      </c>
      <c r="L156" s="32">
        <v>0</v>
      </c>
      <c r="M156" s="32">
        <v>0</v>
      </c>
      <c r="N156" s="32">
        <v>0</v>
      </c>
      <c r="O156" s="216" t="s">
        <v>757</v>
      </c>
      <c r="P156" s="217"/>
      <c r="Q156" s="217"/>
      <c r="R156" s="218"/>
      <c r="S156" s="28" t="s">
        <v>46</v>
      </c>
      <c r="T156" s="117">
        <v>7</v>
      </c>
    </row>
    <row r="157" spans="1:20" ht="174.95" customHeight="1" x14ac:dyDescent="0.25">
      <c r="A157" s="30">
        <v>144</v>
      </c>
      <c r="B157" s="24" t="s">
        <v>1029</v>
      </c>
      <c r="C157" s="213" t="s">
        <v>367</v>
      </c>
      <c r="D157" s="214"/>
      <c r="E157" s="214"/>
      <c r="F157" s="215"/>
      <c r="G157" s="31" t="s">
        <v>1031</v>
      </c>
      <c r="H157" s="24" t="s">
        <v>1030</v>
      </c>
      <c r="I157" s="32">
        <v>1</v>
      </c>
      <c r="J157" s="32">
        <v>0</v>
      </c>
      <c r="K157" s="32">
        <v>0</v>
      </c>
      <c r="L157" s="32">
        <v>0</v>
      </c>
      <c r="M157" s="32">
        <v>0</v>
      </c>
      <c r="N157" s="32">
        <v>0</v>
      </c>
      <c r="O157" s="216" t="s">
        <v>1032</v>
      </c>
      <c r="P157" s="217"/>
      <c r="Q157" s="217"/>
      <c r="R157" s="218"/>
      <c r="S157" s="28" t="s">
        <v>46</v>
      </c>
      <c r="T157" s="117">
        <v>8</v>
      </c>
    </row>
    <row r="158" spans="1:20" ht="174.95" customHeight="1" x14ac:dyDescent="0.25">
      <c r="A158" s="21">
        <v>145</v>
      </c>
      <c r="B158" s="24" t="s">
        <v>1029</v>
      </c>
      <c r="C158" s="213" t="s">
        <v>1033</v>
      </c>
      <c r="D158" s="214"/>
      <c r="E158" s="214"/>
      <c r="F158" s="215"/>
      <c r="G158" s="31" t="s">
        <v>1035</v>
      </c>
      <c r="H158" s="24" t="s">
        <v>1034</v>
      </c>
      <c r="I158" s="32">
        <v>1</v>
      </c>
      <c r="J158" s="32">
        <v>0</v>
      </c>
      <c r="K158" s="32">
        <v>0</v>
      </c>
      <c r="L158" s="32">
        <v>0</v>
      </c>
      <c r="M158" s="32">
        <v>0</v>
      </c>
      <c r="N158" s="32">
        <v>0</v>
      </c>
      <c r="O158" s="216" t="s">
        <v>1036</v>
      </c>
      <c r="P158" s="217"/>
      <c r="Q158" s="217"/>
      <c r="R158" s="218"/>
      <c r="S158" s="28" t="s">
        <v>46</v>
      </c>
      <c r="T158" s="117">
        <v>9</v>
      </c>
    </row>
    <row r="159" spans="1:20" ht="174.95" customHeight="1" x14ac:dyDescent="0.25">
      <c r="A159" s="30">
        <v>146</v>
      </c>
      <c r="B159" s="24" t="s">
        <v>1037</v>
      </c>
      <c r="C159" s="213" t="s">
        <v>1038</v>
      </c>
      <c r="D159" s="214"/>
      <c r="E159" s="214"/>
      <c r="F159" s="215"/>
      <c r="G159" s="31" t="s">
        <v>1040</v>
      </c>
      <c r="H159" s="24" t="s">
        <v>1039</v>
      </c>
      <c r="I159" s="32">
        <v>1</v>
      </c>
      <c r="J159" s="32">
        <v>0</v>
      </c>
      <c r="K159" s="32">
        <v>0</v>
      </c>
      <c r="L159" s="32">
        <v>0</v>
      </c>
      <c r="M159" s="32">
        <v>0</v>
      </c>
      <c r="N159" s="32">
        <v>0</v>
      </c>
      <c r="O159" s="216" t="s">
        <v>1041</v>
      </c>
      <c r="P159" s="217"/>
      <c r="Q159" s="217"/>
      <c r="R159" s="218"/>
      <c r="S159" s="28" t="s">
        <v>46</v>
      </c>
      <c r="T159" s="117">
        <v>10</v>
      </c>
    </row>
    <row r="160" spans="1:20" ht="174.95" customHeight="1" x14ac:dyDescent="0.25">
      <c r="A160" s="21">
        <v>147</v>
      </c>
      <c r="B160" s="24" t="s">
        <v>1042</v>
      </c>
      <c r="C160" s="213" t="s">
        <v>361</v>
      </c>
      <c r="D160" s="214"/>
      <c r="E160" s="214"/>
      <c r="F160" s="215"/>
      <c r="G160" s="31" t="s">
        <v>1044</v>
      </c>
      <c r="H160" s="24" t="s">
        <v>1043</v>
      </c>
      <c r="I160" s="32">
        <v>1</v>
      </c>
      <c r="J160" s="32">
        <v>0</v>
      </c>
      <c r="K160" s="32">
        <v>0</v>
      </c>
      <c r="L160" s="32">
        <v>0</v>
      </c>
      <c r="M160" s="32">
        <v>0</v>
      </c>
      <c r="N160" s="32">
        <v>0</v>
      </c>
      <c r="O160" s="216" t="s">
        <v>1045</v>
      </c>
      <c r="P160" s="217"/>
      <c r="Q160" s="217"/>
      <c r="R160" s="218"/>
      <c r="S160" s="28" t="s">
        <v>46</v>
      </c>
      <c r="T160" s="117">
        <v>11</v>
      </c>
    </row>
    <row r="161" spans="1:20" ht="174.95" customHeight="1" x14ac:dyDescent="0.25">
      <c r="A161" s="30">
        <v>148</v>
      </c>
      <c r="B161" s="24" t="s">
        <v>1046</v>
      </c>
      <c r="C161" s="213" t="s">
        <v>1047</v>
      </c>
      <c r="D161" s="214"/>
      <c r="E161" s="214"/>
      <c r="F161" s="215"/>
      <c r="G161" s="31" t="s">
        <v>1049</v>
      </c>
      <c r="H161" s="24" t="s">
        <v>1048</v>
      </c>
      <c r="I161" s="32">
        <v>1</v>
      </c>
      <c r="J161" s="32">
        <v>0</v>
      </c>
      <c r="K161" s="32">
        <v>0</v>
      </c>
      <c r="L161" s="32">
        <v>0</v>
      </c>
      <c r="M161" s="32">
        <v>0</v>
      </c>
      <c r="N161" s="32">
        <v>0</v>
      </c>
      <c r="O161" s="216" t="s">
        <v>1050</v>
      </c>
      <c r="P161" s="217"/>
      <c r="Q161" s="217"/>
      <c r="R161" s="218"/>
      <c r="S161" s="28" t="s">
        <v>46</v>
      </c>
      <c r="T161" s="117">
        <v>12</v>
      </c>
    </row>
    <row r="162" spans="1:20" ht="174.95" customHeight="1" x14ac:dyDescent="0.25">
      <c r="A162" s="21">
        <v>149</v>
      </c>
      <c r="B162" s="24" t="s">
        <v>1046</v>
      </c>
      <c r="C162" s="213" t="s">
        <v>1051</v>
      </c>
      <c r="D162" s="214"/>
      <c r="E162" s="214"/>
      <c r="F162" s="215"/>
      <c r="G162" s="31" t="s">
        <v>1053</v>
      </c>
      <c r="H162" s="24" t="s">
        <v>1052</v>
      </c>
      <c r="I162" s="32">
        <v>1</v>
      </c>
      <c r="J162" s="32">
        <v>0</v>
      </c>
      <c r="K162" s="32">
        <v>0</v>
      </c>
      <c r="L162" s="32">
        <v>0</v>
      </c>
      <c r="M162" s="32">
        <v>0</v>
      </c>
      <c r="N162" s="32">
        <v>0</v>
      </c>
      <c r="O162" s="216" t="s">
        <v>1054</v>
      </c>
      <c r="P162" s="217"/>
      <c r="Q162" s="217"/>
      <c r="R162" s="218"/>
      <c r="S162" s="28" t="s">
        <v>46</v>
      </c>
      <c r="T162" s="117">
        <v>13</v>
      </c>
    </row>
    <row r="163" spans="1:20" ht="174.95" customHeight="1" x14ac:dyDescent="0.25">
      <c r="A163" s="30">
        <v>150</v>
      </c>
      <c r="B163" s="24" t="s">
        <v>1055</v>
      </c>
      <c r="C163" s="213" t="s">
        <v>1056</v>
      </c>
      <c r="D163" s="214"/>
      <c r="E163" s="214"/>
      <c r="F163" s="215"/>
      <c r="G163" s="31" t="s">
        <v>1058</v>
      </c>
      <c r="H163" s="24" t="s">
        <v>1057</v>
      </c>
      <c r="I163" s="32">
        <v>1</v>
      </c>
      <c r="J163" s="32">
        <v>0</v>
      </c>
      <c r="K163" s="32">
        <v>0</v>
      </c>
      <c r="L163" s="32">
        <v>0</v>
      </c>
      <c r="M163" s="32">
        <v>0</v>
      </c>
      <c r="N163" s="32">
        <v>0</v>
      </c>
      <c r="O163" s="216" t="s">
        <v>627</v>
      </c>
      <c r="P163" s="217"/>
      <c r="Q163" s="217"/>
      <c r="R163" s="218"/>
      <c r="S163" s="28" t="s">
        <v>48</v>
      </c>
      <c r="T163" s="117">
        <v>14</v>
      </c>
    </row>
    <row r="164" spans="1:20" ht="174.95" customHeight="1" x14ac:dyDescent="0.25">
      <c r="A164" s="21">
        <v>151</v>
      </c>
      <c r="B164" s="24" t="s">
        <v>1059</v>
      </c>
      <c r="C164" s="213" t="s">
        <v>1060</v>
      </c>
      <c r="D164" s="214"/>
      <c r="E164" s="214"/>
      <c r="F164" s="215"/>
      <c r="G164" s="31" t="s">
        <v>1062</v>
      </c>
      <c r="H164" s="24" t="s">
        <v>1061</v>
      </c>
      <c r="I164" s="32">
        <v>0</v>
      </c>
      <c r="J164" s="32">
        <v>1</v>
      </c>
      <c r="K164" s="32">
        <v>0</v>
      </c>
      <c r="L164" s="32">
        <v>0</v>
      </c>
      <c r="M164" s="32">
        <v>0</v>
      </c>
      <c r="N164" s="32">
        <v>0</v>
      </c>
      <c r="O164" s="216" t="s">
        <v>627</v>
      </c>
      <c r="P164" s="217"/>
      <c r="Q164" s="217"/>
      <c r="R164" s="218"/>
      <c r="S164" s="28" t="s">
        <v>49</v>
      </c>
      <c r="T164" s="117">
        <v>15</v>
      </c>
    </row>
    <row r="165" spans="1:20" ht="174.95" customHeight="1" x14ac:dyDescent="0.25">
      <c r="A165" s="30">
        <v>152</v>
      </c>
      <c r="B165" s="24" t="s">
        <v>1059</v>
      </c>
      <c r="C165" s="213" t="s">
        <v>1063</v>
      </c>
      <c r="D165" s="214"/>
      <c r="E165" s="214"/>
      <c r="F165" s="215"/>
      <c r="G165" s="31" t="s">
        <v>1065</v>
      </c>
      <c r="H165" s="24" t="s">
        <v>1064</v>
      </c>
      <c r="I165" s="32">
        <v>1</v>
      </c>
      <c r="J165" s="32">
        <v>0</v>
      </c>
      <c r="K165" s="32">
        <v>0</v>
      </c>
      <c r="L165" s="32">
        <v>0</v>
      </c>
      <c r="M165" s="32">
        <v>0</v>
      </c>
      <c r="N165" s="32">
        <v>0</v>
      </c>
      <c r="O165" s="216" t="s">
        <v>1066</v>
      </c>
      <c r="P165" s="217"/>
      <c r="Q165" s="217"/>
      <c r="R165" s="218"/>
      <c r="S165" s="28" t="s">
        <v>46</v>
      </c>
      <c r="T165" s="117">
        <v>16</v>
      </c>
    </row>
    <row r="166" spans="1:20" ht="174.95" customHeight="1" x14ac:dyDescent="0.25">
      <c r="A166" s="21">
        <v>153</v>
      </c>
      <c r="B166" s="24" t="s">
        <v>1067</v>
      </c>
      <c r="C166" s="213" t="s">
        <v>567</v>
      </c>
      <c r="D166" s="214"/>
      <c r="E166" s="214"/>
      <c r="F166" s="215"/>
      <c r="G166" s="31" t="s">
        <v>1069</v>
      </c>
      <c r="H166" s="24" t="s">
        <v>1068</v>
      </c>
      <c r="I166" s="32">
        <v>1</v>
      </c>
      <c r="J166" s="32">
        <v>0</v>
      </c>
      <c r="K166" s="32">
        <v>0</v>
      </c>
      <c r="L166" s="32">
        <v>0</v>
      </c>
      <c r="M166" s="32">
        <v>0</v>
      </c>
      <c r="N166" s="32">
        <v>0</v>
      </c>
      <c r="O166" s="216" t="s">
        <v>1070</v>
      </c>
      <c r="P166" s="217"/>
      <c r="Q166" s="217"/>
      <c r="R166" s="218"/>
      <c r="S166" s="28" t="s">
        <v>46</v>
      </c>
      <c r="T166" s="117">
        <v>17</v>
      </c>
    </row>
    <row r="167" spans="1:20" ht="174.95" customHeight="1" x14ac:dyDescent="0.25">
      <c r="A167" s="30">
        <v>154</v>
      </c>
      <c r="B167" s="24" t="s">
        <v>1067</v>
      </c>
      <c r="C167" s="213" t="s">
        <v>1071</v>
      </c>
      <c r="D167" s="214"/>
      <c r="E167" s="214"/>
      <c r="F167" s="215"/>
      <c r="G167" s="31" t="s">
        <v>1073</v>
      </c>
      <c r="H167" s="24" t="s">
        <v>1072</v>
      </c>
      <c r="I167" s="32">
        <v>1</v>
      </c>
      <c r="J167" s="32">
        <v>0</v>
      </c>
      <c r="K167" s="32">
        <v>0</v>
      </c>
      <c r="L167" s="32">
        <v>0</v>
      </c>
      <c r="M167" s="32">
        <v>0</v>
      </c>
      <c r="N167" s="32">
        <v>0</v>
      </c>
      <c r="O167" s="216" t="s">
        <v>1074</v>
      </c>
      <c r="P167" s="217"/>
      <c r="Q167" s="217"/>
      <c r="R167" s="218"/>
      <c r="S167" s="28" t="s">
        <v>48</v>
      </c>
      <c r="T167" s="117">
        <v>18</v>
      </c>
    </row>
    <row r="168" spans="1:20" ht="174.95" customHeight="1" x14ac:dyDescent="0.25">
      <c r="A168" s="21">
        <v>155</v>
      </c>
      <c r="B168" s="24" t="s">
        <v>1075</v>
      </c>
      <c r="C168" s="213" t="s">
        <v>1076</v>
      </c>
      <c r="D168" s="214"/>
      <c r="E168" s="214"/>
      <c r="F168" s="215"/>
      <c r="G168" s="31" t="s">
        <v>1078</v>
      </c>
      <c r="H168" s="24" t="s">
        <v>1077</v>
      </c>
      <c r="I168" s="32">
        <v>1</v>
      </c>
      <c r="J168" s="32">
        <v>0</v>
      </c>
      <c r="K168" s="32">
        <v>0</v>
      </c>
      <c r="L168" s="32">
        <v>0</v>
      </c>
      <c r="M168" s="32">
        <v>0</v>
      </c>
      <c r="N168" s="32">
        <v>0</v>
      </c>
      <c r="O168" s="216" t="s">
        <v>868</v>
      </c>
      <c r="P168" s="217"/>
      <c r="Q168" s="217"/>
      <c r="R168" s="218"/>
      <c r="S168" s="28" t="s">
        <v>47</v>
      </c>
      <c r="T168" s="117">
        <v>19</v>
      </c>
    </row>
    <row r="169" spans="1:20" ht="174.95" customHeight="1" x14ac:dyDescent="0.25">
      <c r="A169" s="30">
        <v>156</v>
      </c>
      <c r="B169" s="24" t="s">
        <v>1075</v>
      </c>
      <c r="C169" s="213" t="s">
        <v>1079</v>
      </c>
      <c r="D169" s="214"/>
      <c r="E169" s="214"/>
      <c r="F169" s="215"/>
      <c r="G169" s="31" t="s">
        <v>1081</v>
      </c>
      <c r="H169" s="24" t="s">
        <v>1080</v>
      </c>
      <c r="I169" s="32">
        <v>1</v>
      </c>
      <c r="J169" s="32">
        <v>0</v>
      </c>
      <c r="K169" s="32">
        <v>0</v>
      </c>
      <c r="L169" s="32">
        <v>0</v>
      </c>
      <c r="M169" s="32">
        <v>0</v>
      </c>
      <c r="N169" s="32">
        <v>0</v>
      </c>
      <c r="O169" s="216" t="s">
        <v>1082</v>
      </c>
      <c r="P169" s="217"/>
      <c r="Q169" s="217"/>
      <c r="R169" s="218"/>
      <c r="S169" s="28" t="s">
        <v>46</v>
      </c>
      <c r="T169" s="117">
        <v>20</v>
      </c>
    </row>
    <row r="170" spans="1:20" ht="174.95" customHeight="1" x14ac:dyDescent="0.25">
      <c r="A170" s="21">
        <v>157</v>
      </c>
      <c r="B170" s="24" t="s">
        <v>1083</v>
      </c>
      <c r="C170" s="213" t="s">
        <v>1084</v>
      </c>
      <c r="D170" s="214"/>
      <c r="E170" s="214"/>
      <c r="F170" s="215"/>
      <c r="G170" s="31" t="s">
        <v>1086</v>
      </c>
      <c r="H170" s="24" t="s">
        <v>1085</v>
      </c>
      <c r="I170" s="32">
        <v>0</v>
      </c>
      <c r="J170" s="32">
        <v>1</v>
      </c>
      <c r="K170" s="32">
        <v>0</v>
      </c>
      <c r="L170" s="32">
        <v>0</v>
      </c>
      <c r="M170" s="32">
        <v>0</v>
      </c>
      <c r="N170" s="32">
        <v>0</v>
      </c>
      <c r="O170" s="216" t="s">
        <v>1088</v>
      </c>
      <c r="P170" s="217"/>
      <c r="Q170" s="217"/>
      <c r="R170" s="218"/>
      <c r="S170" s="28" t="s">
        <v>1087</v>
      </c>
      <c r="T170" s="117">
        <v>21</v>
      </c>
    </row>
    <row r="171" spans="1:20" ht="174.95" customHeight="1" x14ac:dyDescent="0.25">
      <c r="A171" s="30">
        <v>158</v>
      </c>
      <c r="B171" s="24" t="s">
        <v>1089</v>
      </c>
      <c r="C171" s="213" t="s">
        <v>1090</v>
      </c>
      <c r="D171" s="214"/>
      <c r="E171" s="214"/>
      <c r="F171" s="215"/>
      <c r="G171" s="31" t="s">
        <v>1092</v>
      </c>
      <c r="H171" s="24" t="s">
        <v>1091</v>
      </c>
      <c r="I171" s="32">
        <v>1</v>
      </c>
      <c r="J171" s="32">
        <v>0</v>
      </c>
      <c r="K171" s="32">
        <v>0</v>
      </c>
      <c r="L171" s="32">
        <v>0</v>
      </c>
      <c r="M171" s="32">
        <v>0</v>
      </c>
      <c r="N171" s="32">
        <v>0</v>
      </c>
      <c r="O171" s="216" t="s">
        <v>1093</v>
      </c>
      <c r="P171" s="217"/>
      <c r="Q171" s="217"/>
      <c r="R171" s="218"/>
      <c r="S171" s="28" t="s">
        <v>46</v>
      </c>
      <c r="T171" s="117">
        <v>22</v>
      </c>
    </row>
    <row r="172" spans="1:20" ht="174.95" customHeight="1" x14ac:dyDescent="0.25">
      <c r="A172" s="21">
        <v>159</v>
      </c>
      <c r="B172" s="24" t="s">
        <v>1094</v>
      </c>
      <c r="C172" s="213" t="s">
        <v>1095</v>
      </c>
      <c r="D172" s="214"/>
      <c r="E172" s="214"/>
      <c r="F172" s="215"/>
      <c r="G172" s="31" t="s">
        <v>1097</v>
      </c>
      <c r="H172" s="24" t="s">
        <v>1096</v>
      </c>
      <c r="I172" s="32">
        <v>1</v>
      </c>
      <c r="J172" s="32">
        <v>0</v>
      </c>
      <c r="K172" s="32">
        <v>0</v>
      </c>
      <c r="L172" s="32">
        <v>0</v>
      </c>
      <c r="M172" s="32">
        <v>0</v>
      </c>
      <c r="N172" s="32">
        <v>0</v>
      </c>
      <c r="O172" s="216" t="s">
        <v>1098</v>
      </c>
      <c r="P172" s="217"/>
      <c r="Q172" s="217"/>
      <c r="R172" s="218"/>
      <c r="S172" s="28" t="s">
        <v>53</v>
      </c>
      <c r="T172" s="117">
        <v>23</v>
      </c>
    </row>
    <row r="173" spans="1:20" ht="174.95" customHeight="1" x14ac:dyDescent="0.25">
      <c r="A173" s="30">
        <v>160</v>
      </c>
      <c r="B173" s="24" t="s">
        <v>1094</v>
      </c>
      <c r="C173" s="213" t="s">
        <v>1099</v>
      </c>
      <c r="D173" s="214"/>
      <c r="E173" s="214"/>
      <c r="F173" s="215"/>
      <c r="G173" s="31" t="s">
        <v>1101</v>
      </c>
      <c r="H173" s="24" t="s">
        <v>1100</v>
      </c>
      <c r="I173" s="32">
        <v>0</v>
      </c>
      <c r="J173" s="32">
        <v>1</v>
      </c>
      <c r="K173" s="32">
        <v>0</v>
      </c>
      <c r="L173" s="32">
        <v>0</v>
      </c>
      <c r="M173" s="32">
        <v>0</v>
      </c>
      <c r="N173" s="32">
        <v>0</v>
      </c>
      <c r="O173" s="216" t="s">
        <v>752</v>
      </c>
      <c r="P173" s="217"/>
      <c r="Q173" s="217"/>
      <c r="R173" s="218"/>
      <c r="S173" s="28" t="s">
        <v>1021</v>
      </c>
      <c r="T173" s="117">
        <v>24</v>
      </c>
    </row>
    <row r="174" spans="1:20" ht="174.95" customHeight="1" x14ac:dyDescent="0.25">
      <c r="A174" s="21">
        <v>161</v>
      </c>
      <c r="B174" s="24" t="s">
        <v>1102</v>
      </c>
      <c r="C174" s="213" t="s">
        <v>1103</v>
      </c>
      <c r="D174" s="214"/>
      <c r="E174" s="214"/>
      <c r="F174" s="215"/>
      <c r="G174" s="31" t="s">
        <v>1105</v>
      </c>
      <c r="H174" s="24" t="s">
        <v>1104</v>
      </c>
      <c r="I174" s="32">
        <v>1</v>
      </c>
      <c r="J174" s="32">
        <v>0</v>
      </c>
      <c r="K174" s="32">
        <v>0</v>
      </c>
      <c r="L174" s="32">
        <v>0</v>
      </c>
      <c r="M174" s="32">
        <v>0</v>
      </c>
      <c r="N174" s="32">
        <v>0</v>
      </c>
      <c r="O174" s="216" t="s">
        <v>1106</v>
      </c>
      <c r="P174" s="217"/>
      <c r="Q174" s="217"/>
      <c r="R174" s="218"/>
      <c r="S174" s="28" t="s">
        <v>46</v>
      </c>
      <c r="T174" s="117">
        <v>25</v>
      </c>
    </row>
    <row r="175" spans="1:20" ht="174.95" customHeight="1" x14ac:dyDescent="0.25">
      <c r="A175" s="30">
        <v>162</v>
      </c>
      <c r="B175" s="24" t="s">
        <v>1102</v>
      </c>
      <c r="C175" s="213" t="s">
        <v>1107</v>
      </c>
      <c r="D175" s="214"/>
      <c r="E175" s="214"/>
      <c r="F175" s="215"/>
      <c r="G175" s="31" t="s">
        <v>1109</v>
      </c>
      <c r="H175" s="24" t="s">
        <v>1108</v>
      </c>
      <c r="I175" s="32">
        <v>1</v>
      </c>
      <c r="J175" s="32">
        <v>0</v>
      </c>
      <c r="K175" s="32">
        <v>0</v>
      </c>
      <c r="L175" s="32">
        <v>0</v>
      </c>
      <c r="M175" s="32">
        <v>0</v>
      </c>
      <c r="N175" s="32">
        <v>0</v>
      </c>
      <c r="O175" s="216" t="s">
        <v>1110</v>
      </c>
      <c r="P175" s="217"/>
      <c r="Q175" s="217"/>
      <c r="R175" s="218"/>
      <c r="S175" s="28" t="s">
        <v>47</v>
      </c>
      <c r="T175" s="117">
        <v>26</v>
      </c>
    </row>
    <row r="176" spans="1:20" ht="174.95" customHeight="1" x14ac:dyDescent="0.25">
      <c r="A176" s="21">
        <v>163</v>
      </c>
      <c r="B176" s="24" t="s">
        <v>1111</v>
      </c>
      <c r="C176" s="213" t="s">
        <v>1112</v>
      </c>
      <c r="D176" s="214"/>
      <c r="E176" s="214"/>
      <c r="F176" s="215"/>
      <c r="G176" s="31" t="s">
        <v>1114</v>
      </c>
      <c r="H176" s="24" t="s">
        <v>1113</v>
      </c>
      <c r="I176" s="32">
        <v>1</v>
      </c>
      <c r="J176" s="32">
        <v>0</v>
      </c>
      <c r="K176" s="32">
        <v>0</v>
      </c>
      <c r="L176" s="32">
        <v>0</v>
      </c>
      <c r="M176" s="32">
        <v>0</v>
      </c>
      <c r="N176" s="32">
        <v>0</v>
      </c>
      <c r="O176" s="216" t="s">
        <v>733</v>
      </c>
      <c r="P176" s="217"/>
      <c r="Q176" s="217"/>
      <c r="R176" s="218"/>
      <c r="S176" s="28" t="s">
        <v>46</v>
      </c>
      <c r="T176" s="117">
        <v>27</v>
      </c>
    </row>
    <row r="177" spans="1:20" ht="174.95" customHeight="1" x14ac:dyDescent="0.25">
      <c r="A177" s="30">
        <v>164</v>
      </c>
      <c r="B177" s="24" t="s">
        <v>1111</v>
      </c>
      <c r="C177" s="213" t="s">
        <v>1115</v>
      </c>
      <c r="D177" s="214"/>
      <c r="E177" s="214"/>
      <c r="F177" s="215"/>
      <c r="G177" s="31" t="s">
        <v>1116</v>
      </c>
      <c r="H177" s="24" t="s">
        <v>1117</v>
      </c>
      <c r="I177" s="32">
        <v>1</v>
      </c>
      <c r="J177" s="32">
        <v>0</v>
      </c>
      <c r="K177" s="32">
        <v>0</v>
      </c>
      <c r="L177" s="32">
        <v>0</v>
      </c>
      <c r="M177" s="32">
        <v>0</v>
      </c>
      <c r="N177" s="32">
        <v>0</v>
      </c>
      <c r="O177" s="216" t="s">
        <v>1118</v>
      </c>
      <c r="P177" s="217"/>
      <c r="Q177" s="217"/>
      <c r="R177" s="218"/>
      <c r="S177" s="28" t="s">
        <v>45</v>
      </c>
      <c r="T177" s="117">
        <v>28</v>
      </c>
    </row>
    <row r="178" spans="1:20" ht="174.95" customHeight="1" x14ac:dyDescent="0.25">
      <c r="A178" s="21">
        <v>165</v>
      </c>
      <c r="B178" s="24" t="s">
        <v>1119</v>
      </c>
      <c r="C178" s="213" t="s">
        <v>1120</v>
      </c>
      <c r="D178" s="214"/>
      <c r="E178" s="214"/>
      <c r="F178" s="215"/>
      <c r="G178" s="31" t="s">
        <v>1122</v>
      </c>
      <c r="H178" s="24" t="s">
        <v>1121</v>
      </c>
      <c r="I178" s="32">
        <v>1</v>
      </c>
      <c r="J178" s="32">
        <v>0</v>
      </c>
      <c r="K178" s="32">
        <v>0</v>
      </c>
      <c r="L178" s="32">
        <v>0</v>
      </c>
      <c r="M178" s="32">
        <v>0</v>
      </c>
      <c r="N178" s="32">
        <v>0</v>
      </c>
      <c r="O178" s="216" t="s">
        <v>1123</v>
      </c>
      <c r="P178" s="217"/>
      <c r="Q178" s="217"/>
      <c r="R178" s="218"/>
      <c r="S178" s="28" t="s">
        <v>377</v>
      </c>
      <c r="T178" s="117">
        <v>29</v>
      </c>
    </row>
    <row r="179" spans="1:20" ht="174.95" customHeight="1" x14ac:dyDescent="0.25">
      <c r="A179" s="30">
        <v>166</v>
      </c>
      <c r="B179" s="24" t="s">
        <v>1124</v>
      </c>
      <c r="C179" s="213" t="s">
        <v>1125</v>
      </c>
      <c r="D179" s="214"/>
      <c r="E179" s="214"/>
      <c r="F179" s="215"/>
      <c r="G179" s="31" t="s">
        <v>1127</v>
      </c>
      <c r="H179" s="24" t="s">
        <v>1126</v>
      </c>
      <c r="I179" s="32">
        <v>1</v>
      </c>
      <c r="J179" s="32">
        <v>0</v>
      </c>
      <c r="K179" s="32">
        <v>0</v>
      </c>
      <c r="L179" s="32">
        <v>0</v>
      </c>
      <c r="M179" s="32">
        <v>0</v>
      </c>
      <c r="N179" s="32">
        <v>0</v>
      </c>
      <c r="O179" s="216" t="s">
        <v>1128</v>
      </c>
      <c r="P179" s="217"/>
      <c r="Q179" s="217"/>
      <c r="R179" s="218"/>
      <c r="S179" s="28" t="s">
        <v>46</v>
      </c>
      <c r="T179" s="117">
        <v>30</v>
      </c>
    </row>
    <row r="180" spans="1:20" ht="174.95" customHeight="1" x14ac:dyDescent="0.25">
      <c r="A180" s="21">
        <v>167</v>
      </c>
      <c r="B180" s="24" t="s">
        <v>1124</v>
      </c>
      <c r="C180" s="213" t="s">
        <v>1129</v>
      </c>
      <c r="D180" s="214"/>
      <c r="E180" s="214"/>
      <c r="F180" s="215"/>
      <c r="G180" s="31" t="s">
        <v>1131</v>
      </c>
      <c r="H180" s="24" t="s">
        <v>1130</v>
      </c>
      <c r="I180" s="32">
        <v>1</v>
      </c>
      <c r="J180" s="32">
        <v>0</v>
      </c>
      <c r="K180" s="32">
        <v>0</v>
      </c>
      <c r="L180" s="32">
        <v>0</v>
      </c>
      <c r="M180" s="32">
        <v>0</v>
      </c>
      <c r="N180" s="32">
        <v>0</v>
      </c>
      <c r="O180" s="216" t="s">
        <v>689</v>
      </c>
      <c r="P180" s="217"/>
      <c r="Q180" s="217"/>
      <c r="R180" s="218"/>
      <c r="S180" s="28" t="s">
        <v>53</v>
      </c>
      <c r="T180" s="117">
        <v>31</v>
      </c>
    </row>
    <row r="181" spans="1:20" ht="174.95" customHeight="1" x14ac:dyDescent="0.25">
      <c r="A181" s="30">
        <v>168</v>
      </c>
      <c r="B181" s="24" t="s">
        <v>1132</v>
      </c>
      <c r="C181" s="213" t="s">
        <v>1133</v>
      </c>
      <c r="D181" s="214"/>
      <c r="E181" s="214"/>
      <c r="F181" s="215"/>
      <c r="G181" s="23" t="s">
        <v>1135</v>
      </c>
      <c r="H181" s="24" t="s">
        <v>1134</v>
      </c>
      <c r="I181" s="25">
        <v>1</v>
      </c>
      <c r="J181" s="25">
        <v>0</v>
      </c>
      <c r="K181" s="25">
        <v>0</v>
      </c>
      <c r="L181" s="26">
        <v>0</v>
      </c>
      <c r="M181" s="27">
        <v>0</v>
      </c>
      <c r="N181" s="27">
        <v>0</v>
      </c>
      <c r="O181" s="219" t="s">
        <v>1045</v>
      </c>
      <c r="P181" s="220"/>
      <c r="Q181" s="220"/>
      <c r="R181" s="221"/>
      <c r="S181" s="28" t="s">
        <v>46</v>
      </c>
      <c r="T181" s="117">
        <v>32</v>
      </c>
    </row>
    <row r="182" spans="1:20" ht="174.95" customHeight="1" x14ac:dyDescent="0.25">
      <c r="A182" s="21">
        <v>169</v>
      </c>
      <c r="B182" s="24" t="s">
        <v>1132</v>
      </c>
      <c r="C182" s="213" t="s">
        <v>1136</v>
      </c>
      <c r="D182" s="214"/>
      <c r="E182" s="214"/>
      <c r="F182" s="215"/>
      <c r="G182" s="31" t="s">
        <v>1138</v>
      </c>
      <c r="H182" s="24" t="s">
        <v>1137</v>
      </c>
      <c r="I182" s="32">
        <v>1</v>
      </c>
      <c r="J182" s="32">
        <v>0</v>
      </c>
      <c r="K182" s="32">
        <v>0</v>
      </c>
      <c r="L182" s="32">
        <v>0</v>
      </c>
      <c r="M182" s="32">
        <v>0</v>
      </c>
      <c r="N182" s="32">
        <v>0</v>
      </c>
      <c r="O182" s="219" t="s">
        <v>752</v>
      </c>
      <c r="P182" s="220"/>
      <c r="Q182" s="220"/>
      <c r="R182" s="221"/>
      <c r="S182" s="28" t="s">
        <v>46</v>
      </c>
      <c r="T182" s="117">
        <v>33</v>
      </c>
    </row>
    <row r="183" spans="1:20" ht="174.95" customHeight="1" x14ac:dyDescent="0.25">
      <c r="A183" s="30">
        <v>170</v>
      </c>
      <c r="B183" s="24" t="s">
        <v>1139</v>
      </c>
      <c r="C183" s="213" t="s">
        <v>1140</v>
      </c>
      <c r="D183" s="214"/>
      <c r="E183" s="214"/>
      <c r="F183" s="215"/>
      <c r="G183" s="34" t="s">
        <v>1142</v>
      </c>
      <c r="H183" s="24" t="s">
        <v>1141</v>
      </c>
      <c r="I183" s="32">
        <v>1</v>
      </c>
      <c r="J183" s="32">
        <v>0</v>
      </c>
      <c r="K183" s="32">
        <v>0</v>
      </c>
      <c r="L183" s="32">
        <v>0</v>
      </c>
      <c r="M183" s="32">
        <v>0</v>
      </c>
      <c r="N183" s="32">
        <v>0</v>
      </c>
      <c r="O183" s="219" t="s">
        <v>884</v>
      </c>
      <c r="P183" s="220"/>
      <c r="Q183" s="220"/>
      <c r="R183" s="221"/>
      <c r="S183" s="28" t="s">
        <v>46</v>
      </c>
      <c r="T183" s="117">
        <v>34</v>
      </c>
    </row>
    <row r="184" spans="1:20" ht="182.25" customHeight="1" x14ac:dyDescent="0.25">
      <c r="A184" s="21">
        <v>171</v>
      </c>
      <c r="B184" s="24" t="s">
        <v>1139</v>
      </c>
      <c r="C184" s="213" t="s">
        <v>1143</v>
      </c>
      <c r="D184" s="214"/>
      <c r="E184" s="214"/>
      <c r="F184" s="215"/>
      <c r="G184" s="31" t="s">
        <v>1145</v>
      </c>
      <c r="H184" s="24" t="s">
        <v>1144</v>
      </c>
      <c r="I184" s="32">
        <v>1</v>
      </c>
      <c r="J184" s="32">
        <v>0</v>
      </c>
      <c r="K184" s="32">
        <v>0</v>
      </c>
      <c r="L184" s="32">
        <v>0</v>
      </c>
      <c r="M184" s="32">
        <v>0</v>
      </c>
      <c r="N184" s="32">
        <v>0</v>
      </c>
      <c r="O184" s="216" t="s">
        <v>1147</v>
      </c>
      <c r="P184" s="217"/>
      <c r="Q184" s="217"/>
      <c r="R184" s="218"/>
      <c r="S184" s="28" t="s">
        <v>1146</v>
      </c>
      <c r="T184" s="117">
        <v>35</v>
      </c>
    </row>
    <row r="185" spans="1:20" ht="174.95" customHeight="1" x14ac:dyDescent="0.25">
      <c r="A185" s="30">
        <v>172</v>
      </c>
      <c r="B185" s="24" t="s">
        <v>1148</v>
      </c>
      <c r="C185" s="213" t="s">
        <v>1149</v>
      </c>
      <c r="D185" s="214"/>
      <c r="E185" s="214"/>
      <c r="F185" s="215"/>
      <c r="G185" s="31" t="s">
        <v>1151</v>
      </c>
      <c r="H185" s="24" t="s">
        <v>1150</v>
      </c>
      <c r="I185" s="32">
        <v>0</v>
      </c>
      <c r="J185" s="32">
        <v>1</v>
      </c>
      <c r="K185" s="32">
        <v>0</v>
      </c>
      <c r="L185" s="32">
        <v>0</v>
      </c>
      <c r="M185" s="32">
        <v>0</v>
      </c>
      <c r="N185" s="32">
        <v>0</v>
      </c>
      <c r="O185" s="216" t="s">
        <v>1153</v>
      </c>
      <c r="P185" s="217"/>
      <c r="Q185" s="217"/>
      <c r="R185" s="218"/>
      <c r="S185" s="28" t="s">
        <v>1152</v>
      </c>
      <c r="T185" s="117">
        <v>36</v>
      </c>
    </row>
    <row r="186" spans="1:20" ht="182.25" customHeight="1" x14ac:dyDescent="0.25">
      <c r="A186" s="21">
        <v>173</v>
      </c>
      <c r="B186" s="24" t="s">
        <v>1154</v>
      </c>
      <c r="C186" s="213" t="s">
        <v>1155</v>
      </c>
      <c r="D186" s="214"/>
      <c r="E186" s="214"/>
      <c r="F186" s="215"/>
      <c r="G186" s="31" t="s">
        <v>1157</v>
      </c>
      <c r="H186" s="24" t="s">
        <v>1156</v>
      </c>
      <c r="I186" s="32">
        <v>1</v>
      </c>
      <c r="J186" s="32">
        <v>0</v>
      </c>
      <c r="K186" s="32">
        <v>0</v>
      </c>
      <c r="L186" s="32">
        <v>0</v>
      </c>
      <c r="M186" s="32">
        <v>0</v>
      </c>
      <c r="N186" s="32">
        <v>0</v>
      </c>
      <c r="O186" s="216" t="s">
        <v>627</v>
      </c>
      <c r="P186" s="217"/>
      <c r="Q186" s="217"/>
      <c r="R186" s="218"/>
      <c r="S186" s="28" t="s">
        <v>52</v>
      </c>
      <c r="T186" s="117">
        <v>37</v>
      </c>
    </row>
    <row r="187" spans="1:20" ht="174.95" customHeight="1" x14ac:dyDescent="0.25">
      <c r="A187" s="30">
        <v>174</v>
      </c>
      <c r="B187" s="24" t="s">
        <v>1158</v>
      </c>
      <c r="C187" s="213" t="s">
        <v>1159</v>
      </c>
      <c r="D187" s="214"/>
      <c r="E187" s="214"/>
      <c r="F187" s="215"/>
      <c r="G187" s="31" t="s">
        <v>1161</v>
      </c>
      <c r="H187" s="24" t="s">
        <v>1160</v>
      </c>
      <c r="I187" s="32">
        <v>1</v>
      </c>
      <c r="J187" s="32">
        <v>0</v>
      </c>
      <c r="K187" s="32">
        <v>0</v>
      </c>
      <c r="L187" s="32">
        <v>0</v>
      </c>
      <c r="M187" s="32">
        <v>0</v>
      </c>
      <c r="N187" s="32">
        <v>0</v>
      </c>
      <c r="O187" s="216" t="s">
        <v>1162</v>
      </c>
      <c r="P187" s="217"/>
      <c r="Q187" s="217"/>
      <c r="R187" s="218"/>
      <c r="S187" s="28" t="s">
        <v>46</v>
      </c>
      <c r="T187" s="117">
        <v>38</v>
      </c>
    </row>
    <row r="188" spans="1:20" ht="174.95" customHeight="1" x14ac:dyDescent="0.25">
      <c r="A188" s="21">
        <v>175</v>
      </c>
      <c r="B188" s="24" t="s">
        <v>1163</v>
      </c>
      <c r="C188" s="213" t="s">
        <v>1076</v>
      </c>
      <c r="D188" s="214"/>
      <c r="E188" s="214"/>
      <c r="F188" s="215"/>
      <c r="G188" s="31" t="s">
        <v>1165</v>
      </c>
      <c r="H188" s="24" t="s">
        <v>1164</v>
      </c>
      <c r="I188" s="32">
        <v>1</v>
      </c>
      <c r="J188" s="32">
        <v>0</v>
      </c>
      <c r="K188" s="32">
        <v>0</v>
      </c>
      <c r="L188" s="32">
        <v>0</v>
      </c>
      <c r="M188" s="32">
        <v>0</v>
      </c>
      <c r="N188" s="32">
        <v>0</v>
      </c>
      <c r="O188" s="216" t="s">
        <v>733</v>
      </c>
      <c r="P188" s="217"/>
      <c r="Q188" s="217"/>
      <c r="R188" s="218"/>
      <c r="S188" s="28" t="s">
        <v>46</v>
      </c>
      <c r="T188" s="117">
        <v>39</v>
      </c>
    </row>
    <row r="189" spans="1:20" ht="174.95" customHeight="1" x14ac:dyDescent="0.25">
      <c r="A189" s="30">
        <v>176</v>
      </c>
      <c r="B189" s="24" t="s">
        <v>1163</v>
      </c>
      <c r="C189" s="213" t="s">
        <v>1166</v>
      </c>
      <c r="D189" s="214"/>
      <c r="E189" s="214"/>
      <c r="F189" s="215"/>
      <c r="G189" s="31" t="s">
        <v>1168</v>
      </c>
      <c r="H189" s="24" t="s">
        <v>1167</v>
      </c>
      <c r="I189" s="32">
        <v>1</v>
      </c>
      <c r="J189" s="32">
        <v>0</v>
      </c>
      <c r="K189" s="32">
        <v>0</v>
      </c>
      <c r="L189" s="32">
        <v>0</v>
      </c>
      <c r="M189" s="32">
        <v>0</v>
      </c>
      <c r="N189" s="32">
        <v>0</v>
      </c>
      <c r="O189" s="216" t="s">
        <v>689</v>
      </c>
      <c r="P189" s="217"/>
      <c r="Q189" s="217"/>
      <c r="R189" s="218"/>
      <c r="S189" s="28" t="s">
        <v>46</v>
      </c>
      <c r="T189" s="117">
        <v>40</v>
      </c>
    </row>
    <row r="190" spans="1:20" ht="174.95" customHeight="1" x14ac:dyDescent="0.25">
      <c r="A190" s="21">
        <v>177</v>
      </c>
      <c r="B190" s="24" t="s">
        <v>1169</v>
      </c>
      <c r="C190" s="213" t="s">
        <v>1170</v>
      </c>
      <c r="D190" s="214"/>
      <c r="E190" s="214"/>
      <c r="F190" s="215"/>
      <c r="G190" s="31" t="s">
        <v>1172</v>
      </c>
      <c r="H190" s="24" t="s">
        <v>1171</v>
      </c>
      <c r="I190" s="32">
        <v>1</v>
      </c>
      <c r="J190" s="32">
        <v>0</v>
      </c>
      <c r="K190" s="32">
        <v>0</v>
      </c>
      <c r="L190" s="32">
        <v>0</v>
      </c>
      <c r="M190" s="32">
        <v>0</v>
      </c>
      <c r="N190" s="32">
        <v>0</v>
      </c>
      <c r="O190" s="216" t="s">
        <v>1173</v>
      </c>
      <c r="P190" s="217"/>
      <c r="Q190" s="217"/>
      <c r="R190" s="218"/>
      <c r="S190" s="28" t="s">
        <v>46</v>
      </c>
      <c r="T190" s="20">
        <v>41</v>
      </c>
    </row>
    <row r="191" spans="1:20" ht="174.95" customHeight="1" x14ac:dyDescent="0.25">
      <c r="A191" s="30">
        <v>178</v>
      </c>
      <c r="B191" s="24" t="s">
        <v>1175</v>
      </c>
      <c r="C191" s="213" t="s">
        <v>1176</v>
      </c>
      <c r="D191" s="214"/>
      <c r="E191" s="214"/>
      <c r="F191" s="215"/>
      <c r="G191" s="31" t="s">
        <v>1178</v>
      </c>
      <c r="H191" s="24" t="s">
        <v>1177</v>
      </c>
      <c r="I191" s="32">
        <v>1</v>
      </c>
      <c r="J191" s="32">
        <v>0</v>
      </c>
      <c r="K191" s="32">
        <v>0</v>
      </c>
      <c r="L191" s="32">
        <v>0</v>
      </c>
      <c r="M191" s="32">
        <v>0</v>
      </c>
      <c r="N191" s="32">
        <v>0</v>
      </c>
      <c r="O191" s="216" t="s">
        <v>1179</v>
      </c>
      <c r="P191" s="217"/>
      <c r="Q191" s="217"/>
      <c r="R191" s="218"/>
      <c r="S191" s="28" t="s">
        <v>46</v>
      </c>
      <c r="T191" s="20">
        <v>1</v>
      </c>
    </row>
    <row r="192" spans="1:20" ht="174.95" customHeight="1" x14ac:dyDescent="0.25">
      <c r="A192" s="21">
        <v>179</v>
      </c>
      <c r="B192" s="24" t="s">
        <v>1180</v>
      </c>
      <c r="C192" s="213" t="s">
        <v>1181</v>
      </c>
      <c r="D192" s="214"/>
      <c r="E192" s="214"/>
      <c r="F192" s="215"/>
      <c r="G192" s="31" t="s">
        <v>1183</v>
      </c>
      <c r="H192" s="24" t="s">
        <v>1182</v>
      </c>
      <c r="I192" s="32">
        <v>1</v>
      </c>
      <c r="J192" s="32">
        <v>0</v>
      </c>
      <c r="K192" s="32">
        <v>0</v>
      </c>
      <c r="L192" s="32">
        <v>0</v>
      </c>
      <c r="M192" s="32">
        <v>0</v>
      </c>
      <c r="N192" s="32">
        <v>0</v>
      </c>
      <c r="O192" s="216" t="s">
        <v>1184</v>
      </c>
      <c r="P192" s="217"/>
      <c r="Q192" s="217"/>
      <c r="R192" s="218"/>
      <c r="S192" s="28" t="s">
        <v>46</v>
      </c>
      <c r="T192" s="20">
        <v>2</v>
      </c>
    </row>
    <row r="193" spans="1:20" ht="174.95" customHeight="1" x14ac:dyDescent="0.25">
      <c r="A193" s="30">
        <v>180</v>
      </c>
      <c r="B193" s="24" t="s">
        <v>1180</v>
      </c>
      <c r="C193" s="213" t="s">
        <v>1185</v>
      </c>
      <c r="D193" s="214"/>
      <c r="E193" s="214"/>
      <c r="F193" s="215"/>
      <c r="G193" s="31" t="s">
        <v>1187</v>
      </c>
      <c r="H193" s="24" t="s">
        <v>1186</v>
      </c>
      <c r="I193" s="32">
        <v>1</v>
      </c>
      <c r="J193" s="32">
        <v>0</v>
      </c>
      <c r="K193" s="32">
        <v>0</v>
      </c>
      <c r="L193" s="32">
        <v>0</v>
      </c>
      <c r="M193" s="32">
        <v>0</v>
      </c>
      <c r="N193" s="32">
        <v>0</v>
      </c>
      <c r="O193" s="216" t="s">
        <v>1188</v>
      </c>
      <c r="P193" s="217"/>
      <c r="Q193" s="217"/>
      <c r="R193" s="218"/>
      <c r="S193" s="28" t="s">
        <v>46</v>
      </c>
      <c r="T193" s="20">
        <v>3</v>
      </c>
    </row>
    <row r="194" spans="1:20" ht="174.95" customHeight="1" x14ac:dyDescent="0.25">
      <c r="A194" s="21">
        <v>181</v>
      </c>
      <c r="B194" s="24" t="s">
        <v>1189</v>
      </c>
      <c r="C194" s="213" t="s">
        <v>1190</v>
      </c>
      <c r="D194" s="214"/>
      <c r="E194" s="214"/>
      <c r="F194" s="215"/>
      <c r="G194" s="31" t="s">
        <v>1192</v>
      </c>
      <c r="H194" s="24" t="s">
        <v>1191</v>
      </c>
      <c r="I194" s="32">
        <v>1</v>
      </c>
      <c r="J194" s="32">
        <v>0</v>
      </c>
      <c r="K194" s="32">
        <v>0</v>
      </c>
      <c r="L194" s="32">
        <v>0</v>
      </c>
      <c r="M194" s="32">
        <v>0</v>
      </c>
      <c r="N194" s="32">
        <v>0</v>
      </c>
      <c r="O194" s="216" t="s">
        <v>1193</v>
      </c>
      <c r="P194" s="217"/>
      <c r="Q194" s="217"/>
      <c r="R194" s="218"/>
      <c r="S194" s="28" t="s">
        <v>46</v>
      </c>
      <c r="T194" s="20">
        <v>4</v>
      </c>
    </row>
    <row r="195" spans="1:20" ht="174.95" customHeight="1" x14ac:dyDescent="0.25">
      <c r="A195" s="30">
        <v>182</v>
      </c>
      <c r="B195" s="24" t="s">
        <v>1194</v>
      </c>
      <c r="C195" s="213" t="s">
        <v>1195</v>
      </c>
      <c r="D195" s="214"/>
      <c r="E195" s="214"/>
      <c r="F195" s="215"/>
      <c r="G195" s="31" t="s">
        <v>1197</v>
      </c>
      <c r="H195" s="24" t="s">
        <v>1196</v>
      </c>
      <c r="I195" s="32">
        <v>0</v>
      </c>
      <c r="J195" s="32">
        <v>1</v>
      </c>
      <c r="K195" s="32">
        <v>0</v>
      </c>
      <c r="L195" s="32">
        <v>0</v>
      </c>
      <c r="M195" s="32">
        <v>0</v>
      </c>
      <c r="N195" s="32">
        <v>0</v>
      </c>
      <c r="O195" s="216" t="s">
        <v>1199</v>
      </c>
      <c r="P195" s="217"/>
      <c r="Q195" s="217"/>
      <c r="R195" s="218"/>
      <c r="S195" s="28" t="s">
        <v>1198</v>
      </c>
      <c r="T195" s="20">
        <v>5</v>
      </c>
    </row>
    <row r="196" spans="1:20" ht="174.95" customHeight="1" x14ac:dyDescent="0.25">
      <c r="A196" s="21">
        <v>183</v>
      </c>
      <c r="B196" s="24" t="s">
        <v>1200</v>
      </c>
      <c r="C196" s="213" t="s">
        <v>364</v>
      </c>
      <c r="D196" s="214"/>
      <c r="E196" s="214"/>
      <c r="F196" s="215"/>
      <c r="G196" s="31" t="s">
        <v>1202</v>
      </c>
      <c r="H196" s="24" t="s">
        <v>1201</v>
      </c>
      <c r="I196" s="32">
        <v>1</v>
      </c>
      <c r="J196" s="32">
        <v>0</v>
      </c>
      <c r="K196" s="32">
        <v>0</v>
      </c>
      <c r="L196" s="32">
        <v>0</v>
      </c>
      <c r="M196" s="32">
        <v>0</v>
      </c>
      <c r="N196" s="32">
        <v>0</v>
      </c>
      <c r="O196" s="216" t="s">
        <v>627</v>
      </c>
      <c r="P196" s="217"/>
      <c r="Q196" s="217"/>
      <c r="R196" s="218"/>
      <c r="S196" s="28" t="s">
        <v>46</v>
      </c>
      <c r="T196" s="20">
        <v>6</v>
      </c>
    </row>
    <row r="197" spans="1:20" ht="207.75" customHeight="1" x14ac:dyDescent="0.25">
      <c r="A197" s="30">
        <v>184</v>
      </c>
      <c r="B197" s="24" t="s">
        <v>1203</v>
      </c>
      <c r="C197" s="213" t="s">
        <v>1204</v>
      </c>
      <c r="D197" s="214"/>
      <c r="E197" s="214"/>
      <c r="F197" s="215"/>
      <c r="G197" s="31" t="s">
        <v>1206</v>
      </c>
      <c r="H197" s="24" t="s">
        <v>1205</v>
      </c>
      <c r="I197" s="32">
        <v>1</v>
      </c>
      <c r="J197" s="32">
        <v>0</v>
      </c>
      <c r="K197" s="32">
        <v>0</v>
      </c>
      <c r="L197" s="32">
        <v>0</v>
      </c>
      <c r="M197" s="32">
        <v>0</v>
      </c>
      <c r="N197" s="32">
        <v>0</v>
      </c>
      <c r="O197" s="216" t="s">
        <v>632</v>
      </c>
      <c r="P197" s="217"/>
      <c r="Q197" s="217"/>
      <c r="R197" s="218"/>
      <c r="S197" s="28" t="s">
        <v>46</v>
      </c>
      <c r="T197" s="20">
        <v>7</v>
      </c>
    </row>
    <row r="198" spans="1:20" ht="174.95" customHeight="1" x14ac:dyDescent="0.25">
      <c r="A198" s="21">
        <v>185</v>
      </c>
      <c r="B198" s="24" t="s">
        <v>1203</v>
      </c>
      <c r="C198" s="213" t="s">
        <v>1207</v>
      </c>
      <c r="D198" s="214"/>
      <c r="E198" s="214"/>
      <c r="F198" s="215"/>
      <c r="G198" s="31" t="s">
        <v>1209</v>
      </c>
      <c r="H198" s="24" t="s">
        <v>1208</v>
      </c>
      <c r="I198" s="32">
        <v>0</v>
      </c>
      <c r="J198" s="32">
        <v>1</v>
      </c>
      <c r="K198" s="32">
        <v>0</v>
      </c>
      <c r="L198" s="32">
        <v>0</v>
      </c>
      <c r="M198" s="32">
        <v>0</v>
      </c>
      <c r="N198" s="32">
        <v>0</v>
      </c>
      <c r="O198" s="216" t="s">
        <v>1210</v>
      </c>
      <c r="P198" s="217"/>
      <c r="Q198" s="217"/>
      <c r="R198" s="218"/>
      <c r="S198" s="28" t="s">
        <v>54</v>
      </c>
      <c r="T198" s="20">
        <v>8</v>
      </c>
    </row>
    <row r="199" spans="1:20" ht="174.95" customHeight="1" x14ac:dyDescent="0.25">
      <c r="A199" s="30">
        <v>186</v>
      </c>
      <c r="B199" s="24" t="s">
        <v>1211</v>
      </c>
      <c r="C199" s="213" t="s">
        <v>1212</v>
      </c>
      <c r="D199" s="214"/>
      <c r="E199" s="214"/>
      <c r="F199" s="215"/>
      <c r="G199" s="31" t="s">
        <v>1214</v>
      </c>
      <c r="H199" s="24" t="s">
        <v>1213</v>
      </c>
      <c r="I199" s="32">
        <v>1</v>
      </c>
      <c r="J199" s="32">
        <v>0</v>
      </c>
      <c r="K199" s="32">
        <v>0</v>
      </c>
      <c r="L199" s="32">
        <v>0</v>
      </c>
      <c r="M199" s="32">
        <v>0</v>
      </c>
      <c r="N199" s="32">
        <v>0</v>
      </c>
      <c r="O199" s="216" t="s">
        <v>1215</v>
      </c>
      <c r="P199" s="217"/>
      <c r="Q199" s="217"/>
      <c r="R199" s="218"/>
      <c r="S199" s="28" t="s">
        <v>45</v>
      </c>
      <c r="T199" s="20">
        <v>9</v>
      </c>
    </row>
    <row r="200" spans="1:20" ht="150" customHeight="1" x14ac:dyDescent="0.25">
      <c r="A200" s="21">
        <v>187</v>
      </c>
      <c r="B200" s="24" t="s">
        <v>1216</v>
      </c>
      <c r="C200" s="213" t="s">
        <v>360</v>
      </c>
      <c r="D200" s="214"/>
      <c r="E200" s="214"/>
      <c r="F200" s="215"/>
      <c r="G200" s="31" t="s">
        <v>1218</v>
      </c>
      <c r="H200" s="24" t="s">
        <v>1217</v>
      </c>
      <c r="I200" s="32">
        <v>1</v>
      </c>
      <c r="J200" s="32">
        <v>0</v>
      </c>
      <c r="K200" s="32">
        <v>0</v>
      </c>
      <c r="L200" s="32">
        <v>0</v>
      </c>
      <c r="M200" s="32">
        <v>0</v>
      </c>
      <c r="N200" s="32">
        <v>0</v>
      </c>
      <c r="O200" s="216" t="s">
        <v>719</v>
      </c>
      <c r="P200" s="217"/>
      <c r="Q200" s="217"/>
      <c r="R200" s="218"/>
      <c r="S200" s="28" t="s">
        <v>46</v>
      </c>
      <c r="T200" s="20">
        <v>10</v>
      </c>
    </row>
    <row r="201" spans="1:20" ht="150" customHeight="1" x14ac:dyDescent="0.25">
      <c r="A201" s="30">
        <v>188</v>
      </c>
      <c r="B201" s="24" t="s">
        <v>1216</v>
      </c>
      <c r="C201" s="213" t="s">
        <v>1219</v>
      </c>
      <c r="D201" s="214"/>
      <c r="E201" s="214"/>
      <c r="F201" s="215"/>
      <c r="G201" s="31" t="s">
        <v>1221</v>
      </c>
      <c r="H201" s="24" t="s">
        <v>1220</v>
      </c>
      <c r="I201" s="32">
        <v>1</v>
      </c>
      <c r="J201" s="32">
        <v>0</v>
      </c>
      <c r="K201" s="32">
        <v>0</v>
      </c>
      <c r="L201" s="32">
        <v>0</v>
      </c>
      <c r="M201" s="32">
        <v>0</v>
      </c>
      <c r="N201" s="32">
        <v>0</v>
      </c>
      <c r="O201" s="216" t="s">
        <v>1222</v>
      </c>
      <c r="P201" s="217"/>
      <c r="Q201" s="217"/>
      <c r="R201" s="218"/>
      <c r="S201" s="28" t="s">
        <v>47</v>
      </c>
      <c r="T201" s="20">
        <v>11</v>
      </c>
    </row>
    <row r="202" spans="1:20" ht="150" customHeight="1" x14ac:dyDescent="0.25">
      <c r="A202" s="21">
        <v>189</v>
      </c>
      <c r="B202" s="24" t="s">
        <v>1223</v>
      </c>
      <c r="C202" s="213" t="s">
        <v>1224</v>
      </c>
      <c r="D202" s="214"/>
      <c r="E202" s="214"/>
      <c r="F202" s="215"/>
      <c r="G202" s="31" t="s">
        <v>1226</v>
      </c>
      <c r="H202" s="24" t="s">
        <v>1225</v>
      </c>
      <c r="I202" s="32">
        <v>1</v>
      </c>
      <c r="J202" s="32">
        <v>0</v>
      </c>
      <c r="K202" s="32">
        <v>0</v>
      </c>
      <c r="L202" s="32">
        <v>0</v>
      </c>
      <c r="M202" s="32">
        <v>0</v>
      </c>
      <c r="N202" s="32">
        <v>0</v>
      </c>
      <c r="O202" s="216" t="s">
        <v>884</v>
      </c>
      <c r="P202" s="217"/>
      <c r="Q202" s="217"/>
      <c r="R202" s="218"/>
      <c r="S202" s="28" t="s">
        <v>46</v>
      </c>
      <c r="T202" s="20">
        <v>12</v>
      </c>
    </row>
    <row r="203" spans="1:20" ht="150" customHeight="1" x14ac:dyDescent="0.25">
      <c r="A203" s="30">
        <v>190</v>
      </c>
      <c r="B203" s="24" t="s">
        <v>1223</v>
      </c>
      <c r="C203" s="213" t="s">
        <v>1227</v>
      </c>
      <c r="D203" s="214"/>
      <c r="E203" s="214"/>
      <c r="F203" s="215"/>
      <c r="G203" s="31" t="s">
        <v>1229</v>
      </c>
      <c r="H203" s="24" t="s">
        <v>1228</v>
      </c>
      <c r="I203" s="32">
        <v>1</v>
      </c>
      <c r="J203" s="32">
        <v>0</v>
      </c>
      <c r="K203" s="32">
        <v>0</v>
      </c>
      <c r="L203" s="32">
        <v>0</v>
      </c>
      <c r="M203" s="32">
        <v>0</v>
      </c>
      <c r="N203" s="32">
        <v>0</v>
      </c>
      <c r="O203" s="216" t="s">
        <v>1230</v>
      </c>
      <c r="P203" s="217"/>
      <c r="Q203" s="217"/>
      <c r="R203" s="218"/>
      <c r="S203" s="28" t="s">
        <v>378</v>
      </c>
      <c r="T203" s="20">
        <v>13</v>
      </c>
    </row>
    <row r="204" spans="1:20" ht="150" customHeight="1" x14ac:dyDescent="0.25">
      <c r="A204" s="21">
        <v>191</v>
      </c>
      <c r="B204" s="24" t="s">
        <v>1236</v>
      </c>
      <c r="C204" s="213" t="s">
        <v>359</v>
      </c>
      <c r="D204" s="214"/>
      <c r="E204" s="214"/>
      <c r="F204" s="215"/>
      <c r="G204" s="31" t="s">
        <v>552</v>
      </c>
      <c r="H204" s="24" t="s">
        <v>1237</v>
      </c>
      <c r="I204" s="32">
        <v>1</v>
      </c>
      <c r="J204" s="32">
        <v>0</v>
      </c>
      <c r="K204" s="32">
        <v>0</v>
      </c>
      <c r="L204" s="32">
        <v>0</v>
      </c>
      <c r="M204" s="32">
        <v>0</v>
      </c>
      <c r="N204" s="32">
        <v>0</v>
      </c>
      <c r="O204" s="216" t="s">
        <v>733</v>
      </c>
      <c r="P204" s="217"/>
      <c r="Q204" s="217"/>
      <c r="R204" s="218"/>
      <c r="S204" s="28" t="s">
        <v>374</v>
      </c>
      <c r="T204" s="20">
        <v>14</v>
      </c>
    </row>
    <row r="205" spans="1:20" ht="150" customHeight="1" x14ac:dyDescent="0.25">
      <c r="A205" s="30">
        <v>192</v>
      </c>
      <c r="B205" s="24" t="s">
        <v>1236</v>
      </c>
      <c r="C205" s="213" t="s">
        <v>1238</v>
      </c>
      <c r="D205" s="214"/>
      <c r="E205" s="214"/>
      <c r="F205" s="215"/>
      <c r="G205" s="31" t="s">
        <v>1239</v>
      </c>
      <c r="H205" s="24" t="s">
        <v>1240</v>
      </c>
      <c r="I205" s="32">
        <v>1</v>
      </c>
      <c r="J205" s="32">
        <v>0</v>
      </c>
      <c r="K205" s="32">
        <v>0</v>
      </c>
      <c r="L205" s="32">
        <v>0</v>
      </c>
      <c r="M205" s="32">
        <v>0</v>
      </c>
      <c r="N205" s="32">
        <v>0</v>
      </c>
      <c r="O205" s="216" t="s">
        <v>1241</v>
      </c>
      <c r="P205" s="217"/>
      <c r="Q205" s="217"/>
      <c r="R205" s="218"/>
      <c r="S205" s="28" t="s">
        <v>374</v>
      </c>
      <c r="T205" s="20">
        <v>15</v>
      </c>
    </row>
    <row r="206" spans="1:20" ht="150" customHeight="1" x14ac:dyDescent="0.25">
      <c r="A206" s="21">
        <v>193</v>
      </c>
      <c r="B206" s="24" t="s">
        <v>1242</v>
      </c>
      <c r="C206" s="213" t="s">
        <v>1243</v>
      </c>
      <c r="D206" s="214"/>
      <c r="E206" s="214"/>
      <c r="F206" s="215"/>
      <c r="G206" s="31" t="s">
        <v>1245</v>
      </c>
      <c r="H206" s="24" t="s">
        <v>1244</v>
      </c>
      <c r="I206" s="32">
        <v>1</v>
      </c>
      <c r="J206" s="32">
        <v>0</v>
      </c>
      <c r="K206" s="32">
        <v>0</v>
      </c>
      <c r="L206" s="32">
        <v>0</v>
      </c>
      <c r="M206" s="32">
        <v>0</v>
      </c>
      <c r="N206" s="32">
        <v>0</v>
      </c>
      <c r="O206" s="216" t="s">
        <v>709</v>
      </c>
      <c r="P206" s="217"/>
      <c r="Q206" s="217"/>
      <c r="R206" s="218"/>
      <c r="S206" s="28" t="s">
        <v>46</v>
      </c>
      <c r="T206" s="20">
        <v>16</v>
      </c>
    </row>
    <row r="207" spans="1:20" ht="150" customHeight="1" x14ac:dyDescent="0.25">
      <c r="A207" s="30">
        <v>194</v>
      </c>
      <c r="B207" s="24" t="s">
        <v>1242</v>
      </c>
      <c r="C207" s="213" t="s">
        <v>1246</v>
      </c>
      <c r="D207" s="214"/>
      <c r="E207" s="214"/>
      <c r="F207" s="215"/>
      <c r="G207" s="31" t="s">
        <v>1248</v>
      </c>
      <c r="H207" s="24" t="s">
        <v>1247</v>
      </c>
      <c r="I207" s="32">
        <v>1</v>
      </c>
      <c r="J207" s="32">
        <v>0</v>
      </c>
      <c r="K207" s="32">
        <v>0</v>
      </c>
      <c r="L207" s="32">
        <v>0</v>
      </c>
      <c r="M207" s="32">
        <v>0</v>
      </c>
      <c r="N207" s="32">
        <v>0</v>
      </c>
      <c r="O207" s="216" t="s">
        <v>1249</v>
      </c>
      <c r="P207" s="217"/>
      <c r="Q207" s="217"/>
      <c r="R207" s="218"/>
      <c r="S207" s="28" t="s">
        <v>377</v>
      </c>
      <c r="T207" s="20">
        <v>17</v>
      </c>
    </row>
    <row r="208" spans="1:20" ht="150" customHeight="1" x14ac:dyDescent="0.25">
      <c r="A208" s="21">
        <v>195</v>
      </c>
      <c r="B208" s="24" t="s">
        <v>1250</v>
      </c>
      <c r="C208" s="213" t="s">
        <v>363</v>
      </c>
      <c r="D208" s="214"/>
      <c r="E208" s="214"/>
      <c r="F208" s="215"/>
      <c r="G208" s="31" t="s">
        <v>1252</v>
      </c>
      <c r="H208" s="24" t="s">
        <v>1251</v>
      </c>
      <c r="I208" s="32">
        <v>1</v>
      </c>
      <c r="J208" s="32">
        <v>0</v>
      </c>
      <c r="K208" s="32">
        <v>0</v>
      </c>
      <c r="L208" s="32">
        <v>0</v>
      </c>
      <c r="M208" s="32">
        <v>0</v>
      </c>
      <c r="N208" s="32">
        <v>0</v>
      </c>
      <c r="O208" s="216" t="s">
        <v>1253</v>
      </c>
      <c r="P208" s="217"/>
      <c r="Q208" s="217"/>
      <c r="R208" s="218"/>
      <c r="S208" s="28" t="s">
        <v>374</v>
      </c>
      <c r="T208" s="20">
        <v>18</v>
      </c>
    </row>
    <row r="209" spans="1:20" ht="150" customHeight="1" x14ac:dyDescent="0.25">
      <c r="A209" s="30">
        <v>196</v>
      </c>
      <c r="B209" s="24" t="s">
        <v>1250</v>
      </c>
      <c r="C209" s="213" t="s">
        <v>1254</v>
      </c>
      <c r="D209" s="214"/>
      <c r="E209" s="214"/>
      <c r="F209" s="215"/>
      <c r="G209" s="31" t="s">
        <v>1256</v>
      </c>
      <c r="H209" s="24" t="s">
        <v>1255</v>
      </c>
      <c r="I209" s="32">
        <v>1</v>
      </c>
      <c r="J209" s="32">
        <v>0</v>
      </c>
      <c r="K209" s="32">
        <v>0</v>
      </c>
      <c r="L209" s="32">
        <v>0</v>
      </c>
      <c r="M209" s="32">
        <v>0</v>
      </c>
      <c r="N209" s="32">
        <v>0</v>
      </c>
      <c r="O209" s="216" t="s">
        <v>1257</v>
      </c>
      <c r="P209" s="217"/>
      <c r="Q209" s="217"/>
      <c r="R209" s="218"/>
      <c r="S209" s="28" t="s">
        <v>46</v>
      </c>
      <c r="T209" s="20">
        <v>19</v>
      </c>
    </row>
    <row r="210" spans="1:20" ht="150" customHeight="1" x14ac:dyDescent="0.25">
      <c r="A210" s="21">
        <v>197</v>
      </c>
      <c r="B210" s="24" t="s">
        <v>1258</v>
      </c>
      <c r="C210" s="213" t="s">
        <v>1259</v>
      </c>
      <c r="D210" s="214"/>
      <c r="E210" s="214"/>
      <c r="F210" s="215"/>
      <c r="G210" s="31" t="s">
        <v>1261</v>
      </c>
      <c r="H210" s="24" t="s">
        <v>1260</v>
      </c>
      <c r="I210" s="32">
        <v>1</v>
      </c>
      <c r="J210" s="32">
        <v>0</v>
      </c>
      <c r="K210" s="32">
        <v>0</v>
      </c>
      <c r="L210" s="32">
        <v>0</v>
      </c>
      <c r="M210" s="32">
        <v>0</v>
      </c>
      <c r="N210" s="32">
        <v>0</v>
      </c>
      <c r="O210" s="216" t="s">
        <v>627</v>
      </c>
      <c r="P210" s="217"/>
      <c r="Q210" s="217"/>
      <c r="R210" s="218"/>
      <c r="S210" s="28" t="s">
        <v>46</v>
      </c>
      <c r="T210" s="20">
        <v>20</v>
      </c>
    </row>
    <row r="211" spans="1:20" ht="150" customHeight="1" x14ac:dyDescent="0.25">
      <c r="A211" s="30">
        <v>198</v>
      </c>
      <c r="B211" s="24" t="s">
        <v>1258</v>
      </c>
      <c r="C211" s="213" t="s">
        <v>1262</v>
      </c>
      <c r="D211" s="214"/>
      <c r="E211" s="214"/>
      <c r="F211" s="215"/>
      <c r="G211" s="31" t="s">
        <v>1264</v>
      </c>
      <c r="H211" s="24" t="s">
        <v>1263</v>
      </c>
      <c r="I211" s="32">
        <v>1</v>
      </c>
      <c r="J211" s="32">
        <v>0</v>
      </c>
      <c r="K211" s="32">
        <v>0</v>
      </c>
      <c r="L211" s="32">
        <v>0</v>
      </c>
      <c r="M211" s="32">
        <v>0</v>
      </c>
      <c r="N211" s="32">
        <v>0</v>
      </c>
      <c r="O211" s="216" t="s">
        <v>1265</v>
      </c>
      <c r="P211" s="217"/>
      <c r="Q211" s="217"/>
      <c r="R211" s="218"/>
      <c r="S211" s="28" t="s">
        <v>46</v>
      </c>
      <c r="T211" s="20">
        <v>21</v>
      </c>
    </row>
    <row r="212" spans="1:20" ht="150" customHeight="1" x14ac:dyDescent="0.25">
      <c r="A212" s="21">
        <v>199</v>
      </c>
      <c r="B212" s="24" t="s">
        <v>1266</v>
      </c>
      <c r="C212" s="213" t="s">
        <v>1267</v>
      </c>
      <c r="D212" s="214"/>
      <c r="E212" s="214"/>
      <c r="F212" s="215"/>
      <c r="G212" s="31" t="s">
        <v>1269</v>
      </c>
      <c r="H212" s="24" t="s">
        <v>1268</v>
      </c>
      <c r="I212" s="32">
        <v>1</v>
      </c>
      <c r="J212" s="32">
        <v>0</v>
      </c>
      <c r="K212" s="32">
        <v>0</v>
      </c>
      <c r="L212" s="32">
        <v>0</v>
      </c>
      <c r="M212" s="32">
        <v>0</v>
      </c>
      <c r="N212" s="32">
        <v>0</v>
      </c>
      <c r="O212" s="216" t="s">
        <v>1270</v>
      </c>
      <c r="P212" s="217"/>
      <c r="Q212" s="217"/>
      <c r="R212" s="218"/>
      <c r="S212" s="28" t="s">
        <v>374</v>
      </c>
      <c r="T212" s="20">
        <v>22</v>
      </c>
    </row>
    <row r="213" spans="1:20" ht="150" customHeight="1" x14ac:dyDescent="0.25">
      <c r="A213" s="30">
        <v>200</v>
      </c>
      <c r="B213" s="24" t="s">
        <v>1271</v>
      </c>
      <c r="C213" s="213" t="s">
        <v>1272</v>
      </c>
      <c r="D213" s="214"/>
      <c r="E213" s="214"/>
      <c r="F213" s="215"/>
      <c r="G213" s="31" t="s">
        <v>1274</v>
      </c>
      <c r="H213" s="24" t="s">
        <v>1273</v>
      </c>
      <c r="I213" s="32">
        <v>1</v>
      </c>
      <c r="J213" s="32">
        <v>0</v>
      </c>
      <c r="K213" s="32">
        <v>0</v>
      </c>
      <c r="L213" s="32">
        <v>0</v>
      </c>
      <c r="M213" s="32">
        <v>0</v>
      </c>
      <c r="N213" s="32">
        <v>0</v>
      </c>
      <c r="O213" s="216" t="s">
        <v>1275</v>
      </c>
      <c r="P213" s="217"/>
      <c r="Q213" s="217"/>
      <c r="R213" s="218"/>
      <c r="S213" s="28" t="s">
        <v>374</v>
      </c>
      <c r="T213" s="20">
        <v>23</v>
      </c>
    </row>
    <row r="214" spans="1:20" ht="174.95" customHeight="1" x14ac:dyDescent="0.25">
      <c r="A214" s="21">
        <v>201</v>
      </c>
      <c r="B214" s="24" t="s">
        <v>1271</v>
      </c>
      <c r="C214" s="213" t="s">
        <v>1276</v>
      </c>
      <c r="D214" s="214"/>
      <c r="E214" s="214"/>
      <c r="F214" s="215"/>
      <c r="G214" s="31" t="s">
        <v>1278</v>
      </c>
      <c r="H214" s="24" t="s">
        <v>1277</v>
      </c>
      <c r="I214" s="32">
        <v>1</v>
      </c>
      <c r="J214" s="32">
        <v>0</v>
      </c>
      <c r="K214" s="32">
        <v>0</v>
      </c>
      <c r="L214" s="32">
        <v>0</v>
      </c>
      <c r="M214" s="32">
        <v>0</v>
      </c>
      <c r="N214" s="32">
        <v>0</v>
      </c>
      <c r="O214" s="216" t="s">
        <v>1279</v>
      </c>
      <c r="P214" s="217"/>
      <c r="Q214" s="217"/>
      <c r="R214" s="218"/>
      <c r="S214" s="28" t="s">
        <v>377</v>
      </c>
      <c r="T214" s="20">
        <v>24</v>
      </c>
    </row>
    <row r="215" spans="1:20" ht="150" customHeight="1" x14ac:dyDescent="0.25">
      <c r="A215" s="30">
        <v>202</v>
      </c>
      <c r="B215" s="24" t="s">
        <v>1280</v>
      </c>
      <c r="C215" s="213" t="s">
        <v>1281</v>
      </c>
      <c r="D215" s="214"/>
      <c r="E215" s="214"/>
      <c r="F215" s="215"/>
      <c r="G215" s="31" t="s">
        <v>1283</v>
      </c>
      <c r="H215" s="24" t="s">
        <v>1282</v>
      </c>
      <c r="I215" s="32">
        <v>1</v>
      </c>
      <c r="J215" s="32">
        <v>0</v>
      </c>
      <c r="K215" s="32">
        <v>0</v>
      </c>
      <c r="L215" s="32">
        <v>0</v>
      </c>
      <c r="M215" s="32">
        <v>0</v>
      </c>
      <c r="N215" s="32">
        <v>0</v>
      </c>
      <c r="O215" s="216" t="s">
        <v>627</v>
      </c>
      <c r="P215" s="217"/>
      <c r="Q215" s="217"/>
      <c r="R215" s="218"/>
      <c r="S215" s="28" t="s">
        <v>46</v>
      </c>
      <c r="T215" s="20">
        <v>25</v>
      </c>
    </row>
    <row r="216" spans="1:20" ht="150" customHeight="1" x14ac:dyDescent="0.25">
      <c r="A216" s="21">
        <v>203</v>
      </c>
      <c r="B216" s="24" t="s">
        <v>1280</v>
      </c>
      <c r="C216" s="213" t="s">
        <v>1284</v>
      </c>
      <c r="D216" s="214"/>
      <c r="E216" s="214"/>
      <c r="F216" s="215"/>
      <c r="G216" s="31" t="s">
        <v>1286</v>
      </c>
      <c r="H216" s="24" t="s">
        <v>1285</v>
      </c>
      <c r="I216" s="32">
        <v>1</v>
      </c>
      <c r="J216" s="32">
        <v>0</v>
      </c>
      <c r="K216" s="32">
        <v>0</v>
      </c>
      <c r="L216" s="32">
        <v>0</v>
      </c>
      <c r="M216" s="32">
        <v>0</v>
      </c>
      <c r="N216" s="32">
        <v>0</v>
      </c>
      <c r="O216" s="216" t="s">
        <v>1287</v>
      </c>
      <c r="P216" s="217"/>
      <c r="Q216" s="217"/>
      <c r="R216" s="218"/>
      <c r="S216" s="28" t="s">
        <v>377</v>
      </c>
      <c r="T216" s="20">
        <v>26</v>
      </c>
    </row>
    <row r="217" spans="1:20" ht="150" customHeight="1" x14ac:dyDescent="0.25">
      <c r="A217" s="30">
        <v>204</v>
      </c>
      <c r="B217" s="24" t="s">
        <v>1288</v>
      </c>
      <c r="C217" s="213" t="s">
        <v>1289</v>
      </c>
      <c r="D217" s="214"/>
      <c r="E217" s="214"/>
      <c r="F217" s="215"/>
      <c r="G217" s="31" t="s">
        <v>1291</v>
      </c>
      <c r="H217" s="24" t="s">
        <v>1290</v>
      </c>
      <c r="I217" s="32">
        <v>1</v>
      </c>
      <c r="J217" s="32">
        <v>0</v>
      </c>
      <c r="K217" s="32">
        <v>0</v>
      </c>
      <c r="L217" s="32">
        <v>0</v>
      </c>
      <c r="M217" s="32">
        <v>0</v>
      </c>
      <c r="N217" s="32">
        <v>0</v>
      </c>
      <c r="O217" s="216" t="s">
        <v>1292</v>
      </c>
      <c r="P217" s="217"/>
      <c r="Q217" s="217"/>
      <c r="R217" s="218"/>
      <c r="S217" s="28" t="s">
        <v>375</v>
      </c>
      <c r="T217" s="20">
        <v>27</v>
      </c>
    </row>
    <row r="218" spans="1:20" ht="174.95" customHeight="1" x14ac:dyDescent="0.25">
      <c r="A218" s="21">
        <v>205</v>
      </c>
      <c r="B218" s="24" t="s">
        <v>1293</v>
      </c>
      <c r="C218" s="213" t="s">
        <v>1294</v>
      </c>
      <c r="D218" s="214"/>
      <c r="E218" s="214"/>
      <c r="F218" s="215"/>
      <c r="G218" s="31" t="s">
        <v>1296</v>
      </c>
      <c r="H218" s="24" t="s">
        <v>1295</v>
      </c>
      <c r="I218" s="32">
        <v>0</v>
      </c>
      <c r="J218" s="32">
        <v>1</v>
      </c>
      <c r="K218" s="32">
        <v>0</v>
      </c>
      <c r="L218" s="32">
        <v>0</v>
      </c>
      <c r="M218" s="32">
        <v>0</v>
      </c>
      <c r="N218" s="32">
        <v>0</v>
      </c>
      <c r="O218" s="216" t="s">
        <v>1297</v>
      </c>
      <c r="P218" s="217"/>
      <c r="Q218" s="217"/>
      <c r="R218" s="218"/>
      <c r="S218" s="28" t="s">
        <v>384</v>
      </c>
      <c r="T218" s="20">
        <v>28</v>
      </c>
    </row>
    <row r="219" spans="1:20" ht="150" customHeight="1" x14ac:dyDescent="0.25">
      <c r="A219" s="30">
        <v>206</v>
      </c>
      <c r="B219" s="24" t="s">
        <v>1299</v>
      </c>
      <c r="C219" s="213" t="s">
        <v>1298</v>
      </c>
      <c r="D219" s="214"/>
      <c r="E219" s="214"/>
      <c r="F219" s="215"/>
      <c r="G219" s="31" t="s">
        <v>1301</v>
      </c>
      <c r="H219" s="24" t="s">
        <v>1300</v>
      </c>
      <c r="I219" s="32">
        <v>1</v>
      </c>
      <c r="J219" s="32">
        <v>0</v>
      </c>
      <c r="K219" s="32">
        <v>0</v>
      </c>
      <c r="L219" s="32">
        <v>0</v>
      </c>
      <c r="M219" s="32">
        <v>0</v>
      </c>
      <c r="N219" s="32">
        <v>0</v>
      </c>
      <c r="O219" s="216" t="s">
        <v>884</v>
      </c>
      <c r="P219" s="217"/>
      <c r="Q219" s="217"/>
      <c r="R219" s="218"/>
      <c r="S219" s="28" t="s">
        <v>374</v>
      </c>
      <c r="T219" s="20">
        <v>29</v>
      </c>
    </row>
    <row r="220" spans="1:20" ht="150" customHeight="1" x14ac:dyDescent="0.25">
      <c r="A220" s="21">
        <v>207</v>
      </c>
      <c r="B220" s="24" t="s">
        <v>1299</v>
      </c>
      <c r="C220" s="213" t="s">
        <v>1302</v>
      </c>
      <c r="D220" s="214"/>
      <c r="E220" s="214"/>
      <c r="F220" s="215"/>
      <c r="G220" s="31" t="s">
        <v>1304</v>
      </c>
      <c r="H220" s="24" t="s">
        <v>1303</v>
      </c>
      <c r="I220" s="32">
        <v>1</v>
      </c>
      <c r="J220" s="32">
        <v>0</v>
      </c>
      <c r="K220" s="32">
        <v>0</v>
      </c>
      <c r="L220" s="32">
        <v>0</v>
      </c>
      <c r="M220" s="32">
        <v>0</v>
      </c>
      <c r="N220" s="32">
        <v>0</v>
      </c>
      <c r="O220" s="216" t="s">
        <v>1305</v>
      </c>
      <c r="P220" s="217"/>
      <c r="Q220" s="217"/>
      <c r="R220" s="218"/>
      <c r="S220" s="28" t="s">
        <v>375</v>
      </c>
      <c r="T220" s="20">
        <v>30</v>
      </c>
    </row>
    <row r="221" spans="1:20" ht="150" customHeight="1" x14ac:dyDescent="0.25">
      <c r="A221" s="30">
        <v>208</v>
      </c>
      <c r="B221" s="24" t="s">
        <v>1306</v>
      </c>
      <c r="C221" s="213" t="s">
        <v>358</v>
      </c>
      <c r="D221" s="214"/>
      <c r="E221" s="214"/>
      <c r="F221" s="215"/>
      <c r="G221" s="31" t="s">
        <v>1307</v>
      </c>
      <c r="H221" s="24" t="s">
        <v>1308</v>
      </c>
      <c r="I221" s="32">
        <v>1</v>
      </c>
      <c r="J221" s="32">
        <v>0</v>
      </c>
      <c r="K221" s="32">
        <v>0</v>
      </c>
      <c r="L221" s="32">
        <v>0</v>
      </c>
      <c r="M221" s="32">
        <v>0</v>
      </c>
      <c r="N221" s="32">
        <v>0</v>
      </c>
      <c r="O221" s="216" t="s">
        <v>733</v>
      </c>
      <c r="P221" s="217"/>
      <c r="Q221" s="217"/>
      <c r="R221" s="218"/>
      <c r="S221" s="28" t="s">
        <v>46</v>
      </c>
      <c r="T221" s="20">
        <v>31</v>
      </c>
    </row>
    <row r="222" spans="1:20" ht="200.25" customHeight="1" x14ac:dyDescent="0.25">
      <c r="A222" s="21">
        <v>209</v>
      </c>
      <c r="B222" s="24" t="s">
        <v>1306</v>
      </c>
      <c r="C222" s="213" t="s">
        <v>1309</v>
      </c>
      <c r="D222" s="214"/>
      <c r="E222" s="214"/>
      <c r="F222" s="215"/>
      <c r="G222" s="31" t="s">
        <v>1311</v>
      </c>
      <c r="H222" s="24" t="s">
        <v>1310</v>
      </c>
      <c r="I222" s="32">
        <v>1</v>
      </c>
      <c r="J222" s="32">
        <v>0</v>
      </c>
      <c r="K222" s="32">
        <v>0</v>
      </c>
      <c r="L222" s="32">
        <v>0</v>
      </c>
      <c r="M222" s="32">
        <v>0</v>
      </c>
      <c r="N222" s="32">
        <v>0</v>
      </c>
      <c r="O222" s="216" t="s">
        <v>1241</v>
      </c>
      <c r="P222" s="217"/>
      <c r="Q222" s="217"/>
      <c r="R222" s="218"/>
      <c r="S222" s="28" t="s">
        <v>374</v>
      </c>
      <c r="T222" s="20">
        <v>32</v>
      </c>
    </row>
    <row r="223" spans="1:20" ht="148.5" customHeight="1" x14ac:dyDescent="0.25">
      <c r="A223" s="30">
        <v>210</v>
      </c>
      <c r="B223" s="24" t="s">
        <v>1312</v>
      </c>
      <c r="C223" s="213" t="s">
        <v>1313</v>
      </c>
      <c r="D223" s="214"/>
      <c r="E223" s="214"/>
      <c r="F223" s="215"/>
      <c r="G223" s="31" t="s">
        <v>1315</v>
      </c>
      <c r="H223" s="24" t="s">
        <v>1314</v>
      </c>
      <c r="I223" s="32">
        <v>1</v>
      </c>
      <c r="J223" s="32">
        <v>0</v>
      </c>
      <c r="K223" s="32">
        <v>0</v>
      </c>
      <c r="L223" s="32">
        <v>0</v>
      </c>
      <c r="M223" s="32">
        <v>0</v>
      </c>
      <c r="N223" s="32">
        <v>0</v>
      </c>
      <c r="O223" s="216" t="s">
        <v>749</v>
      </c>
      <c r="P223" s="217"/>
      <c r="Q223" s="217"/>
      <c r="R223" s="218"/>
      <c r="S223" s="28" t="s">
        <v>374</v>
      </c>
      <c r="T223" s="20">
        <v>33</v>
      </c>
    </row>
    <row r="224" spans="1:20" ht="174.95" customHeight="1" x14ac:dyDescent="0.25">
      <c r="A224" s="21">
        <v>211</v>
      </c>
      <c r="B224" s="24" t="s">
        <v>1312</v>
      </c>
      <c r="C224" s="213" t="s">
        <v>1316</v>
      </c>
      <c r="D224" s="214"/>
      <c r="E224" s="214"/>
      <c r="F224" s="215"/>
      <c r="G224" s="31" t="s">
        <v>1318</v>
      </c>
      <c r="H224" s="24" t="s">
        <v>1317</v>
      </c>
      <c r="I224" s="32">
        <v>1</v>
      </c>
      <c r="J224" s="32">
        <v>0</v>
      </c>
      <c r="K224" s="32">
        <v>0</v>
      </c>
      <c r="L224" s="32">
        <v>0</v>
      </c>
      <c r="M224" s="32">
        <v>0</v>
      </c>
      <c r="N224" s="32">
        <v>0</v>
      </c>
      <c r="O224" s="216" t="s">
        <v>1319</v>
      </c>
      <c r="P224" s="217"/>
      <c r="Q224" s="217"/>
      <c r="R224" s="218"/>
      <c r="S224" s="28" t="s">
        <v>46</v>
      </c>
      <c r="T224" s="20">
        <v>34</v>
      </c>
    </row>
    <row r="225" spans="1:20" ht="144" customHeight="1" x14ac:dyDescent="0.25">
      <c r="A225" s="30">
        <v>212</v>
      </c>
      <c r="B225" s="24" t="s">
        <v>1320</v>
      </c>
      <c r="C225" s="213" t="s">
        <v>1321</v>
      </c>
      <c r="D225" s="214"/>
      <c r="E225" s="214"/>
      <c r="F225" s="215"/>
      <c r="G225" s="31" t="s">
        <v>1323</v>
      </c>
      <c r="H225" s="24" t="s">
        <v>1322</v>
      </c>
      <c r="I225" s="32">
        <v>1</v>
      </c>
      <c r="J225" s="32">
        <v>0</v>
      </c>
      <c r="K225" s="32">
        <v>0</v>
      </c>
      <c r="L225" s="32">
        <v>0</v>
      </c>
      <c r="M225" s="32">
        <v>0</v>
      </c>
      <c r="N225" s="32">
        <v>0</v>
      </c>
      <c r="O225" s="216" t="s">
        <v>632</v>
      </c>
      <c r="P225" s="217"/>
      <c r="Q225" s="217"/>
      <c r="R225" s="218"/>
      <c r="S225" s="28" t="s">
        <v>375</v>
      </c>
      <c r="T225" s="20">
        <v>35</v>
      </c>
    </row>
    <row r="226" spans="1:20" ht="174.95" customHeight="1" x14ac:dyDescent="0.25">
      <c r="A226" s="21">
        <v>213</v>
      </c>
      <c r="B226" s="24" t="s">
        <v>1320</v>
      </c>
      <c r="C226" s="213" t="s">
        <v>1324</v>
      </c>
      <c r="D226" s="214"/>
      <c r="E226" s="214"/>
      <c r="F226" s="215"/>
      <c r="G226" s="31" t="s">
        <v>1325</v>
      </c>
      <c r="H226" s="24" t="s">
        <v>1326</v>
      </c>
      <c r="I226" s="32">
        <v>1</v>
      </c>
      <c r="J226" s="32">
        <v>0</v>
      </c>
      <c r="K226" s="32">
        <v>0</v>
      </c>
      <c r="L226" s="32">
        <v>0</v>
      </c>
      <c r="M226" s="32">
        <v>0</v>
      </c>
      <c r="N226" s="32">
        <v>0</v>
      </c>
      <c r="O226" s="216" t="s">
        <v>1327</v>
      </c>
      <c r="P226" s="217"/>
      <c r="Q226" s="217"/>
      <c r="R226" s="218"/>
      <c r="S226" s="28" t="s">
        <v>374</v>
      </c>
      <c r="T226" s="20">
        <v>36</v>
      </c>
    </row>
    <row r="227" spans="1:20" ht="186.75" customHeight="1" x14ac:dyDescent="0.25">
      <c r="A227" s="30">
        <v>214</v>
      </c>
      <c r="B227" s="24" t="s">
        <v>1328</v>
      </c>
      <c r="C227" s="213" t="s">
        <v>882</v>
      </c>
      <c r="D227" s="214"/>
      <c r="E227" s="214"/>
      <c r="F227" s="215"/>
      <c r="G227" s="31" t="s">
        <v>1330</v>
      </c>
      <c r="H227" s="24" t="s">
        <v>1329</v>
      </c>
      <c r="I227" s="32">
        <v>1</v>
      </c>
      <c r="J227" s="32">
        <v>0</v>
      </c>
      <c r="K227" s="32">
        <v>0</v>
      </c>
      <c r="L227" s="32">
        <v>0</v>
      </c>
      <c r="M227" s="32">
        <v>0</v>
      </c>
      <c r="N227" s="32">
        <v>0</v>
      </c>
      <c r="O227" s="216" t="s">
        <v>632</v>
      </c>
      <c r="P227" s="217"/>
      <c r="Q227" s="217"/>
      <c r="R227" s="218"/>
      <c r="S227" s="28" t="s">
        <v>374</v>
      </c>
      <c r="T227" s="20">
        <v>37</v>
      </c>
    </row>
    <row r="228" spans="1:20" ht="174.95" customHeight="1" x14ac:dyDescent="0.25">
      <c r="A228" s="21">
        <v>215</v>
      </c>
      <c r="B228" s="24" t="s">
        <v>1328</v>
      </c>
      <c r="C228" s="213" t="s">
        <v>1331</v>
      </c>
      <c r="D228" s="214"/>
      <c r="E228" s="214"/>
      <c r="F228" s="215"/>
      <c r="G228" s="31" t="s">
        <v>1333</v>
      </c>
      <c r="H228" s="24" t="s">
        <v>1332</v>
      </c>
      <c r="I228" s="32">
        <v>1</v>
      </c>
      <c r="J228" s="32">
        <v>0</v>
      </c>
      <c r="K228" s="32">
        <v>0</v>
      </c>
      <c r="L228" s="32">
        <v>0</v>
      </c>
      <c r="M228" s="32">
        <v>0</v>
      </c>
      <c r="N228" s="32">
        <v>0</v>
      </c>
      <c r="O228" s="216" t="s">
        <v>1334</v>
      </c>
      <c r="P228" s="217"/>
      <c r="Q228" s="217"/>
      <c r="R228" s="218"/>
      <c r="S228" s="28" t="s">
        <v>46</v>
      </c>
      <c r="T228" s="20">
        <v>38</v>
      </c>
    </row>
    <row r="229" spans="1:20" ht="174.95" customHeight="1" x14ac:dyDescent="0.25">
      <c r="A229" s="30">
        <v>216</v>
      </c>
      <c r="B229" s="24" t="s">
        <v>1335</v>
      </c>
      <c r="C229" s="213" t="s">
        <v>1336</v>
      </c>
      <c r="D229" s="214"/>
      <c r="E229" s="214"/>
      <c r="F229" s="215"/>
      <c r="G229" s="31" t="s">
        <v>1338</v>
      </c>
      <c r="H229" s="24" t="s">
        <v>1337</v>
      </c>
      <c r="I229" s="32">
        <v>0</v>
      </c>
      <c r="J229" s="32">
        <v>1</v>
      </c>
      <c r="K229" s="32">
        <v>0</v>
      </c>
      <c r="L229" s="32">
        <v>0</v>
      </c>
      <c r="M229" s="32">
        <v>0</v>
      </c>
      <c r="N229" s="32">
        <v>0</v>
      </c>
      <c r="O229" s="216" t="s">
        <v>1339</v>
      </c>
      <c r="P229" s="217"/>
      <c r="Q229" s="217"/>
      <c r="R229" s="218"/>
      <c r="S229" s="28" t="s">
        <v>1016</v>
      </c>
      <c r="T229" s="20">
        <v>39</v>
      </c>
    </row>
    <row r="230" spans="1:20" ht="174.95" customHeight="1" x14ac:dyDescent="0.25">
      <c r="A230" s="21">
        <v>217</v>
      </c>
      <c r="B230" s="24" t="s">
        <v>1340</v>
      </c>
      <c r="C230" s="213" t="s">
        <v>1341</v>
      </c>
      <c r="D230" s="214"/>
      <c r="E230" s="214"/>
      <c r="F230" s="215"/>
      <c r="G230" s="31" t="s">
        <v>1343</v>
      </c>
      <c r="H230" s="24" t="s">
        <v>1342</v>
      </c>
      <c r="I230" s="32">
        <v>1</v>
      </c>
      <c r="J230" s="32">
        <v>0</v>
      </c>
      <c r="K230" s="32">
        <v>0</v>
      </c>
      <c r="L230" s="32">
        <v>0</v>
      </c>
      <c r="M230" s="32">
        <v>0</v>
      </c>
      <c r="N230" s="32">
        <v>0</v>
      </c>
      <c r="O230" s="216" t="s">
        <v>1344</v>
      </c>
      <c r="P230" s="217"/>
      <c r="Q230" s="217"/>
      <c r="R230" s="218"/>
      <c r="S230" s="28" t="s">
        <v>374</v>
      </c>
      <c r="T230" s="20">
        <v>1</v>
      </c>
    </row>
    <row r="231" spans="1:20" ht="174.95" customHeight="1" x14ac:dyDescent="0.25">
      <c r="A231" s="30">
        <v>218</v>
      </c>
      <c r="B231" s="24" t="s">
        <v>1345</v>
      </c>
      <c r="C231" s="213" t="s">
        <v>1346</v>
      </c>
      <c r="D231" s="214"/>
      <c r="E231" s="214"/>
      <c r="F231" s="215"/>
      <c r="G231" s="31" t="s">
        <v>1343</v>
      </c>
      <c r="H231" s="24" t="s">
        <v>1347</v>
      </c>
      <c r="I231" s="32">
        <v>1</v>
      </c>
      <c r="J231" s="32">
        <v>0</v>
      </c>
      <c r="K231" s="32">
        <v>0</v>
      </c>
      <c r="L231" s="32">
        <v>0</v>
      </c>
      <c r="M231" s="32">
        <v>0</v>
      </c>
      <c r="N231" s="32">
        <v>0</v>
      </c>
      <c r="O231" s="216" t="s">
        <v>1348</v>
      </c>
      <c r="P231" s="217"/>
      <c r="Q231" s="217"/>
      <c r="R231" s="218"/>
      <c r="S231" s="28" t="s">
        <v>374</v>
      </c>
      <c r="T231" s="20">
        <v>2</v>
      </c>
    </row>
    <row r="232" spans="1:20" ht="150" customHeight="1" x14ac:dyDescent="0.25">
      <c r="A232" s="21">
        <v>219</v>
      </c>
      <c r="B232" s="24" t="s">
        <v>1349</v>
      </c>
      <c r="C232" s="213" t="s">
        <v>1350</v>
      </c>
      <c r="D232" s="214"/>
      <c r="E232" s="214"/>
      <c r="F232" s="215"/>
      <c r="G232" s="31" t="s">
        <v>1352</v>
      </c>
      <c r="H232" s="24" t="s">
        <v>1351</v>
      </c>
      <c r="I232" s="32">
        <v>1</v>
      </c>
      <c r="J232" s="32">
        <v>0</v>
      </c>
      <c r="K232" s="32">
        <v>0</v>
      </c>
      <c r="L232" s="32">
        <v>0</v>
      </c>
      <c r="M232" s="32">
        <v>0</v>
      </c>
      <c r="N232" s="32">
        <v>0</v>
      </c>
      <c r="O232" s="216" t="s">
        <v>1353</v>
      </c>
      <c r="P232" s="217"/>
      <c r="Q232" s="217"/>
      <c r="R232" s="218"/>
      <c r="S232" s="28" t="s">
        <v>46</v>
      </c>
      <c r="T232" s="20">
        <v>3</v>
      </c>
    </row>
    <row r="233" spans="1:20" ht="150" customHeight="1" x14ac:dyDescent="0.25">
      <c r="A233" s="30">
        <v>220</v>
      </c>
      <c r="B233" s="24" t="s">
        <v>1354</v>
      </c>
      <c r="C233" s="213" t="s">
        <v>1355</v>
      </c>
      <c r="D233" s="214"/>
      <c r="E233" s="214"/>
      <c r="F233" s="215"/>
      <c r="G233" s="31" t="s">
        <v>1357</v>
      </c>
      <c r="H233" s="24" t="s">
        <v>1356</v>
      </c>
      <c r="I233" s="32">
        <v>1</v>
      </c>
      <c r="J233" s="32">
        <v>0</v>
      </c>
      <c r="K233" s="32">
        <v>0</v>
      </c>
      <c r="L233" s="32">
        <v>0</v>
      </c>
      <c r="M233" s="32">
        <v>0</v>
      </c>
      <c r="N233" s="32">
        <v>0</v>
      </c>
      <c r="O233" s="216" t="s">
        <v>1358</v>
      </c>
      <c r="P233" s="217"/>
      <c r="Q233" s="217"/>
      <c r="R233" s="218"/>
      <c r="S233" s="28" t="s">
        <v>46</v>
      </c>
      <c r="T233" s="20">
        <v>4</v>
      </c>
    </row>
    <row r="234" spans="1:20" ht="150" customHeight="1" x14ac:dyDescent="0.25">
      <c r="A234" s="21">
        <v>221</v>
      </c>
      <c r="B234" s="24" t="s">
        <v>1354</v>
      </c>
      <c r="C234" s="213" t="s">
        <v>1359</v>
      </c>
      <c r="D234" s="214"/>
      <c r="E234" s="214"/>
      <c r="F234" s="215"/>
      <c r="G234" s="31" t="s">
        <v>1361</v>
      </c>
      <c r="H234" s="24" t="s">
        <v>1360</v>
      </c>
      <c r="I234" s="32">
        <v>1</v>
      </c>
      <c r="J234" s="32">
        <v>0</v>
      </c>
      <c r="K234" s="32">
        <v>0</v>
      </c>
      <c r="L234" s="32">
        <v>0</v>
      </c>
      <c r="M234" s="32">
        <v>0</v>
      </c>
      <c r="N234" s="32">
        <v>0</v>
      </c>
      <c r="O234" s="216" t="s">
        <v>1066</v>
      </c>
      <c r="P234" s="217"/>
      <c r="Q234" s="217"/>
      <c r="R234" s="218"/>
      <c r="S234" s="28" t="s">
        <v>48</v>
      </c>
      <c r="T234" s="20">
        <v>5</v>
      </c>
    </row>
    <row r="235" spans="1:20" ht="150" customHeight="1" x14ac:dyDescent="0.25">
      <c r="A235" s="30">
        <v>222</v>
      </c>
      <c r="B235" s="24" t="s">
        <v>1362</v>
      </c>
      <c r="C235" s="213" t="s">
        <v>353</v>
      </c>
      <c r="D235" s="214"/>
      <c r="E235" s="214"/>
      <c r="F235" s="215"/>
      <c r="G235" s="31" t="s">
        <v>1364</v>
      </c>
      <c r="H235" s="24" t="s">
        <v>1363</v>
      </c>
      <c r="I235" s="32">
        <v>1</v>
      </c>
      <c r="J235" s="32">
        <v>0</v>
      </c>
      <c r="K235" s="32">
        <v>0</v>
      </c>
      <c r="L235" s="32">
        <v>0</v>
      </c>
      <c r="M235" s="32">
        <v>0</v>
      </c>
      <c r="N235" s="32">
        <v>0</v>
      </c>
      <c r="O235" s="216" t="s">
        <v>884</v>
      </c>
      <c r="P235" s="217"/>
      <c r="Q235" s="217"/>
      <c r="R235" s="218"/>
      <c r="S235" s="28" t="s">
        <v>46</v>
      </c>
      <c r="T235" s="20">
        <v>6</v>
      </c>
    </row>
    <row r="236" spans="1:20" ht="150" customHeight="1" x14ac:dyDescent="0.25">
      <c r="A236" s="21">
        <v>223</v>
      </c>
      <c r="B236" s="24" t="s">
        <v>1362</v>
      </c>
      <c r="C236" s="213" t="s">
        <v>1365</v>
      </c>
      <c r="D236" s="214"/>
      <c r="E236" s="214"/>
      <c r="F236" s="215"/>
      <c r="G236" s="31" t="s">
        <v>1367</v>
      </c>
      <c r="H236" s="24" t="s">
        <v>1366</v>
      </c>
      <c r="I236" s="32">
        <v>1</v>
      </c>
      <c r="J236" s="32">
        <v>0</v>
      </c>
      <c r="K236" s="32">
        <v>0</v>
      </c>
      <c r="L236" s="32">
        <v>0</v>
      </c>
      <c r="M236" s="32">
        <v>0</v>
      </c>
      <c r="N236" s="32">
        <v>0</v>
      </c>
      <c r="O236" s="216" t="s">
        <v>1305</v>
      </c>
      <c r="P236" s="217"/>
      <c r="Q236" s="217"/>
      <c r="R236" s="218"/>
      <c r="S236" s="28" t="s">
        <v>374</v>
      </c>
      <c r="T236" s="20">
        <v>7</v>
      </c>
    </row>
    <row r="237" spans="1:20" ht="150" customHeight="1" x14ac:dyDescent="0.25">
      <c r="A237" s="30">
        <v>224</v>
      </c>
      <c r="B237" s="24" t="s">
        <v>1368</v>
      </c>
      <c r="C237" s="213" t="s">
        <v>1369</v>
      </c>
      <c r="D237" s="214"/>
      <c r="E237" s="214"/>
      <c r="F237" s="215"/>
      <c r="G237" s="31" t="s">
        <v>1371</v>
      </c>
      <c r="H237" s="24" t="s">
        <v>1370</v>
      </c>
      <c r="I237" s="32">
        <v>1</v>
      </c>
      <c r="J237" s="32">
        <v>0</v>
      </c>
      <c r="K237" s="32">
        <v>0</v>
      </c>
      <c r="L237" s="32">
        <v>0</v>
      </c>
      <c r="M237" s="32">
        <v>0</v>
      </c>
      <c r="N237" s="32">
        <v>0</v>
      </c>
      <c r="O237" s="216" t="s">
        <v>787</v>
      </c>
      <c r="P237" s="217"/>
      <c r="Q237" s="217"/>
      <c r="R237" s="218"/>
      <c r="S237" s="28" t="s">
        <v>374</v>
      </c>
      <c r="T237" s="20">
        <v>8</v>
      </c>
    </row>
    <row r="238" spans="1:20" ht="150" customHeight="1" x14ac:dyDescent="0.25">
      <c r="A238" s="21">
        <v>225</v>
      </c>
      <c r="B238" s="24" t="s">
        <v>1372</v>
      </c>
      <c r="C238" s="213" t="s">
        <v>1373</v>
      </c>
      <c r="D238" s="214"/>
      <c r="E238" s="214"/>
      <c r="F238" s="215"/>
      <c r="G238" s="31" t="s">
        <v>1375</v>
      </c>
      <c r="H238" s="24" t="s">
        <v>1374</v>
      </c>
      <c r="I238" s="32">
        <v>0</v>
      </c>
      <c r="J238" s="32">
        <v>1</v>
      </c>
      <c r="K238" s="32">
        <v>0</v>
      </c>
      <c r="L238" s="32">
        <v>0</v>
      </c>
      <c r="M238" s="32">
        <v>0</v>
      </c>
      <c r="N238" s="32">
        <v>0</v>
      </c>
      <c r="O238" s="216" t="s">
        <v>749</v>
      </c>
      <c r="P238" s="217"/>
      <c r="Q238" s="217"/>
      <c r="R238" s="218"/>
      <c r="S238" s="28" t="s">
        <v>1376</v>
      </c>
      <c r="T238" s="20">
        <v>9</v>
      </c>
    </row>
    <row r="239" spans="1:20" ht="150" customHeight="1" x14ac:dyDescent="0.25">
      <c r="A239" s="30">
        <v>226</v>
      </c>
      <c r="B239" s="24" t="s">
        <v>1377</v>
      </c>
      <c r="C239" s="213" t="s">
        <v>1378</v>
      </c>
      <c r="D239" s="214"/>
      <c r="E239" s="214"/>
      <c r="F239" s="215"/>
      <c r="G239" s="31" t="s">
        <v>1380</v>
      </c>
      <c r="H239" s="24" t="s">
        <v>1379</v>
      </c>
      <c r="I239" s="32">
        <v>1</v>
      </c>
      <c r="J239" s="32">
        <v>0</v>
      </c>
      <c r="K239" s="32">
        <v>0</v>
      </c>
      <c r="L239" s="32">
        <v>0</v>
      </c>
      <c r="M239" s="32">
        <v>0</v>
      </c>
      <c r="N239" s="32">
        <v>0</v>
      </c>
      <c r="O239" s="216" t="s">
        <v>1066</v>
      </c>
      <c r="P239" s="217"/>
      <c r="Q239" s="217"/>
      <c r="R239" s="218"/>
      <c r="S239" s="28" t="s">
        <v>375</v>
      </c>
      <c r="T239" s="20">
        <v>10</v>
      </c>
    </row>
    <row r="240" spans="1:20" ht="150" customHeight="1" x14ac:dyDescent="0.25">
      <c r="A240" s="21">
        <v>227</v>
      </c>
      <c r="B240" s="24" t="s">
        <v>1381</v>
      </c>
      <c r="C240" s="213" t="s">
        <v>347</v>
      </c>
      <c r="D240" s="214"/>
      <c r="E240" s="214"/>
      <c r="F240" s="215"/>
      <c r="G240" s="31" t="s">
        <v>1383</v>
      </c>
      <c r="H240" s="24" t="s">
        <v>1382</v>
      </c>
      <c r="I240" s="32">
        <v>0</v>
      </c>
      <c r="J240" s="32">
        <v>1</v>
      </c>
      <c r="K240" s="32">
        <v>0</v>
      </c>
      <c r="L240" s="32">
        <v>0</v>
      </c>
      <c r="M240" s="32">
        <v>0</v>
      </c>
      <c r="N240" s="32">
        <v>0</v>
      </c>
      <c r="O240" s="216" t="s">
        <v>1384</v>
      </c>
      <c r="P240" s="217"/>
      <c r="Q240" s="217"/>
      <c r="R240" s="218"/>
      <c r="S240" s="28" t="s">
        <v>384</v>
      </c>
      <c r="T240" s="20">
        <v>11</v>
      </c>
    </row>
    <row r="241" spans="1:20" ht="150" customHeight="1" x14ac:dyDescent="0.25">
      <c r="A241" s="30">
        <v>228</v>
      </c>
      <c r="B241" s="24" t="s">
        <v>1381</v>
      </c>
      <c r="C241" s="213" t="s">
        <v>1385</v>
      </c>
      <c r="D241" s="214"/>
      <c r="E241" s="214"/>
      <c r="F241" s="215"/>
      <c r="G241" s="31" t="s">
        <v>1387</v>
      </c>
      <c r="H241" s="24" t="s">
        <v>1386</v>
      </c>
      <c r="I241" s="32">
        <v>1</v>
      </c>
      <c r="J241" s="32">
        <v>0</v>
      </c>
      <c r="K241" s="32">
        <v>0</v>
      </c>
      <c r="L241" s="32">
        <v>0</v>
      </c>
      <c r="M241" s="32">
        <v>0</v>
      </c>
      <c r="N241" s="32">
        <v>0</v>
      </c>
      <c r="O241" s="216" t="s">
        <v>1305</v>
      </c>
      <c r="P241" s="217"/>
      <c r="Q241" s="217"/>
      <c r="R241" s="218"/>
      <c r="S241" s="28" t="s">
        <v>46</v>
      </c>
      <c r="T241" s="20">
        <v>12</v>
      </c>
    </row>
    <row r="242" spans="1:20" ht="174.95" customHeight="1" x14ac:dyDescent="0.25">
      <c r="A242" s="21">
        <v>229</v>
      </c>
      <c r="B242" s="24" t="s">
        <v>1388</v>
      </c>
      <c r="C242" s="213" t="s">
        <v>1389</v>
      </c>
      <c r="D242" s="214"/>
      <c r="E242" s="214"/>
      <c r="F242" s="215"/>
      <c r="G242" s="31" t="s">
        <v>1391</v>
      </c>
      <c r="H242" s="24" t="s">
        <v>1390</v>
      </c>
      <c r="I242" s="32">
        <v>0</v>
      </c>
      <c r="J242" s="32">
        <v>1</v>
      </c>
      <c r="K242" s="32">
        <v>0</v>
      </c>
      <c r="L242" s="32">
        <v>0</v>
      </c>
      <c r="M242" s="32">
        <v>0</v>
      </c>
      <c r="N242" s="32">
        <v>0</v>
      </c>
      <c r="O242" s="216" t="s">
        <v>1392</v>
      </c>
      <c r="P242" s="217"/>
      <c r="Q242" s="217"/>
      <c r="R242" s="218"/>
      <c r="S242" s="28" t="s">
        <v>1393</v>
      </c>
      <c r="T242" s="20">
        <v>13</v>
      </c>
    </row>
    <row r="243" spans="1:20" ht="174.95" customHeight="1" x14ac:dyDescent="0.25">
      <c r="A243" s="30">
        <v>230</v>
      </c>
      <c r="B243" s="24" t="s">
        <v>1394</v>
      </c>
      <c r="C243" s="213" t="s">
        <v>1395</v>
      </c>
      <c r="D243" s="214"/>
      <c r="E243" s="214"/>
      <c r="F243" s="215"/>
      <c r="G243" s="31" t="s">
        <v>1397</v>
      </c>
      <c r="H243" s="24" t="s">
        <v>1396</v>
      </c>
      <c r="I243" s="32">
        <v>0</v>
      </c>
      <c r="J243" s="32">
        <v>1</v>
      </c>
      <c r="K243" s="32">
        <v>0</v>
      </c>
      <c r="L243" s="32">
        <v>0</v>
      </c>
      <c r="M243" s="32">
        <v>0</v>
      </c>
      <c r="N243" s="32">
        <v>0</v>
      </c>
      <c r="O243" s="216" t="s">
        <v>1398</v>
      </c>
      <c r="P243" s="217"/>
      <c r="Q243" s="217"/>
      <c r="R243" s="218"/>
      <c r="S243" s="28" t="s">
        <v>385</v>
      </c>
      <c r="T243" s="20">
        <v>14</v>
      </c>
    </row>
    <row r="244" spans="1:20" ht="174.95" customHeight="1" x14ac:dyDescent="0.25">
      <c r="A244" s="21">
        <v>231</v>
      </c>
      <c r="B244" s="24" t="s">
        <v>1399</v>
      </c>
      <c r="C244" s="213" t="s">
        <v>347</v>
      </c>
      <c r="D244" s="214"/>
      <c r="E244" s="214"/>
      <c r="F244" s="215"/>
      <c r="G244" s="31" t="s">
        <v>1401</v>
      </c>
      <c r="H244" s="24" t="s">
        <v>1400</v>
      </c>
      <c r="I244" s="32">
        <v>1</v>
      </c>
      <c r="J244" s="32">
        <v>0</v>
      </c>
      <c r="K244" s="32">
        <v>0</v>
      </c>
      <c r="L244" s="32">
        <v>0</v>
      </c>
      <c r="M244" s="32">
        <v>0</v>
      </c>
      <c r="N244" s="32">
        <v>0</v>
      </c>
      <c r="O244" s="216" t="s">
        <v>632</v>
      </c>
      <c r="P244" s="217"/>
      <c r="Q244" s="217"/>
      <c r="R244" s="218"/>
      <c r="S244" s="28" t="s">
        <v>46</v>
      </c>
      <c r="T244" s="20">
        <v>15</v>
      </c>
    </row>
    <row r="245" spans="1:20" ht="174.95" customHeight="1" x14ac:dyDescent="0.25">
      <c r="A245" s="30">
        <v>232</v>
      </c>
      <c r="B245" s="24" t="s">
        <v>1399</v>
      </c>
      <c r="C245" s="213" t="s">
        <v>1402</v>
      </c>
      <c r="D245" s="214"/>
      <c r="E245" s="214"/>
      <c r="F245" s="215"/>
      <c r="G245" s="31" t="s">
        <v>1404</v>
      </c>
      <c r="H245" s="24" t="s">
        <v>1403</v>
      </c>
      <c r="I245" s="32">
        <v>1</v>
      </c>
      <c r="J245" s="32">
        <v>0</v>
      </c>
      <c r="K245" s="32">
        <v>0</v>
      </c>
      <c r="L245" s="32">
        <v>0</v>
      </c>
      <c r="M245" s="32">
        <v>0</v>
      </c>
      <c r="N245" s="32">
        <v>0</v>
      </c>
      <c r="O245" s="216" t="s">
        <v>1334</v>
      </c>
      <c r="P245" s="217"/>
      <c r="Q245" s="217"/>
      <c r="R245" s="218"/>
      <c r="S245" s="28" t="s">
        <v>379</v>
      </c>
      <c r="T245" s="20">
        <v>16</v>
      </c>
    </row>
    <row r="246" spans="1:20" ht="174.95" customHeight="1" x14ac:dyDescent="0.25">
      <c r="A246" s="21">
        <v>233</v>
      </c>
      <c r="B246" s="24" t="s">
        <v>1405</v>
      </c>
      <c r="C246" s="213" t="s">
        <v>1406</v>
      </c>
      <c r="D246" s="214"/>
      <c r="E246" s="214"/>
      <c r="F246" s="215"/>
      <c r="G246" s="31" t="s">
        <v>1408</v>
      </c>
      <c r="H246" s="24" t="s">
        <v>1407</v>
      </c>
      <c r="I246" s="32">
        <v>1</v>
      </c>
      <c r="J246" s="32">
        <v>0</v>
      </c>
      <c r="K246" s="32">
        <v>0</v>
      </c>
      <c r="L246" s="32">
        <v>0</v>
      </c>
      <c r="M246" s="32">
        <v>0</v>
      </c>
      <c r="N246" s="32">
        <v>0</v>
      </c>
      <c r="O246" s="216" t="s">
        <v>1409</v>
      </c>
      <c r="P246" s="217"/>
      <c r="Q246" s="217"/>
      <c r="R246" s="218"/>
      <c r="S246" s="28" t="s">
        <v>46</v>
      </c>
      <c r="T246" s="20">
        <v>17</v>
      </c>
    </row>
    <row r="247" spans="1:20" ht="150" customHeight="1" x14ac:dyDescent="0.25">
      <c r="A247" s="30">
        <v>234</v>
      </c>
      <c r="B247" s="24" t="s">
        <v>1410</v>
      </c>
      <c r="C247" s="213" t="s">
        <v>1411</v>
      </c>
      <c r="D247" s="214"/>
      <c r="E247" s="214"/>
      <c r="F247" s="215"/>
      <c r="G247" s="31" t="s">
        <v>1413</v>
      </c>
      <c r="H247" s="24" t="s">
        <v>1412</v>
      </c>
      <c r="I247" s="32">
        <v>1</v>
      </c>
      <c r="J247" s="32">
        <v>0</v>
      </c>
      <c r="K247" s="32">
        <v>0</v>
      </c>
      <c r="L247" s="32">
        <v>0</v>
      </c>
      <c r="M247" s="32">
        <v>0</v>
      </c>
      <c r="N247" s="32">
        <v>0</v>
      </c>
      <c r="O247" s="216" t="s">
        <v>627</v>
      </c>
      <c r="P247" s="217"/>
      <c r="Q247" s="217"/>
      <c r="R247" s="218"/>
      <c r="S247" s="28" t="s">
        <v>46</v>
      </c>
      <c r="T247" s="20">
        <v>18</v>
      </c>
    </row>
    <row r="248" spans="1:20" ht="150" customHeight="1" x14ac:dyDescent="0.25">
      <c r="A248" s="21">
        <v>235</v>
      </c>
      <c r="B248" s="24" t="s">
        <v>1410</v>
      </c>
      <c r="C248" s="213" t="s">
        <v>1414</v>
      </c>
      <c r="D248" s="214"/>
      <c r="E248" s="214"/>
      <c r="F248" s="215"/>
      <c r="G248" s="31" t="s">
        <v>1416</v>
      </c>
      <c r="H248" s="24" t="s">
        <v>1415</v>
      </c>
      <c r="I248" s="32">
        <v>1</v>
      </c>
      <c r="J248" s="32">
        <v>0</v>
      </c>
      <c r="K248" s="32">
        <v>0</v>
      </c>
      <c r="L248" s="32">
        <v>0</v>
      </c>
      <c r="M248" s="32">
        <v>0</v>
      </c>
      <c r="N248" s="32">
        <v>0</v>
      </c>
      <c r="O248" s="216" t="s">
        <v>1319</v>
      </c>
      <c r="P248" s="217"/>
      <c r="Q248" s="217"/>
      <c r="R248" s="218"/>
      <c r="S248" s="28" t="s">
        <v>374</v>
      </c>
      <c r="T248" s="20">
        <v>19</v>
      </c>
    </row>
    <row r="249" spans="1:20" ht="153.75" customHeight="1" x14ac:dyDescent="0.25">
      <c r="A249" s="30">
        <v>236</v>
      </c>
      <c r="B249" s="24" t="s">
        <v>1417</v>
      </c>
      <c r="C249" s="213" t="s">
        <v>1418</v>
      </c>
      <c r="D249" s="214"/>
      <c r="E249" s="214"/>
      <c r="F249" s="215"/>
      <c r="G249" s="31" t="s">
        <v>1420</v>
      </c>
      <c r="H249" s="24" t="s">
        <v>1419</v>
      </c>
      <c r="I249" s="32">
        <v>1</v>
      </c>
      <c r="J249" s="32">
        <v>0</v>
      </c>
      <c r="K249" s="32">
        <v>0</v>
      </c>
      <c r="L249" s="32">
        <v>0</v>
      </c>
      <c r="M249" s="32">
        <v>0</v>
      </c>
      <c r="N249" s="32">
        <v>0</v>
      </c>
      <c r="O249" s="216" t="s">
        <v>884</v>
      </c>
      <c r="P249" s="217"/>
      <c r="Q249" s="217"/>
      <c r="R249" s="218"/>
      <c r="S249" s="28" t="s">
        <v>374</v>
      </c>
      <c r="T249" s="20">
        <v>20</v>
      </c>
    </row>
    <row r="250" spans="1:20" ht="150" customHeight="1" x14ac:dyDescent="0.25">
      <c r="A250" s="21">
        <v>237</v>
      </c>
      <c r="B250" s="24" t="s">
        <v>1417</v>
      </c>
      <c r="C250" s="213" t="s">
        <v>1421</v>
      </c>
      <c r="D250" s="214"/>
      <c r="E250" s="214"/>
      <c r="F250" s="215"/>
      <c r="G250" s="31" t="s">
        <v>1423</v>
      </c>
      <c r="H250" s="24" t="s">
        <v>1422</v>
      </c>
      <c r="I250" s="32">
        <v>1</v>
      </c>
      <c r="J250" s="32">
        <v>0</v>
      </c>
      <c r="K250" s="32">
        <v>0</v>
      </c>
      <c r="L250" s="32">
        <v>0</v>
      </c>
      <c r="M250" s="32">
        <v>0</v>
      </c>
      <c r="N250" s="32">
        <v>0</v>
      </c>
      <c r="O250" s="216" t="s">
        <v>1424</v>
      </c>
      <c r="P250" s="217"/>
      <c r="Q250" s="217"/>
      <c r="R250" s="218"/>
      <c r="S250" s="28" t="s">
        <v>46</v>
      </c>
      <c r="T250" s="20">
        <v>21</v>
      </c>
    </row>
    <row r="251" spans="1:20" ht="150" customHeight="1" x14ac:dyDescent="0.25">
      <c r="A251" s="30">
        <v>238</v>
      </c>
      <c r="B251" s="24" t="s">
        <v>1425</v>
      </c>
      <c r="C251" s="213" t="s">
        <v>1426</v>
      </c>
      <c r="D251" s="214"/>
      <c r="E251" s="214"/>
      <c r="F251" s="215"/>
      <c r="G251" s="31" t="s">
        <v>1428</v>
      </c>
      <c r="H251" s="24" t="s">
        <v>1427</v>
      </c>
      <c r="I251" s="32">
        <v>1</v>
      </c>
      <c r="J251" s="32">
        <v>0</v>
      </c>
      <c r="K251" s="32">
        <v>0</v>
      </c>
      <c r="L251" s="32">
        <v>0</v>
      </c>
      <c r="M251" s="32">
        <v>0</v>
      </c>
      <c r="N251" s="32">
        <v>0</v>
      </c>
      <c r="O251" s="216" t="s">
        <v>733</v>
      </c>
      <c r="P251" s="217"/>
      <c r="Q251" s="217"/>
      <c r="R251" s="218"/>
      <c r="S251" s="28" t="s">
        <v>46</v>
      </c>
      <c r="T251" s="20">
        <v>22</v>
      </c>
    </row>
    <row r="252" spans="1:20" ht="150" customHeight="1" x14ac:dyDescent="0.25">
      <c r="A252" s="21">
        <v>239</v>
      </c>
      <c r="B252" s="24" t="s">
        <v>1425</v>
      </c>
      <c r="C252" s="213" t="s">
        <v>1429</v>
      </c>
      <c r="D252" s="214"/>
      <c r="E252" s="214"/>
      <c r="F252" s="215"/>
      <c r="G252" s="31" t="s">
        <v>1431</v>
      </c>
      <c r="H252" s="24" t="s">
        <v>1430</v>
      </c>
      <c r="I252" s="32">
        <v>0</v>
      </c>
      <c r="J252" s="32">
        <v>1</v>
      </c>
      <c r="K252" s="32">
        <v>0</v>
      </c>
      <c r="L252" s="32">
        <v>0</v>
      </c>
      <c r="M252" s="32">
        <v>0</v>
      </c>
      <c r="N252" s="32">
        <v>0</v>
      </c>
      <c r="O252" s="216" t="s">
        <v>1433</v>
      </c>
      <c r="P252" s="217"/>
      <c r="Q252" s="217"/>
      <c r="R252" s="218"/>
      <c r="S252" s="28" t="s">
        <v>1432</v>
      </c>
      <c r="T252" s="20">
        <v>23</v>
      </c>
    </row>
    <row r="253" spans="1:20" ht="174.95" customHeight="1" x14ac:dyDescent="0.25">
      <c r="A253" s="30">
        <v>240</v>
      </c>
      <c r="B253" s="24" t="s">
        <v>1434</v>
      </c>
      <c r="C253" s="213" t="s">
        <v>1435</v>
      </c>
      <c r="D253" s="214"/>
      <c r="E253" s="214"/>
      <c r="F253" s="215"/>
      <c r="G253" s="31" t="s">
        <v>1437</v>
      </c>
      <c r="H253" s="24" t="s">
        <v>1436</v>
      </c>
      <c r="I253" s="32">
        <v>1</v>
      </c>
      <c r="J253" s="32">
        <v>0</v>
      </c>
      <c r="K253" s="32">
        <v>0</v>
      </c>
      <c r="L253" s="32">
        <v>0</v>
      </c>
      <c r="M253" s="32">
        <v>0</v>
      </c>
      <c r="N253" s="32">
        <v>0</v>
      </c>
      <c r="O253" s="216" t="s">
        <v>627</v>
      </c>
      <c r="P253" s="217"/>
      <c r="Q253" s="217"/>
      <c r="R253" s="218"/>
      <c r="S253" s="28" t="s">
        <v>46</v>
      </c>
      <c r="T253" s="20">
        <v>24</v>
      </c>
    </row>
    <row r="254" spans="1:20" ht="174.95" customHeight="1" x14ac:dyDescent="0.25">
      <c r="A254" s="21">
        <v>241</v>
      </c>
      <c r="B254" s="24" t="s">
        <v>1434</v>
      </c>
      <c r="C254" s="213" t="s">
        <v>1438</v>
      </c>
      <c r="D254" s="214"/>
      <c r="E254" s="214"/>
      <c r="F254" s="215"/>
      <c r="G254" s="31" t="s">
        <v>1440</v>
      </c>
      <c r="H254" s="24" t="s">
        <v>1439</v>
      </c>
      <c r="I254" s="32">
        <v>1</v>
      </c>
      <c r="J254" s="32">
        <v>0</v>
      </c>
      <c r="K254" s="32">
        <v>0</v>
      </c>
      <c r="L254" s="32">
        <v>0</v>
      </c>
      <c r="M254" s="32">
        <v>0</v>
      </c>
      <c r="N254" s="32">
        <v>0</v>
      </c>
      <c r="O254" s="216" t="s">
        <v>1319</v>
      </c>
      <c r="P254" s="217"/>
      <c r="Q254" s="217"/>
      <c r="R254" s="218"/>
      <c r="S254" s="28" t="s">
        <v>375</v>
      </c>
      <c r="T254" s="20">
        <v>25</v>
      </c>
    </row>
    <row r="255" spans="1:20" ht="150" customHeight="1" x14ac:dyDescent="0.25">
      <c r="A255" s="30">
        <v>242</v>
      </c>
      <c r="B255" s="24" t="s">
        <v>1441</v>
      </c>
      <c r="C255" s="213" t="s">
        <v>1442</v>
      </c>
      <c r="D255" s="214"/>
      <c r="E255" s="214"/>
      <c r="F255" s="215"/>
      <c r="G255" s="31" t="s">
        <v>1444</v>
      </c>
      <c r="H255" s="24" t="s">
        <v>1443</v>
      </c>
      <c r="I255" s="32">
        <v>1</v>
      </c>
      <c r="J255" s="32">
        <v>0</v>
      </c>
      <c r="K255" s="32">
        <v>0</v>
      </c>
      <c r="L255" s="32">
        <v>0</v>
      </c>
      <c r="M255" s="32">
        <v>0</v>
      </c>
      <c r="N255" s="32">
        <v>0</v>
      </c>
      <c r="O255" s="216" t="s">
        <v>1445</v>
      </c>
      <c r="P255" s="217"/>
      <c r="Q255" s="217"/>
      <c r="R255" s="218"/>
      <c r="S255" s="28" t="s">
        <v>375</v>
      </c>
      <c r="T255" s="20">
        <v>26</v>
      </c>
    </row>
    <row r="256" spans="1:20" ht="174.95" customHeight="1" x14ac:dyDescent="0.25">
      <c r="A256" s="21">
        <v>243</v>
      </c>
      <c r="B256" s="24" t="s">
        <v>1446</v>
      </c>
      <c r="C256" s="213" t="s">
        <v>1447</v>
      </c>
      <c r="D256" s="214"/>
      <c r="E256" s="214"/>
      <c r="F256" s="215"/>
      <c r="G256" s="31" t="s">
        <v>1449</v>
      </c>
      <c r="H256" s="24" t="s">
        <v>1448</v>
      </c>
      <c r="I256" s="32">
        <v>1</v>
      </c>
      <c r="J256" s="32">
        <v>0</v>
      </c>
      <c r="K256" s="32">
        <v>0</v>
      </c>
      <c r="L256" s="32">
        <v>0</v>
      </c>
      <c r="M256" s="32">
        <v>0</v>
      </c>
      <c r="N256" s="32">
        <v>0</v>
      </c>
      <c r="O256" s="216" t="s">
        <v>1450</v>
      </c>
      <c r="P256" s="217"/>
      <c r="Q256" s="217"/>
      <c r="R256" s="218"/>
      <c r="S256" s="28" t="s">
        <v>46</v>
      </c>
      <c r="T256" s="20">
        <v>27</v>
      </c>
    </row>
    <row r="257" spans="1:20" ht="150" customHeight="1" x14ac:dyDescent="0.25">
      <c r="A257" s="30">
        <v>244</v>
      </c>
      <c r="B257" s="24" t="s">
        <v>1446</v>
      </c>
      <c r="C257" s="213" t="s">
        <v>1451</v>
      </c>
      <c r="D257" s="214"/>
      <c r="E257" s="214"/>
      <c r="F257" s="215"/>
      <c r="G257" s="31" t="s">
        <v>1453</v>
      </c>
      <c r="H257" s="24" t="s">
        <v>1452</v>
      </c>
      <c r="I257" s="32">
        <v>1</v>
      </c>
      <c r="J257" s="32">
        <v>0</v>
      </c>
      <c r="K257" s="32">
        <v>0</v>
      </c>
      <c r="L257" s="32">
        <v>0</v>
      </c>
      <c r="M257" s="32">
        <v>0</v>
      </c>
      <c r="N257" s="32">
        <v>0</v>
      </c>
      <c r="O257" s="216" t="s">
        <v>1353</v>
      </c>
      <c r="P257" s="217"/>
      <c r="Q257" s="217"/>
      <c r="R257" s="218"/>
      <c r="S257" s="28" t="s">
        <v>374</v>
      </c>
      <c r="T257" s="20">
        <v>28</v>
      </c>
    </row>
    <row r="258" spans="1:20" ht="150" customHeight="1" x14ac:dyDescent="0.25">
      <c r="A258" s="21">
        <v>245</v>
      </c>
      <c r="B258" s="24" t="s">
        <v>1454</v>
      </c>
      <c r="C258" s="213" t="s">
        <v>1455</v>
      </c>
      <c r="D258" s="214"/>
      <c r="E258" s="214"/>
      <c r="F258" s="215"/>
      <c r="G258" s="31" t="s">
        <v>1457</v>
      </c>
      <c r="H258" s="24" t="s">
        <v>1456</v>
      </c>
      <c r="I258" s="32">
        <v>1</v>
      </c>
      <c r="J258" s="32">
        <v>0</v>
      </c>
      <c r="K258" s="32">
        <v>0</v>
      </c>
      <c r="L258" s="32">
        <v>0</v>
      </c>
      <c r="M258" s="32">
        <v>0</v>
      </c>
      <c r="N258" s="32">
        <v>0</v>
      </c>
      <c r="O258" s="216" t="s">
        <v>1265</v>
      </c>
      <c r="P258" s="217"/>
      <c r="Q258" s="217"/>
      <c r="R258" s="218"/>
      <c r="S258" s="28" t="s">
        <v>374</v>
      </c>
      <c r="T258" s="20">
        <v>29</v>
      </c>
    </row>
    <row r="259" spans="1:20" ht="150" customHeight="1" x14ac:dyDescent="0.25">
      <c r="A259" s="30">
        <v>246</v>
      </c>
      <c r="B259" s="24" t="s">
        <v>1458</v>
      </c>
      <c r="C259" s="213" t="s">
        <v>1459</v>
      </c>
      <c r="D259" s="214"/>
      <c r="E259" s="214"/>
      <c r="F259" s="215"/>
      <c r="G259" s="31" t="s">
        <v>1461</v>
      </c>
      <c r="H259" s="24" t="s">
        <v>1460</v>
      </c>
      <c r="I259" s="32">
        <v>0</v>
      </c>
      <c r="J259" s="32">
        <v>1</v>
      </c>
      <c r="K259" s="32">
        <v>0</v>
      </c>
      <c r="L259" s="32">
        <v>0</v>
      </c>
      <c r="M259" s="32">
        <v>0</v>
      </c>
      <c r="N259" s="32">
        <v>0</v>
      </c>
      <c r="O259" s="216" t="s">
        <v>1463</v>
      </c>
      <c r="P259" s="217"/>
      <c r="Q259" s="217"/>
      <c r="R259" s="218"/>
      <c r="S259" s="28" t="s">
        <v>1462</v>
      </c>
      <c r="T259" s="20">
        <v>30</v>
      </c>
    </row>
    <row r="260" spans="1:20" ht="174.95" customHeight="1" x14ac:dyDescent="0.25">
      <c r="A260" s="21">
        <v>247</v>
      </c>
      <c r="B260" s="24" t="s">
        <v>1464</v>
      </c>
      <c r="C260" s="213" t="s">
        <v>1465</v>
      </c>
      <c r="D260" s="214"/>
      <c r="E260" s="214"/>
      <c r="F260" s="215"/>
      <c r="G260" s="31" t="s">
        <v>494</v>
      </c>
      <c r="H260" s="24" t="s">
        <v>1466</v>
      </c>
      <c r="I260" s="32">
        <v>1</v>
      </c>
      <c r="J260" s="32">
        <v>0</v>
      </c>
      <c r="K260" s="32">
        <v>0</v>
      </c>
      <c r="L260" s="32">
        <v>0</v>
      </c>
      <c r="M260" s="32">
        <v>0</v>
      </c>
      <c r="N260" s="32">
        <v>0</v>
      </c>
      <c r="O260" s="216" t="s">
        <v>1467</v>
      </c>
      <c r="P260" s="217"/>
      <c r="Q260" s="217"/>
      <c r="R260" s="218"/>
      <c r="S260" s="28" t="s">
        <v>374</v>
      </c>
      <c r="T260" s="20">
        <v>31</v>
      </c>
    </row>
    <row r="261" spans="1:20" ht="174.95" customHeight="1" x14ac:dyDescent="0.25">
      <c r="A261" s="30">
        <v>248</v>
      </c>
      <c r="B261" s="24" t="s">
        <v>1468</v>
      </c>
      <c r="C261" s="213" t="s">
        <v>1469</v>
      </c>
      <c r="D261" s="214"/>
      <c r="E261" s="214"/>
      <c r="F261" s="215"/>
      <c r="G261" s="31" t="s">
        <v>1471</v>
      </c>
      <c r="H261" s="24" t="s">
        <v>1470</v>
      </c>
      <c r="I261" s="32">
        <v>0</v>
      </c>
      <c r="J261" s="32">
        <v>1</v>
      </c>
      <c r="K261" s="32">
        <v>0</v>
      </c>
      <c r="L261" s="32">
        <v>0</v>
      </c>
      <c r="M261" s="32">
        <v>0</v>
      </c>
      <c r="N261" s="32">
        <v>0</v>
      </c>
      <c r="O261" s="216" t="s">
        <v>1472</v>
      </c>
      <c r="P261" s="217"/>
      <c r="Q261" s="217"/>
      <c r="R261" s="218"/>
      <c r="S261" s="28" t="s">
        <v>384</v>
      </c>
      <c r="T261" s="20">
        <v>32</v>
      </c>
    </row>
    <row r="262" spans="1:20" ht="180" customHeight="1" x14ac:dyDescent="0.25">
      <c r="A262" s="21">
        <v>249</v>
      </c>
      <c r="B262" s="24" t="s">
        <v>1473</v>
      </c>
      <c r="C262" s="213" t="s">
        <v>1474</v>
      </c>
      <c r="D262" s="214"/>
      <c r="E262" s="214"/>
      <c r="F262" s="215"/>
      <c r="G262" s="31" t="s">
        <v>1476</v>
      </c>
      <c r="H262" s="24" t="s">
        <v>1475</v>
      </c>
      <c r="I262" s="32">
        <v>0</v>
      </c>
      <c r="J262" s="32">
        <v>1</v>
      </c>
      <c r="K262" s="32">
        <v>0</v>
      </c>
      <c r="L262" s="32">
        <v>0</v>
      </c>
      <c r="M262" s="32">
        <v>0</v>
      </c>
      <c r="N262" s="32">
        <v>0</v>
      </c>
      <c r="O262" s="216" t="s">
        <v>1478</v>
      </c>
      <c r="P262" s="217"/>
      <c r="Q262" s="217"/>
      <c r="R262" s="218"/>
      <c r="S262" s="28" t="s">
        <v>1477</v>
      </c>
      <c r="T262" s="20">
        <v>33</v>
      </c>
    </row>
    <row r="263" spans="1:20" ht="174.95" customHeight="1" x14ac:dyDescent="0.25">
      <c r="A263" s="30">
        <v>250</v>
      </c>
      <c r="B263" s="24" t="s">
        <v>1479</v>
      </c>
      <c r="C263" s="213" t="s">
        <v>1480</v>
      </c>
      <c r="D263" s="214"/>
      <c r="E263" s="214"/>
      <c r="F263" s="215"/>
      <c r="G263" s="31" t="s">
        <v>1482</v>
      </c>
      <c r="H263" s="24" t="s">
        <v>1481</v>
      </c>
      <c r="I263" s="32">
        <v>0</v>
      </c>
      <c r="J263" s="32">
        <v>1</v>
      </c>
      <c r="K263" s="32">
        <v>0</v>
      </c>
      <c r="L263" s="32">
        <v>0</v>
      </c>
      <c r="M263" s="32">
        <v>0</v>
      </c>
      <c r="N263" s="32">
        <v>0</v>
      </c>
      <c r="O263" s="216" t="s">
        <v>1215</v>
      </c>
      <c r="P263" s="217"/>
      <c r="Q263" s="217"/>
      <c r="R263" s="218"/>
      <c r="S263" s="28" t="s">
        <v>384</v>
      </c>
      <c r="T263" s="20">
        <v>34</v>
      </c>
    </row>
    <row r="264" spans="1:20" ht="174.95" customHeight="1" x14ac:dyDescent="0.25">
      <c r="A264" s="21">
        <v>251</v>
      </c>
      <c r="B264" s="24" t="s">
        <v>1483</v>
      </c>
      <c r="C264" s="213" t="s">
        <v>1484</v>
      </c>
      <c r="D264" s="214"/>
      <c r="E264" s="214"/>
      <c r="F264" s="215"/>
      <c r="G264" s="31" t="s">
        <v>1486</v>
      </c>
      <c r="H264" s="24" t="s">
        <v>1485</v>
      </c>
      <c r="I264" s="32">
        <v>1</v>
      </c>
      <c r="J264" s="32">
        <v>0</v>
      </c>
      <c r="K264" s="32">
        <v>0</v>
      </c>
      <c r="L264" s="32">
        <v>0</v>
      </c>
      <c r="M264" s="32">
        <v>0</v>
      </c>
      <c r="N264" s="32">
        <v>0</v>
      </c>
      <c r="O264" s="216" t="s">
        <v>1487</v>
      </c>
      <c r="P264" s="217"/>
      <c r="Q264" s="217"/>
      <c r="R264" s="218"/>
      <c r="S264" s="28" t="s">
        <v>375</v>
      </c>
      <c r="T264" s="20">
        <v>35</v>
      </c>
    </row>
    <row r="265" spans="1:20" ht="174.95" customHeight="1" x14ac:dyDescent="0.25">
      <c r="A265" s="30">
        <v>252</v>
      </c>
      <c r="B265" s="24" t="s">
        <v>1488</v>
      </c>
      <c r="C265" s="213" t="s">
        <v>1489</v>
      </c>
      <c r="D265" s="214"/>
      <c r="E265" s="214"/>
      <c r="F265" s="215"/>
      <c r="G265" s="31" t="s">
        <v>1491</v>
      </c>
      <c r="H265" s="24" t="s">
        <v>1490</v>
      </c>
      <c r="I265" s="32">
        <v>1</v>
      </c>
      <c r="J265" s="32">
        <v>0</v>
      </c>
      <c r="K265" s="32">
        <v>0</v>
      </c>
      <c r="L265" s="32">
        <v>0</v>
      </c>
      <c r="M265" s="32">
        <v>0</v>
      </c>
      <c r="N265" s="32">
        <v>0</v>
      </c>
      <c r="O265" s="216" t="s">
        <v>1066</v>
      </c>
      <c r="P265" s="217"/>
      <c r="Q265" s="217"/>
      <c r="R265" s="218"/>
      <c r="S265" s="28" t="s">
        <v>50</v>
      </c>
      <c r="T265" s="20">
        <v>1</v>
      </c>
    </row>
    <row r="266" spans="1:20" ht="174.95" customHeight="1" x14ac:dyDescent="0.25">
      <c r="A266" s="21">
        <v>253</v>
      </c>
      <c r="B266" s="24" t="s">
        <v>1492</v>
      </c>
      <c r="C266" s="213" t="s">
        <v>1493</v>
      </c>
      <c r="D266" s="214"/>
      <c r="E266" s="214"/>
      <c r="F266" s="215"/>
      <c r="G266" s="31" t="s">
        <v>1495</v>
      </c>
      <c r="H266" s="24" t="s">
        <v>1494</v>
      </c>
      <c r="I266" s="32">
        <v>1</v>
      </c>
      <c r="J266" s="32">
        <v>0</v>
      </c>
      <c r="K266" s="32">
        <v>0</v>
      </c>
      <c r="L266" s="32">
        <v>0</v>
      </c>
      <c r="M266" s="32">
        <v>0</v>
      </c>
      <c r="N266" s="32">
        <v>0</v>
      </c>
      <c r="O266" s="216" t="s">
        <v>1496</v>
      </c>
      <c r="P266" s="217"/>
      <c r="Q266" s="217"/>
      <c r="R266" s="218"/>
      <c r="S266" s="28" t="s">
        <v>46</v>
      </c>
      <c r="T266" s="20">
        <v>2</v>
      </c>
    </row>
    <row r="267" spans="1:20" ht="174.95" customHeight="1" x14ac:dyDescent="0.25">
      <c r="A267" s="30">
        <v>254</v>
      </c>
      <c r="B267" s="24" t="s">
        <v>1497</v>
      </c>
      <c r="C267" s="213" t="s">
        <v>356</v>
      </c>
      <c r="D267" s="214"/>
      <c r="E267" s="214"/>
      <c r="F267" s="215"/>
      <c r="G267" s="31" t="s">
        <v>1499</v>
      </c>
      <c r="H267" s="24" t="s">
        <v>1498</v>
      </c>
      <c r="I267" s="32">
        <v>0</v>
      </c>
      <c r="J267" s="32">
        <v>1</v>
      </c>
      <c r="K267" s="32">
        <v>0</v>
      </c>
      <c r="L267" s="32">
        <v>0</v>
      </c>
      <c r="M267" s="32">
        <v>0</v>
      </c>
      <c r="N267" s="32">
        <v>0</v>
      </c>
      <c r="O267" s="216" t="s">
        <v>733</v>
      </c>
      <c r="P267" s="217"/>
      <c r="Q267" s="217"/>
      <c r="R267" s="218"/>
      <c r="S267" s="28" t="s">
        <v>1500</v>
      </c>
      <c r="T267" s="20">
        <v>3</v>
      </c>
    </row>
    <row r="268" spans="1:20" ht="174.95" customHeight="1" x14ac:dyDescent="0.25">
      <c r="A268" s="21">
        <v>255</v>
      </c>
      <c r="B268" s="24" t="s">
        <v>1497</v>
      </c>
      <c r="C268" s="213" t="s">
        <v>1501</v>
      </c>
      <c r="D268" s="214"/>
      <c r="E268" s="214"/>
      <c r="F268" s="215"/>
      <c r="G268" s="31" t="s">
        <v>1503</v>
      </c>
      <c r="H268" s="24" t="s">
        <v>1502</v>
      </c>
      <c r="I268" s="32">
        <v>1</v>
      </c>
      <c r="J268" s="32">
        <v>0</v>
      </c>
      <c r="K268" s="32">
        <v>0</v>
      </c>
      <c r="L268" s="32">
        <v>0</v>
      </c>
      <c r="M268" s="32">
        <v>0</v>
      </c>
      <c r="N268" s="32">
        <v>0</v>
      </c>
      <c r="O268" s="216" t="s">
        <v>1504</v>
      </c>
      <c r="P268" s="217"/>
      <c r="Q268" s="217"/>
      <c r="R268" s="218"/>
      <c r="S268" s="28" t="s">
        <v>374</v>
      </c>
      <c r="T268" s="20">
        <v>4</v>
      </c>
    </row>
    <row r="269" spans="1:20" ht="174.95" customHeight="1" x14ac:dyDescent="0.25">
      <c r="A269" s="30">
        <v>256</v>
      </c>
      <c r="B269" s="24" t="s">
        <v>1505</v>
      </c>
      <c r="C269" s="213" t="s">
        <v>1506</v>
      </c>
      <c r="D269" s="214"/>
      <c r="E269" s="214"/>
      <c r="F269" s="215"/>
      <c r="G269" s="31" t="s">
        <v>1508</v>
      </c>
      <c r="H269" s="24" t="s">
        <v>1507</v>
      </c>
      <c r="I269" s="32">
        <v>1</v>
      </c>
      <c r="J269" s="32">
        <v>0</v>
      </c>
      <c r="K269" s="32">
        <v>0</v>
      </c>
      <c r="L269" s="32">
        <v>0</v>
      </c>
      <c r="M269" s="32">
        <v>0</v>
      </c>
      <c r="N269" s="32">
        <v>0</v>
      </c>
      <c r="O269" s="216" t="s">
        <v>749</v>
      </c>
      <c r="P269" s="217"/>
      <c r="Q269" s="217"/>
      <c r="R269" s="218"/>
      <c r="S269" s="28" t="s">
        <v>374</v>
      </c>
      <c r="T269" s="20">
        <v>5</v>
      </c>
    </row>
    <row r="270" spans="1:20" ht="174.95" customHeight="1" x14ac:dyDescent="0.25">
      <c r="A270" s="21">
        <v>257</v>
      </c>
      <c r="B270" s="24" t="s">
        <v>1505</v>
      </c>
      <c r="C270" s="213" t="s">
        <v>1509</v>
      </c>
      <c r="D270" s="214"/>
      <c r="E270" s="214"/>
      <c r="F270" s="215"/>
      <c r="G270" s="31" t="s">
        <v>1511</v>
      </c>
      <c r="H270" s="24" t="s">
        <v>1510</v>
      </c>
      <c r="I270" s="32">
        <v>1</v>
      </c>
      <c r="J270" s="32">
        <v>0</v>
      </c>
      <c r="K270" s="32">
        <v>0</v>
      </c>
      <c r="L270" s="32">
        <v>0</v>
      </c>
      <c r="M270" s="32">
        <v>0</v>
      </c>
      <c r="N270" s="32">
        <v>0</v>
      </c>
      <c r="O270" s="216" t="s">
        <v>1512</v>
      </c>
      <c r="P270" s="217"/>
      <c r="Q270" s="217"/>
      <c r="R270" s="218"/>
      <c r="S270" s="28" t="s">
        <v>53</v>
      </c>
      <c r="T270" s="20">
        <v>6</v>
      </c>
    </row>
    <row r="271" spans="1:20" ht="174.95" customHeight="1" x14ac:dyDescent="0.25">
      <c r="A271" s="30">
        <v>258</v>
      </c>
      <c r="B271" s="24" t="s">
        <v>1513</v>
      </c>
      <c r="C271" s="213" t="s">
        <v>1514</v>
      </c>
      <c r="D271" s="214"/>
      <c r="E271" s="214"/>
      <c r="F271" s="215"/>
      <c r="G271" s="31" t="s">
        <v>1516</v>
      </c>
      <c r="H271" s="24" t="s">
        <v>1515</v>
      </c>
      <c r="I271" s="32">
        <v>1</v>
      </c>
      <c r="J271" s="32">
        <v>0</v>
      </c>
      <c r="K271" s="32">
        <v>0</v>
      </c>
      <c r="L271" s="32">
        <v>0</v>
      </c>
      <c r="M271" s="32">
        <v>0</v>
      </c>
      <c r="N271" s="32">
        <v>0</v>
      </c>
      <c r="O271" s="216" t="s">
        <v>1517</v>
      </c>
      <c r="P271" s="217"/>
      <c r="Q271" s="217"/>
      <c r="R271" s="218"/>
      <c r="S271" s="28" t="s">
        <v>377</v>
      </c>
      <c r="T271" s="20">
        <v>7</v>
      </c>
    </row>
    <row r="272" spans="1:20" ht="204" customHeight="1" x14ac:dyDescent="0.25">
      <c r="A272" s="21">
        <v>259</v>
      </c>
      <c r="B272" s="24" t="s">
        <v>1518</v>
      </c>
      <c r="C272" s="213" t="s">
        <v>1519</v>
      </c>
      <c r="D272" s="214"/>
      <c r="E272" s="214"/>
      <c r="F272" s="215"/>
      <c r="G272" s="31" t="s">
        <v>1521</v>
      </c>
      <c r="H272" s="24" t="s">
        <v>1520</v>
      </c>
      <c r="I272" s="32">
        <v>1</v>
      </c>
      <c r="J272" s="32">
        <v>0</v>
      </c>
      <c r="K272" s="32">
        <v>0</v>
      </c>
      <c r="L272" s="32">
        <v>0</v>
      </c>
      <c r="M272" s="32">
        <v>0</v>
      </c>
      <c r="N272" s="32">
        <v>0</v>
      </c>
      <c r="O272" s="216" t="s">
        <v>733</v>
      </c>
      <c r="P272" s="217"/>
      <c r="Q272" s="217"/>
      <c r="R272" s="218"/>
      <c r="S272" s="28" t="s">
        <v>374</v>
      </c>
      <c r="T272" s="20">
        <v>8</v>
      </c>
    </row>
    <row r="273" spans="1:20" ht="174.95" customHeight="1" x14ac:dyDescent="0.25">
      <c r="A273" s="30">
        <v>260</v>
      </c>
      <c r="B273" s="24" t="s">
        <v>1518</v>
      </c>
      <c r="C273" s="213" t="s">
        <v>1522</v>
      </c>
      <c r="D273" s="214"/>
      <c r="E273" s="214"/>
      <c r="F273" s="215"/>
      <c r="G273" s="31" t="s">
        <v>1524</v>
      </c>
      <c r="H273" s="24" t="s">
        <v>1523</v>
      </c>
      <c r="I273" s="32">
        <v>1</v>
      </c>
      <c r="J273" s="32">
        <v>0</v>
      </c>
      <c r="K273" s="32">
        <v>0</v>
      </c>
      <c r="L273" s="32">
        <v>0</v>
      </c>
      <c r="M273" s="32">
        <v>0</v>
      </c>
      <c r="N273" s="32">
        <v>0</v>
      </c>
      <c r="O273" s="216" t="s">
        <v>1241</v>
      </c>
      <c r="P273" s="217"/>
      <c r="Q273" s="217"/>
      <c r="R273" s="218"/>
      <c r="S273" s="28" t="s">
        <v>375</v>
      </c>
      <c r="T273" s="20">
        <v>9</v>
      </c>
    </row>
    <row r="274" spans="1:20" ht="174.95" customHeight="1" x14ac:dyDescent="0.25">
      <c r="A274" s="21">
        <v>261</v>
      </c>
      <c r="B274" s="24" t="s">
        <v>1525</v>
      </c>
      <c r="C274" s="213" t="s">
        <v>1526</v>
      </c>
      <c r="D274" s="214"/>
      <c r="E274" s="214"/>
      <c r="F274" s="215"/>
      <c r="G274" s="31" t="s">
        <v>1528</v>
      </c>
      <c r="H274" s="24" t="s">
        <v>1527</v>
      </c>
      <c r="I274" s="32">
        <v>1</v>
      </c>
      <c r="J274" s="32">
        <v>0</v>
      </c>
      <c r="K274" s="32">
        <v>0</v>
      </c>
      <c r="L274" s="32">
        <v>0</v>
      </c>
      <c r="M274" s="32">
        <v>0</v>
      </c>
      <c r="N274" s="32">
        <v>0</v>
      </c>
      <c r="O274" s="216" t="s">
        <v>627</v>
      </c>
      <c r="P274" s="217"/>
      <c r="Q274" s="217"/>
      <c r="R274" s="218"/>
      <c r="S274" s="28" t="s">
        <v>374</v>
      </c>
      <c r="T274" s="20">
        <v>10</v>
      </c>
    </row>
    <row r="275" spans="1:20" ht="174.95" customHeight="1" x14ac:dyDescent="0.25">
      <c r="A275" s="30">
        <v>262</v>
      </c>
      <c r="B275" s="24" t="s">
        <v>1525</v>
      </c>
      <c r="C275" s="213" t="s">
        <v>1529</v>
      </c>
      <c r="D275" s="214"/>
      <c r="E275" s="214"/>
      <c r="F275" s="215"/>
      <c r="G275" s="31" t="s">
        <v>1531</v>
      </c>
      <c r="H275" s="24" t="s">
        <v>1530</v>
      </c>
      <c r="I275" s="32">
        <v>1</v>
      </c>
      <c r="J275" s="32">
        <v>0</v>
      </c>
      <c r="K275" s="32">
        <v>0</v>
      </c>
      <c r="L275" s="32">
        <v>0</v>
      </c>
      <c r="M275" s="32">
        <v>0</v>
      </c>
      <c r="N275" s="32">
        <v>0</v>
      </c>
      <c r="O275" s="216" t="s">
        <v>1066</v>
      </c>
      <c r="P275" s="217"/>
      <c r="Q275" s="217"/>
      <c r="R275" s="218"/>
      <c r="S275" s="28" t="s">
        <v>374</v>
      </c>
      <c r="T275" s="20">
        <v>11</v>
      </c>
    </row>
    <row r="276" spans="1:20" ht="174.95" customHeight="1" x14ac:dyDescent="0.25">
      <c r="A276" s="21">
        <v>263</v>
      </c>
      <c r="B276" s="24" t="s">
        <v>1532</v>
      </c>
      <c r="C276" s="213" t="s">
        <v>1533</v>
      </c>
      <c r="D276" s="214"/>
      <c r="E276" s="214"/>
      <c r="F276" s="215"/>
      <c r="G276" s="31" t="s">
        <v>1535</v>
      </c>
      <c r="H276" s="24" t="s">
        <v>1534</v>
      </c>
      <c r="I276" s="32">
        <v>1</v>
      </c>
      <c r="J276" s="32">
        <v>0</v>
      </c>
      <c r="K276" s="32">
        <v>0</v>
      </c>
      <c r="L276" s="32">
        <v>0</v>
      </c>
      <c r="M276" s="32">
        <v>0</v>
      </c>
      <c r="N276" s="32">
        <v>0</v>
      </c>
      <c r="O276" s="216" t="s">
        <v>632</v>
      </c>
      <c r="P276" s="217"/>
      <c r="Q276" s="217"/>
      <c r="R276" s="218"/>
      <c r="S276" s="28" t="s">
        <v>374</v>
      </c>
      <c r="T276" s="20">
        <v>12</v>
      </c>
    </row>
    <row r="277" spans="1:20" ht="174.95" customHeight="1" x14ac:dyDescent="0.25">
      <c r="A277" s="30">
        <v>264</v>
      </c>
      <c r="B277" s="24" t="s">
        <v>1532</v>
      </c>
      <c r="C277" s="213" t="s">
        <v>1536</v>
      </c>
      <c r="D277" s="214"/>
      <c r="E277" s="214"/>
      <c r="F277" s="215"/>
      <c r="G277" s="31" t="s">
        <v>1538</v>
      </c>
      <c r="H277" s="24" t="s">
        <v>1537</v>
      </c>
      <c r="I277" s="32">
        <v>1</v>
      </c>
      <c r="J277" s="32">
        <v>0</v>
      </c>
      <c r="K277" s="32">
        <v>0</v>
      </c>
      <c r="L277" s="32">
        <v>0</v>
      </c>
      <c r="M277" s="32">
        <v>0</v>
      </c>
      <c r="N277" s="32">
        <v>0</v>
      </c>
      <c r="O277" s="216" t="s">
        <v>1539</v>
      </c>
      <c r="P277" s="217"/>
      <c r="Q277" s="217"/>
      <c r="R277" s="218"/>
      <c r="S277" s="28" t="s">
        <v>374</v>
      </c>
      <c r="T277" s="20">
        <v>13</v>
      </c>
    </row>
    <row r="278" spans="1:20" ht="174.95" customHeight="1" x14ac:dyDescent="0.25">
      <c r="A278" s="21">
        <v>265</v>
      </c>
      <c r="B278" s="24" t="s">
        <v>1540</v>
      </c>
      <c r="C278" s="213" t="s">
        <v>1541</v>
      </c>
      <c r="D278" s="214"/>
      <c r="E278" s="214"/>
      <c r="F278" s="215"/>
      <c r="G278" s="31" t="s">
        <v>1543</v>
      </c>
      <c r="H278" s="24" t="s">
        <v>1542</v>
      </c>
      <c r="I278" s="32">
        <v>1</v>
      </c>
      <c r="J278" s="32">
        <v>0</v>
      </c>
      <c r="K278" s="32">
        <v>0</v>
      </c>
      <c r="L278" s="32">
        <v>0</v>
      </c>
      <c r="M278" s="32">
        <v>0</v>
      </c>
      <c r="N278" s="32">
        <v>0</v>
      </c>
      <c r="O278" s="216" t="s">
        <v>733</v>
      </c>
      <c r="P278" s="217"/>
      <c r="Q278" s="217"/>
      <c r="R278" s="218"/>
      <c r="S278" s="28" t="s">
        <v>375</v>
      </c>
      <c r="T278" s="20">
        <v>14</v>
      </c>
    </row>
    <row r="279" spans="1:20" ht="174.95" customHeight="1" x14ac:dyDescent="0.25">
      <c r="A279" s="30">
        <v>266</v>
      </c>
      <c r="B279" s="24" t="s">
        <v>1540</v>
      </c>
      <c r="C279" s="213" t="s">
        <v>1544</v>
      </c>
      <c r="D279" s="214"/>
      <c r="E279" s="214"/>
      <c r="F279" s="215"/>
      <c r="G279" s="31" t="s">
        <v>1546</v>
      </c>
      <c r="H279" s="24" t="s">
        <v>1545</v>
      </c>
      <c r="I279" s="32">
        <v>0</v>
      </c>
      <c r="J279" s="32">
        <v>1</v>
      </c>
      <c r="K279" s="32">
        <v>0</v>
      </c>
      <c r="L279" s="32">
        <v>0</v>
      </c>
      <c r="M279" s="32">
        <v>0</v>
      </c>
      <c r="N279" s="32">
        <v>0</v>
      </c>
      <c r="O279" s="216" t="s">
        <v>1547</v>
      </c>
      <c r="P279" s="217"/>
      <c r="Q279" s="217"/>
      <c r="R279" s="218"/>
      <c r="S279" s="28" t="s">
        <v>384</v>
      </c>
      <c r="T279" s="20">
        <v>15</v>
      </c>
    </row>
    <row r="280" spans="1:20" ht="174.95" customHeight="1" x14ac:dyDescent="0.25">
      <c r="A280" s="21">
        <v>267</v>
      </c>
      <c r="B280" s="24" t="s">
        <v>1548</v>
      </c>
      <c r="C280" s="213" t="s">
        <v>1549</v>
      </c>
      <c r="D280" s="214"/>
      <c r="E280" s="214"/>
      <c r="F280" s="215"/>
      <c r="G280" s="31" t="s">
        <v>1551</v>
      </c>
      <c r="H280" s="24" t="s">
        <v>1550</v>
      </c>
      <c r="I280" s="32">
        <v>0</v>
      </c>
      <c r="J280" s="32">
        <v>1</v>
      </c>
      <c r="K280" s="32">
        <v>0</v>
      </c>
      <c r="L280" s="32">
        <v>0</v>
      </c>
      <c r="M280" s="32">
        <v>0</v>
      </c>
      <c r="N280" s="32">
        <v>0</v>
      </c>
      <c r="O280" s="216" t="s">
        <v>1358</v>
      </c>
      <c r="P280" s="217"/>
      <c r="Q280" s="217"/>
      <c r="R280" s="218"/>
      <c r="S280" s="28" t="s">
        <v>385</v>
      </c>
      <c r="T280" s="20">
        <v>16</v>
      </c>
    </row>
    <row r="281" spans="1:20" ht="174.95" customHeight="1" x14ac:dyDescent="0.25">
      <c r="A281" s="30">
        <v>268</v>
      </c>
      <c r="B281" s="24" t="s">
        <v>1548</v>
      </c>
      <c r="C281" s="213" t="s">
        <v>1552</v>
      </c>
      <c r="D281" s="214"/>
      <c r="E281" s="214"/>
      <c r="F281" s="215"/>
      <c r="G281" s="31" t="s">
        <v>1554</v>
      </c>
      <c r="H281" s="24" t="s">
        <v>1553</v>
      </c>
      <c r="I281" s="32">
        <v>1</v>
      </c>
      <c r="J281" s="32">
        <v>0</v>
      </c>
      <c r="K281" s="32">
        <v>0</v>
      </c>
      <c r="L281" s="32">
        <v>0</v>
      </c>
      <c r="M281" s="32">
        <v>0</v>
      </c>
      <c r="N281" s="32">
        <v>0</v>
      </c>
      <c r="O281" s="216" t="s">
        <v>1319</v>
      </c>
      <c r="P281" s="217"/>
      <c r="Q281" s="217"/>
      <c r="R281" s="218"/>
      <c r="S281" s="28" t="s">
        <v>1555</v>
      </c>
      <c r="T281" s="20">
        <v>17</v>
      </c>
    </row>
    <row r="282" spans="1:20" ht="174.95" customHeight="1" x14ac:dyDescent="0.25">
      <c r="A282" s="21">
        <v>269</v>
      </c>
      <c r="B282" s="24" t="s">
        <v>1556</v>
      </c>
      <c r="C282" s="213" t="s">
        <v>1557</v>
      </c>
      <c r="D282" s="214"/>
      <c r="E282" s="214"/>
      <c r="F282" s="215"/>
      <c r="G282" s="31" t="s">
        <v>1559</v>
      </c>
      <c r="H282" s="24" t="s">
        <v>1558</v>
      </c>
      <c r="I282" s="32">
        <v>1</v>
      </c>
      <c r="J282" s="32">
        <v>0</v>
      </c>
      <c r="K282" s="32">
        <v>0</v>
      </c>
      <c r="L282" s="32">
        <v>0</v>
      </c>
      <c r="M282" s="32">
        <v>0</v>
      </c>
      <c r="N282" s="32">
        <v>0</v>
      </c>
      <c r="O282" s="216" t="s">
        <v>632</v>
      </c>
      <c r="P282" s="217"/>
      <c r="Q282" s="217"/>
      <c r="R282" s="218"/>
      <c r="S282" s="28" t="s">
        <v>46</v>
      </c>
      <c r="T282" s="20">
        <v>18</v>
      </c>
    </row>
    <row r="283" spans="1:20" ht="174.95" customHeight="1" x14ac:dyDescent="0.25">
      <c r="A283" s="30">
        <v>270</v>
      </c>
      <c r="B283" s="24" t="s">
        <v>1556</v>
      </c>
      <c r="C283" s="213" t="s">
        <v>1560</v>
      </c>
      <c r="D283" s="214"/>
      <c r="E283" s="214"/>
      <c r="F283" s="215"/>
      <c r="G283" s="31" t="s">
        <v>1562</v>
      </c>
      <c r="H283" s="24" t="s">
        <v>1561</v>
      </c>
      <c r="I283" s="32">
        <v>0</v>
      </c>
      <c r="J283" s="32">
        <v>1</v>
      </c>
      <c r="K283" s="32">
        <v>0</v>
      </c>
      <c r="L283" s="32">
        <v>0</v>
      </c>
      <c r="M283" s="32">
        <v>0</v>
      </c>
      <c r="N283" s="32">
        <v>0</v>
      </c>
      <c r="O283" s="216" t="s">
        <v>1210</v>
      </c>
      <c r="P283" s="217"/>
      <c r="Q283" s="217"/>
      <c r="R283" s="218"/>
      <c r="S283" s="28" t="s">
        <v>384</v>
      </c>
      <c r="T283" s="20">
        <v>19</v>
      </c>
    </row>
    <row r="284" spans="1:20" ht="183" customHeight="1" x14ac:dyDescent="0.25">
      <c r="A284" s="21">
        <v>271</v>
      </c>
      <c r="B284" s="24" t="s">
        <v>1563</v>
      </c>
      <c r="C284" s="213" t="s">
        <v>1564</v>
      </c>
      <c r="D284" s="214"/>
      <c r="E284" s="214"/>
      <c r="F284" s="215"/>
      <c r="G284" s="31" t="s">
        <v>1566</v>
      </c>
      <c r="H284" s="24" t="s">
        <v>1565</v>
      </c>
      <c r="I284" s="32">
        <v>0</v>
      </c>
      <c r="J284" s="32">
        <v>1</v>
      </c>
      <c r="K284" s="32">
        <v>0</v>
      </c>
      <c r="L284" s="32">
        <v>0</v>
      </c>
      <c r="M284" s="32">
        <v>0</v>
      </c>
      <c r="N284" s="32">
        <v>0</v>
      </c>
      <c r="O284" s="216" t="s">
        <v>733</v>
      </c>
      <c r="P284" s="217"/>
      <c r="Q284" s="217"/>
      <c r="R284" s="218"/>
      <c r="S284" s="28" t="s">
        <v>1567</v>
      </c>
      <c r="T284" s="20">
        <v>20</v>
      </c>
    </row>
    <row r="285" spans="1:20" ht="150" customHeight="1" x14ac:dyDescent="0.25">
      <c r="A285" s="30">
        <v>272</v>
      </c>
      <c r="B285" s="24" t="s">
        <v>1563</v>
      </c>
      <c r="C285" s="213" t="s">
        <v>1568</v>
      </c>
      <c r="D285" s="214"/>
      <c r="E285" s="214"/>
      <c r="F285" s="215"/>
      <c r="G285" s="31" t="s">
        <v>1570</v>
      </c>
      <c r="H285" s="24" t="s">
        <v>1569</v>
      </c>
      <c r="I285" s="32">
        <v>1</v>
      </c>
      <c r="J285" s="32">
        <v>0</v>
      </c>
      <c r="K285" s="32">
        <v>0</v>
      </c>
      <c r="L285" s="32">
        <v>0</v>
      </c>
      <c r="M285" s="32">
        <v>0</v>
      </c>
      <c r="N285" s="32">
        <v>0</v>
      </c>
      <c r="O285" s="216" t="s">
        <v>1571</v>
      </c>
      <c r="P285" s="217"/>
      <c r="Q285" s="217"/>
      <c r="R285" s="218"/>
      <c r="S285" s="28" t="s">
        <v>374</v>
      </c>
      <c r="T285" s="20">
        <v>21</v>
      </c>
    </row>
    <row r="286" spans="1:20" ht="150" customHeight="1" x14ac:dyDescent="0.25">
      <c r="A286" s="21">
        <v>273</v>
      </c>
      <c r="B286" s="24" t="s">
        <v>1572</v>
      </c>
      <c r="C286" s="213" t="s">
        <v>357</v>
      </c>
      <c r="D286" s="214"/>
      <c r="E286" s="214"/>
      <c r="F286" s="215"/>
      <c r="G286" s="31" t="s">
        <v>1574</v>
      </c>
      <c r="H286" s="24" t="s">
        <v>1573</v>
      </c>
      <c r="I286" s="32">
        <v>0</v>
      </c>
      <c r="J286" s="32">
        <v>1</v>
      </c>
      <c r="K286" s="32">
        <v>0</v>
      </c>
      <c r="L286" s="32">
        <v>0</v>
      </c>
      <c r="M286" s="32">
        <v>0</v>
      </c>
      <c r="N286" s="32">
        <v>0</v>
      </c>
      <c r="O286" s="216" t="s">
        <v>749</v>
      </c>
      <c r="P286" s="217"/>
      <c r="Q286" s="217"/>
      <c r="R286" s="218"/>
      <c r="S286" s="28" t="s">
        <v>384</v>
      </c>
      <c r="T286" s="20">
        <v>22</v>
      </c>
    </row>
    <row r="287" spans="1:20" ht="174.95" customHeight="1" x14ac:dyDescent="0.25">
      <c r="A287" s="30">
        <v>274</v>
      </c>
      <c r="B287" s="24" t="s">
        <v>1572</v>
      </c>
      <c r="C287" s="213" t="s">
        <v>1575</v>
      </c>
      <c r="D287" s="214"/>
      <c r="E287" s="214"/>
      <c r="F287" s="215"/>
      <c r="G287" s="31" t="s">
        <v>1577</v>
      </c>
      <c r="H287" s="24" t="s">
        <v>1576</v>
      </c>
      <c r="I287" s="32">
        <v>1</v>
      </c>
      <c r="J287" s="32">
        <v>0</v>
      </c>
      <c r="K287" s="32">
        <v>0</v>
      </c>
      <c r="L287" s="32">
        <v>0</v>
      </c>
      <c r="M287" s="32">
        <v>0</v>
      </c>
      <c r="N287" s="32">
        <v>0</v>
      </c>
      <c r="O287" s="216" t="s">
        <v>1578</v>
      </c>
      <c r="P287" s="217"/>
      <c r="Q287" s="217"/>
      <c r="R287" s="218"/>
      <c r="S287" s="28" t="s">
        <v>46</v>
      </c>
      <c r="T287" s="20">
        <v>23</v>
      </c>
    </row>
    <row r="288" spans="1:20" ht="174.95" customHeight="1" x14ac:dyDescent="0.25">
      <c r="A288" s="21">
        <v>275</v>
      </c>
      <c r="B288" s="24" t="s">
        <v>1579</v>
      </c>
      <c r="C288" s="213" t="s">
        <v>567</v>
      </c>
      <c r="D288" s="214"/>
      <c r="E288" s="214"/>
      <c r="F288" s="215"/>
      <c r="G288" s="31" t="s">
        <v>1581</v>
      </c>
      <c r="H288" s="24" t="s">
        <v>1580</v>
      </c>
      <c r="I288" s="32">
        <v>1</v>
      </c>
      <c r="J288" s="32">
        <v>0</v>
      </c>
      <c r="K288" s="32">
        <v>0</v>
      </c>
      <c r="L288" s="32">
        <v>0</v>
      </c>
      <c r="M288" s="32">
        <v>0</v>
      </c>
      <c r="N288" s="32">
        <v>0</v>
      </c>
      <c r="O288" s="216" t="s">
        <v>884</v>
      </c>
      <c r="P288" s="217"/>
      <c r="Q288" s="217"/>
      <c r="R288" s="218"/>
      <c r="S288" s="28" t="s">
        <v>374</v>
      </c>
      <c r="T288" s="20">
        <v>24</v>
      </c>
    </row>
    <row r="289" spans="1:20" ht="174.95" customHeight="1" x14ac:dyDescent="0.25">
      <c r="A289" s="30">
        <v>276</v>
      </c>
      <c r="B289" s="24" t="s">
        <v>1579</v>
      </c>
      <c r="C289" s="213" t="s">
        <v>1582</v>
      </c>
      <c r="D289" s="214"/>
      <c r="E289" s="214"/>
      <c r="F289" s="215"/>
      <c r="G289" s="31" t="s">
        <v>1584</v>
      </c>
      <c r="H289" s="24" t="s">
        <v>1583</v>
      </c>
      <c r="I289" s="32">
        <v>1</v>
      </c>
      <c r="J289" s="32">
        <v>0</v>
      </c>
      <c r="K289" s="32">
        <v>0</v>
      </c>
      <c r="L289" s="32">
        <v>0</v>
      </c>
      <c r="M289" s="32">
        <v>0</v>
      </c>
      <c r="N289" s="32">
        <v>0</v>
      </c>
      <c r="O289" s="216" t="s">
        <v>1305</v>
      </c>
      <c r="P289" s="217"/>
      <c r="Q289" s="217"/>
      <c r="R289" s="218"/>
      <c r="S289" s="28" t="s">
        <v>1555</v>
      </c>
      <c r="T289" s="20">
        <v>25</v>
      </c>
    </row>
    <row r="290" spans="1:20" ht="174.95" customHeight="1" x14ac:dyDescent="0.25">
      <c r="A290" s="21">
        <v>277</v>
      </c>
      <c r="B290" s="24" t="s">
        <v>1585</v>
      </c>
      <c r="C290" s="213" t="s">
        <v>1586</v>
      </c>
      <c r="D290" s="214"/>
      <c r="E290" s="214"/>
      <c r="F290" s="215"/>
      <c r="G290" s="31" t="s">
        <v>1588</v>
      </c>
      <c r="H290" s="24" t="s">
        <v>1587</v>
      </c>
      <c r="I290" s="32">
        <v>1</v>
      </c>
      <c r="J290" s="32">
        <v>0</v>
      </c>
      <c r="K290" s="32">
        <v>0</v>
      </c>
      <c r="L290" s="32">
        <v>0</v>
      </c>
      <c r="M290" s="32">
        <v>0</v>
      </c>
      <c r="N290" s="32">
        <v>0</v>
      </c>
      <c r="O290" s="216" t="s">
        <v>733</v>
      </c>
      <c r="P290" s="217"/>
      <c r="Q290" s="217"/>
      <c r="R290" s="218"/>
      <c r="S290" s="28" t="s">
        <v>374</v>
      </c>
      <c r="T290" s="20">
        <v>26</v>
      </c>
    </row>
    <row r="291" spans="1:20" ht="174.95" customHeight="1" x14ac:dyDescent="0.25">
      <c r="A291" s="30">
        <v>278</v>
      </c>
      <c r="B291" s="24" t="s">
        <v>1585</v>
      </c>
      <c r="C291" s="213" t="s">
        <v>1589</v>
      </c>
      <c r="D291" s="214"/>
      <c r="E291" s="214"/>
      <c r="F291" s="215"/>
      <c r="G291" s="31" t="s">
        <v>1591</v>
      </c>
      <c r="H291" s="24" t="s">
        <v>1590</v>
      </c>
      <c r="I291" s="32">
        <v>1</v>
      </c>
      <c r="J291" s="32">
        <v>0</v>
      </c>
      <c r="K291" s="32">
        <v>0</v>
      </c>
      <c r="L291" s="32">
        <v>0</v>
      </c>
      <c r="M291" s="32">
        <v>0</v>
      </c>
      <c r="N291" s="32">
        <v>0</v>
      </c>
      <c r="O291" s="216" t="s">
        <v>1592</v>
      </c>
      <c r="P291" s="217"/>
      <c r="Q291" s="217"/>
      <c r="R291" s="218"/>
      <c r="S291" s="28" t="s">
        <v>46</v>
      </c>
      <c r="T291" s="20">
        <v>27</v>
      </c>
    </row>
    <row r="292" spans="1:20" ht="174.95" customHeight="1" x14ac:dyDescent="0.25">
      <c r="A292" s="21">
        <v>279</v>
      </c>
      <c r="B292" s="24" t="s">
        <v>1593</v>
      </c>
      <c r="C292" s="213" t="s">
        <v>1594</v>
      </c>
      <c r="D292" s="214"/>
      <c r="E292" s="214"/>
      <c r="F292" s="215"/>
      <c r="G292" s="31" t="s">
        <v>1596</v>
      </c>
      <c r="H292" s="24" t="s">
        <v>1595</v>
      </c>
      <c r="I292" s="32">
        <v>0</v>
      </c>
      <c r="J292" s="32">
        <v>1</v>
      </c>
      <c r="K292" s="32">
        <v>0</v>
      </c>
      <c r="L292" s="32">
        <v>0</v>
      </c>
      <c r="M292" s="32">
        <v>0</v>
      </c>
      <c r="N292" s="32">
        <v>0</v>
      </c>
      <c r="O292" s="216" t="s">
        <v>749</v>
      </c>
      <c r="P292" s="217"/>
      <c r="Q292" s="217"/>
      <c r="R292" s="218"/>
      <c r="S292" s="28" t="s">
        <v>1597</v>
      </c>
      <c r="T292" s="20">
        <v>28</v>
      </c>
    </row>
    <row r="293" spans="1:20" ht="174.95" customHeight="1" x14ac:dyDescent="0.25">
      <c r="A293" s="30">
        <v>280</v>
      </c>
      <c r="B293" s="24" t="s">
        <v>1593</v>
      </c>
      <c r="C293" s="213" t="s">
        <v>1598</v>
      </c>
      <c r="D293" s="214"/>
      <c r="E293" s="214"/>
      <c r="F293" s="215"/>
      <c r="G293" s="31" t="s">
        <v>1600</v>
      </c>
      <c r="H293" s="24" t="s">
        <v>1599</v>
      </c>
      <c r="I293" s="32">
        <v>1</v>
      </c>
      <c r="J293" s="32">
        <v>0</v>
      </c>
      <c r="K293" s="32">
        <v>0</v>
      </c>
      <c r="L293" s="32">
        <v>0</v>
      </c>
      <c r="M293" s="32">
        <v>0</v>
      </c>
      <c r="N293" s="32">
        <v>0</v>
      </c>
      <c r="O293" s="216" t="s">
        <v>1319</v>
      </c>
      <c r="P293" s="217"/>
      <c r="Q293" s="217"/>
      <c r="R293" s="218"/>
      <c r="S293" s="28" t="s">
        <v>377</v>
      </c>
      <c r="T293" s="20">
        <v>29</v>
      </c>
    </row>
    <row r="294" spans="1:20" ht="174.95" customHeight="1" x14ac:dyDescent="0.25">
      <c r="A294" s="21">
        <v>281</v>
      </c>
      <c r="B294" s="24" t="s">
        <v>1601</v>
      </c>
      <c r="C294" s="213" t="s">
        <v>363</v>
      </c>
      <c r="D294" s="214"/>
      <c r="E294" s="214"/>
      <c r="F294" s="215"/>
      <c r="G294" s="31" t="s">
        <v>1603</v>
      </c>
      <c r="H294" s="24" t="s">
        <v>1602</v>
      </c>
      <c r="I294" s="32">
        <v>1</v>
      </c>
      <c r="J294" s="32">
        <v>0</v>
      </c>
      <c r="K294" s="32">
        <v>0</v>
      </c>
      <c r="L294" s="32">
        <v>0</v>
      </c>
      <c r="M294" s="32">
        <v>0</v>
      </c>
      <c r="N294" s="32">
        <v>0</v>
      </c>
      <c r="O294" s="216" t="s">
        <v>632</v>
      </c>
      <c r="P294" s="217"/>
      <c r="Q294" s="217"/>
      <c r="R294" s="218"/>
      <c r="S294" s="28" t="s">
        <v>46</v>
      </c>
      <c r="T294" s="20">
        <v>30</v>
      </c>
    </row>
    <row r="295" spans="1:20" ht="174.95" customHeight="1" x14ac:dyDescent="0.25">
      <c r="A295" s="30">
        <v>282</v>
      </c>
      <c r="B295" s="24" t="s">
        <v>1601</v>
      </c>
      <c r="C295" s="213" t="s">
        <v>1604</v>
      </c>
      <c r="D295" s="214"/>
      <c r="E295" s="214"/>
      <c r="F295" s="215"/>
      <c r="G295" s="31" t="s">
        <v>1606</v>
      </c>
      <c r="H295" s="24" t="s">
        <v>1605</v>
      </c>
      <c r="I295" s="32">
        <v>1</v>
      </c>
      <c r="J295" s="32">
        <v>0</v>
      </c>
      <c r="K295" s="32">
        <v>0</v>
      </c>
      <c r="L295" s="32">
        <v>0</v>
      </c>
      <c r="M295" s="32">
        <v>0</v>
      </c>
      <c r="N295" s="32">
        <v>0</v>
      </c>
      <c r="O295" s="216" t="s">
        <v>1517</v>
      </c>
      <c r="P295" s="217"/>
      <c r="Q295" s="217"/>
      <c r="R295" s="218"/>
      <c r="S295" s="28" t="s">
        <v>379</v>
      </c>
      <c r="T295" s="20">
        <v>31</v>
      </c>
    </row>
    <row r="296" spans="1:20" ht="174.95" customHeight="1" x14ac:dyDescent="0.25">
      <c r="A296" s="21">
        <v>283</v>
      </c>
      <c r="B296" s="24" t="s">
        <v>1607</v>
      </c>
      <c r="C296" s="213" t="s">
        <v>1608</v>
      </c>
      <c r="D296" s="214"/>
      <c r="E296" s="214"/>
      <c r="F296" s="215"/>
      <c r="G296" s="31" t="s">
        <v>1610</v>
      </c>
      <c r="H296" s="24" t="s">
        <v>1609</v>
      </c>
      <c r="I296" s="32">
        <v>1</v>
      </c>
      <c r="J296" s="32">
        <v>0</v>
      </c>
      <c r="K296" s="32">
        <v>0</v>
      </c>
      <c r="L296" s="32">
        <v>0</v>
      </c>
      <c r="M296" s="32">
        <v>0</v>
      </c>
      <c r="N296" s="32">
        <v>0</v>
      </c>
      <c r="O296" s="216" t="s">
        <v>1467</v>
      </c>
      <c r="P296" s="217"/>
      <c r="Q296" s="217"/>
      <c r="R296" s="218"/>
      <c r="S296" s="28" t="s">
        <v>374</v>
      </c>
      <c r="T296" s="20">
        <v>32</v>
      </c>
    </row>
    <row r="297" spans="1:20" ht="174.95" customHeight="1" x14ac:dyDescent="0.25">
      <c r="A297" s="30">
        <v>284</v>
      </c>
      <c r="B297" s="24" t="s">
        <v>1611</v>
      </c>
      <c r="C297" s="213" t="s">
        <v>347</v>
      </c>
      <c r="D297" s="214"/>
      <c r="E297" s="214"/>
      <c r="F297" s="215"/>
      <c r="G297" s="31" t="s">
        <v>1613</v>
      </c>
      <c r="H297" s="24" t="s">
        <v>1612</v>
      </c>
      <c r="I297" s="32">
        <v>1</v>
      </c>
      <c r="J297" s="32">
        <v>0</v>
      </c>
      <c r="K297" s="32">
        <v>0</v>
      </c>
      <c r="L297" s="32">
        <v>0</v>
      </c>
      <c r="M297" s="32">
        <v>0</v>
      </c>
      <c r="N297" s="32">
        <v>0</v>
      </c>
      <c r="O297" s="216" t="s">
        <v>627</v>
      </c>
      <c r="P297" s="217"/>
      <c r="Q297" s="217"/>
      <c r="R297" s="218"/>
      <c r="S297" s="28" t="s">
        <v>378</v>
      </c>
      <c r="T297" s="20">
        <v>33</v>
      </c>
    </row>
    <row r="298" spans="1:20" ht="174.95" customHeight="1" x14ac:dyDescent="0.25">
      <c r="A298" s="21">
        <v>285</v>
      </c>
      <c r="B298" s="24" t="s">
        <v>1611</v>
      </c>
      <c r="C298" s="213" t="s">
        <v>1614</v>
      </c>
      <c r="D298" s="214"/>
      <c r="E298" s="214"/>
      <c r="F298" s="215"/>
      <c r="G298" s="31" t="s">
        <v>1616</v>
      </c>
      <c r="H298" s="24" t="s">
        <v>1615</v>
      </c>
      <c r="I298" s="32">
        <v>1</v>
      </c>
      <c r="J298" s="32">
        <v>0</v>
      </c>
      <c r="K298" s="32">
        <v>0</v>
      </c>
      <c r="L298" s="32">
        <v>0</v>
      </c>
      <c r="M298" s="32">
        <v>0</v>
      </c>
      <c r="N298" s="32">
        <v>0</v>
      </c>
      <c r="O298" s="216" t="s">
        <v>1617</v>
      </c>
      <c r="P298" s="217"/>
      <c r="Q298" s="217"/>
      <c r="R298" s="218"/>
      <c r="S298" s="28" t="s">
        <v>46</v>
      </c>
      <c r="T298" s="20">
        <v>34</v>
      </c>
    </row>
    <row r="299" spans="1:20" ht="150" customHeight="1" x14ac:dyDescent="0.25">
      <c r="A299" s="30">
        <v>286</v>
      </c>
      <c r="B299" s="24" t="s">
        <v>1618</v>
      </c>
      <c r="C299" s="213" t="s">
        <v>1321</v>
      </c>
      <c r="D299" s="214"/>
      <c r="E299" s="214"/>
      <c r="F299" s="215"/>
      <c r="G299" s="31" t="s">
        <v>1620</v>
      </c>
      <c r="H299" s="24" t="s">
        <v>1619</v>
      </c>
      <c r="I299" s="32">
        <v>1</v>
      </c>
      <c r="J299" s="32">
        <v>0</v>
      </c>
      <c r="K299" s="32">
        <v>0</v>
      </c>
      <c r="L299" s="32">
        <v>0</v>
      </c>
      <c r="M299" s="32">
        <v>0</v>
      </c>
      <c r="N299" s="32">
        <v>0</v>
      </c>
      <c r="O299" s="216" t="s">
        <v>632</v>
      </c>
      <c r="P299" s="217"/>
      <c r="Q299" s="217"/>
      <c r="R299" s="218"/>
      <c r="S299" s="28" t="s">
        <v>375</v>
      </c>
      <c r="T299" s="20">
        <v>35</v>
      </c>
    </row>
    <row r="300" spans="1:20" ht="150" customHeight="1" x14ac:dyDescent="0.25">
      <c r="A300" s="21">
        <v>287</v>
      </c>
      <c r="B300" s="24" t="s">
        <v>1618</v>
      </c>
      <c r="C300" s="213" t="s">
        <v>1621</v>
      </c>
      <c r="D300" s="214"/>
      <c r="E300" s="214"/>
      <c r="F300" s="215"/>
      <c r="G300" s="31" t="s">
        <v>1623</v>
      </c>
      <c r="H300" s="24" t="s">
        <v>1622</v>
      </c>
      <c r="I300" s="32">
        <v>1</v>
      </c>
      <c r="J300" s="32">
        <v>0</v>
      </c>
      <c r="K300" s="32">
        <v>0</v>
      </c>
      <c r="L300" s="32">
        <v>0</v>
      </c>
      <c r="M300" s="32">
        <v>0</v>
      </c>
      <c r="N300" s="32">
        <v>0</v>
      </c>
      <c r="O300" s="216" t="s">
        <v>1292</v>
      </c>
      <c r="P300" s="217"/>
      <c r="Q300" s="217"/>
      <c r="R300" s="218"/>
      <c r="S300" s="28" t="s">
        <v>46</v>
      </c>
      <c r="T300" s="20">
        <v>36</v>
      </c>
    </row>
    <row r="301" spans="1:20" ht="150" customHeight="1" x14ac:dyDescent="0.25">
      <c r="A301" s="30">
        <v>288</v>
      </c>
      <c r="B301" s="24" t="s">
        <v>1624</v>
      </c>
      <c r="C301" s="213" t="s">
        <v>1625</v>
      </c>
      <c r="D301" s="214"/>
      <c r="E301" s="214"/>
      <c r="F301" s="215"/>
      <c r="G301" s="31" t="s">
        <v>1627</v>
      </c>
      <c r="H301" s="24" t="s">
        <v>1626</v>
      </c>
      <c r="I301" s="32">
        <v>1</v>
      </c>
      <c r="J301" s="32">
        <v>0</v>
      </c>
      <c r="K301" s="32">
        <v>0</v>
      </c>
      <c r="L301" s="32">
        <v>0</v>
      </c>
      <c r="M301" s="32">
        <v>0</v>
      </c>
      <c r="N301" s="32">
        <v>0</v>
      </c>
      <c r="O301" s="216" t="s">
        <v>1353</v>
      </c>
      <c r="P301" s="217"/>
      <c r="Q301" s="217"/>
      <c r="R301" s="218"/>
      <c r="S301" s="28" t="s">
        <v>1555</v>
      </c>
      <c r="T301" s="20">
        <v>37</v>
      </c>
    </row>
    <row r="302" spans="1:20" ht="189.75" customHeight="1" x14ac:dyDescent="0.25">
      <c r="A302" s="21">
        <v>289</v>
      </c>
      <c r="B302" s="24" t="s">
        <v>1628</v>
      </c>
      <c r="C302" s="213" t="s">
        <v>1629</v>
      </c>
      <c r="D302" s="214"/>
      <c r="E302" s="214"/>
      <c r="F302" s="215"/>
      <c r="G302" s="31" t="s">
        <v>1630</v>
      </c>
      <c r="H302" s="24" t="s">
        <v>1631</v>
      </c>
      <c r="I302" s="32">
        <v>1</v>
      </c>
      <c r="J302" s="32">
        <v>0</v>
      </c>
      <c r="K302" s="32">
        <v>0</v>
      </c>
      <c r="L302" s="32">
        <v>0</v>
      </c>
      <c r="M302" s="32">
        <v>0</v>
      </c>
      <c r="N302" s="32">
        <v>0</v>
      </c>
      <c r="O302" s="216" t="s">
        <v>1632</v>
      </c>
      <c r="P302" s="217"/>
      <c r="Q302" s="217"/>
      <c r="R302" s="218"/>
      <c r="S302" s="28" t="s">
        <v>374</v>
      </c>
      <c r="T302" s="20">
        <v>38</v>
      </c>
    </row>
    <row r="303" spans="1:20" ht="189.75" customHeight="1" x14ac:dyDescent="0.25">
      <c r="A303" s="30">
        <v>290</v>
      </c>
      <c r="B303" s="24" t="s">
        <v>1633</v>
      </c>
      <c r="C303" s="213" t="s">
        <v>1634</v>
      </c>
      <c r="D303" s="214"/>
      <c r="E303" s="214"/>
      <c r="F303" s="215"/>
      <c r="G303" s="31" t="s">
        <v>1636</v>
      </c>
      <c r="H303" s="24" t="s">
        <v>1635</v>
      </c>
      <c r="I303" s="32">
        <v>1</v>
      </c>
      <c r="J303" s="32">
        <v>0</v>
      </c>
      <c r="K303" s="32">
        <v>0</v>
      </c>
      <c r="L303" s="32">
        <v>0</v>
      </c>
      <c r="M303" s="32">
        <v>0</v>
      </c>
      <c r="N303" s="32">
        <v>0</v>
      </c>
      <c r="O303" s="216" t="s">
        <v>1450</v>
      </c>
      <c r="P303" s="217"/>
      <c r="Q303" s="217"/>
      <c r="R303" s="218"/>
      <c r="S303" s="28" t="s">
        <v>47</v>
      </c>
      <c r="T303" s="20">
        <v>39</v>
      </c>
    </row>
    <row r="304" spans="1:20" ht="174.95" customHeight="1" x14ac:dyDescent="0.25">
      <c r="A304" s="21">
        <v>291</v>
      </c>
      <c r="B304" s="24" t="s">
        <v>1633</v>
      </c>
      <c r="C304" s="213" t="s">
        <v>1637</v>
      </c>
      <c r="D304" s="214"/>
      <c r="E304" s="214"/>
      <c r="F304" s="215"/>
      <c r="G304" s="31" t="s">
        <v>1639</v>
      </c>
      <c r="H304" s="24" t="s">
        <v>1638</v>
      </c>
      <c r="I304" s="32">
        <v>1</v>
      </c>
      <c r="J304" s="32">
        <v>0</v>
      </c>
      <c r="K304" s="32">
        <v>0</v>
      </c>
      <c r="L304" s="32">
        <v>0</v>
      </c>
      <c r="M304" s="32">
        <v>0</v>
      </c>
      <c r="N304" s="32">
        <v>0</v>
      </c>
      <c r="O304" s="216" t="s">
        <v>1504</v>
      </c>
      <c r="P304" s="217"/>
      <c r="Q304" s="217"/>
      <c r="R304" s="218"/>
      <c r="S304" s="28" t="s">
        <v>374</v>
      </c>
      <c r="T304" s="20">
        <v>40</v>
      </c>
    </row>
    <row r="305" spans="1:20" ht="174.95" customHeight="1" x14ac:dyDescent="0.25">
      <c r="A305" s="30">
        <v>292</v>
      </c>
      <c r="B305" s="24" t="s">
        <v>1640</v>
      </c>
      <c r="C305" s="213" t="s">
        <v>1641</v>
      </c>
      <c r="D305" s="214"/>
      <c r="E305" s="214"/>
      <c r="F305" s="215"/>
      <c r="G305" s="31" t="s">
        <v>1643</v>
      </c>
      <c r="H305" s="24" t="s">
        <v>1642</v>
      </c>
      <c r="I305" s="32">
        <v>1</v>
      </c>
      <c r="J305" s="32">
        <v>0</v>
      </c>
      <c r="K305" s="32">
        <v>0</v>
      </c>
      <c r="L305" s="32">
        <v>0</v>
      </c>
      <c r="M305" s="32">
        <v>0</v>
      </c>
      <c r="N305" s="32">
        <v>0</v>
      </c>
      <c r="O305" s="216" t="s">
        <v>627</v>
      </c>
      <c r="P305" s="217"/>
      <c r="Q305" s="217"/>
      <c r="R305" s="218"/>
      <c r="S305" s="28" t="s">
        <v>46</v>
      </c>
      <c r="T305" s="20">
        <v>41</v>
      </c>
    </row>
    <row r="306" spans="1:20" ht="174.95" customHeight="1" x14ac:dyDescent="0.25">
      <c r="A306" s="21">
        <v>293</v>
      </c>
      <c r="B306" s="24" t="s">
        <v>1644</v>
      </c>
      <c r="C306" s="213" t="s">
        <v>1645</v>
      </c>
      <c r="D306" s="214"/>
      <c r="E306" s="214"/>
      <c r="F306" s="215"/>
      <c r="G306" s="31" t="s">
        <v>1647</v>
      </c>
      <c r="H306" s="24" t="s">
        <v>1646</v>
      </c>
      <c r="I306" s="32">
        <v>1</v>
      </c>
      <c r="J306" s="32">
        <v>0</v>
      </c>
      <c r="K306" s="32">
        <v>0</v>
      </c>
      <c r="L306" s="32">
        <v>0</v>
      </c>
      <c r="M306" s="32">
        <v>0</v>
      </c>
      <c r="N306" s="32">
        <v>0</v>
      </c>
      <c r="O306" s="216" t="s">
        <v>1292</v>
      </c>
      <c r="P306" s="217"/>
      <c r="Q306" s="217"/>
      <c r="R306" s="218"/>
      <c r="S306" s="28" t="s">
        <v>377</v>
      </c>
      <c r="T306" s="20">
        <v>42</v>
      </c>
    </row>
    <row r="307" spans="1:20" ht="174.95" customHeight="1" x14ac:dyDescent="0.25">
      <c r="A307" s="30">
        <v>294</v>
      </c>
      <c r="B307" s="24" t="s">
        <v>1648</v>
      </c>
      <c r="C307" s="213" t="s">
        <v>1649</v>
      </c>
      <c r="D307" s="214"/>
      <c r="E307" s="214"/>
      <c r="F307" s="215"/>
      <c r="G307" s="31" t="s">
        <v>1651</v>
      </c>
      <c r="H307" s="24" t="s">
        <v>1650</v>
      </c>
      <c r="I307" s="32">
        <v>1</v>
      </c>
      <c r="J307" s="32">
        <v>0</v>
      </c>
      <c r="K307" s="32">
        <v>0</v>
      </c>
      <c r="L307" s="32">
        <v>0</v>
      </c>
      <c r="M307" s="32">
        <v>0</v>
      </c>
      <c r="N307" s="32">
        <v>0</v>
      </c>
      <c r="O307" s="216" t="s">
        <v>1450</v>
      </c>
      <c r="P307" s="217"/>
      <c r="Q307" s="217"/>
      <c r="R307" s="218"/>
      <c r="S307" s="28" t="s">
        <v>46</v>
      </c>
      <c r="T307" s="20">
        <v>43</v>
      </c>
    </row>
    <row r="308" spans="1:20" ht="174.95" customHeight="1" x14ac:dyDescent="0.25">
      <c r="A308" s="21">
        <v>295</v>
      </c>
      <c r="B308" s="24" t="s">
        <v>1648</v>
      </c>
      <c r="C308" s="213" t="s">
        <v>1652</v>
      </c>
      <c r="D308" s="214"/>
      <c r="E308" s="214"/>
      <c r="F308" s="215"/>
      <c r="G308" s="31" t="s">
        <v>1654</v>
      </c>
      <c r="H308" s="24" t="s">
        <v>1653</v>
      </c>
      <c r="I308" s="32">
        <v>1</v>
      </c>
      <c r="J308" s="32">
        <v>0</v>
      </c>
      <c r="K308" s="32">
        <v>0</v>
      </c>
      <c r="L308" s="32">
        <v>0</v>
      </c>
      <c r="M308" s="32">
        <v>0</v>
      </c>
      <c r="N308" s="32">
        <v>0</v>
      </c>
      <c r="O308" s="216" t="s">
        <v>1241</v>
      </c>
      <c r="P308" s="217"/>
      <c r="Q308" s="217"/>
      <c r="R308" s="218"/>
      <c r="S308" s="28" t="s">
        <v>46</v>
      </c>
      <c r="T308" s="20">
        <v>44</v>
      </c>
    </row>
    <row r="309" spans="1:20" ht="174.95" customHeight="1" x14ac:dyDescent="0.25">
      <c r="A309" s="30">
        <v>296</v>
      </c>
      <c r="B309" s="24" t="s">
        <v>1655</v>
      </c>
      <c r="C309" s="213" t="s">
        <v>1656</v>
      </c>
      <c r="D309" s="214"/>
      <c r="E309" s="214"/>
      <c r="F309" s="215"/>
      <c r="G309" s="31" t="s">
        <v>1658</v>
      </c>
      <c r="H309" s="24" t="s">
        <v>1657</v>
      </c>
      <c r="I309" s="32">
        <v>1</v>
      </c>
      <c r="J309" s="32">
        <v>0</v>
      </c>
      <c r="K309" s="32">
        <v>0</v>
      </c>
      <c r="L309" s="32">
        <v>0</v>
      </c>
      <c r="M309" s="32">
        <v>0</v>
      </c>
      <c r="N309" s="32">
        <v>0</v>
      </c>
      <c r="O309" s="216" t="s">
        <v>627</v>
      </c>
      <c r="P309" s="217"/>
      <c r="Q309" s="217"/>
      <c r="R309" s="218"/>
      <c r="S309" s="28" t="s">
        <v>46</v>
      </c>
      <c r="T309" s="20">
        <v>45</v>
      </c>
    </row>
    <row r="310" spans="1:20" ht="174.95" customHeight="1" x14ac:dyDescent="0.25">
      <c r="A310" s="21">
        <v>297</v>
      </c>
      <c r="B310" s="24" t="s">
        <v>1655</v>
      </c>
      <c r="C310" s="213" t="s">
        <v>1659</v>
      </c>
      <c r="D310" s="214"/>
      <c r="E310" s="214"/>
      <c r="F310" s="215"/>
      <c r="G310" s="31" t="s">
        <v>1661</v>
      </c>
      <c r="H310" s="24" t="s">
        <v>1660</v>
      </c>
      <c r="I310" s="32">
        <v>1</v>
      </c>
      <c r="J310" s="32">
        <v>0</v>
      </c>
      <c r="K310" s="32">
        <v>0</v>
      </c>
      <c r="L310" s="32">
        <v>0</v>
      </c>
      <c r="M310" s="32">
        <v>0</v>
      </c>
      <c r="N310" s="32">
        <v>0</v>
      </c>
      <c r="O310" s="216" t="s">
        <v>1297</v>
      </c>
      <c r="P310" s="217"/>
      <c r="Q310" s="217"/>
      <c r="R310" s="218"/>
      <c r="S310" s="28" t="s">
        <v>374</v>
      </c>
      <c r="T310" s="20">
        <v>46</v>
      </c>
    </row>
    <row r="311" spans="1:20" ht="192.75" customHeight="1" x14ac:dyDescent="0.25">
      <c r="A311" s="30">
        <v>298</v>
      </c>
      <c r="B311" s="24" t="s">
        <v>1662</v>
      </c>
      <c r="C311" s="213" t="s">
        <v>1663</v>
      </c>
      <c r="D311" s="214"/>
      <c r="E311" s="214"/>
      <c r="F311" s="215"/>
      <c r="G311" s="31" t="s">
        <v>1664</v>
      </c>
      <c r="H311" s="24" t="s">
        <v>1665</v>
      </c>
      <c r="I311" s="32">
        <v>1</v>
      </c>
      <c r="J311" s="32">
        <v>0</v>
      </c>
      <c r="K311" s="32">
        <v>0</v>
      </c>
      <c r="L311" s="32">
        <v>0</v>
      </c>
      <c r="M311" s="32">
        <v>0</v>
      </c>
      <c r="N311" s="32">
        <v>0</v>
      </c>
      <c r="O311" s="216" t="s">
        <v>1478</v>
      </c>
      <c r="P311" s="217"/>
      <c r="Q311" s="217"/>
      <c r="R311" s="218"/>
      <c r="S311" s="28" t="s">
        <v>374</v>
      </c>
      <c r="T311" s="20">
        <v>47</v>
      </c>
    </row>
    <row r="312" spans="1:20" ht="174.95" customHeight="1" x14ac:dyDescent="0.25">
      <c r="A312" s="21">
        <v>299</v>
      </c>
      <c r="B312" s="24" t="s">
        <v>1666</v>
      </c>
      <c r="C312" s="213" t="s">
        <v>1667</v>
      </c>
      <c r="D312" s="214"/>
      <c r="E312" s="214"/>
      <c r="F312" s="215"/>
      <c r="G312" s="31" t="s">
        <v>1669</v>
      </c>
      <c r="H312" s="24" t="s">
        <v>1668</v>
      </c>
      <c r="I312" s="32">
        <v>1</v>
      </c>
      <c r="J312" s="32">
        <v>0</v>
      </c>
      <c r="K312" s="32">
        <v>0</v>
      </c>
      <c r="L312" s="32">
        <v>0</v>
      </c>
      <c r="M312" s="32">
        <v>0</v>
      </c>
      <c r="N312" s="32">
        <v>0</v>
      </c>
      <c r="O312" s="216" t="s">
        <v>1339</v>
      </c>
      <c r="P312" s="217"/>
      <c r="Q312" s="217"/>
      <c r="R312" s="218"/>
      <c r="S312" s="28" t="s">
        <v>377</v>
      </c>
      <c r="T312" s="20">
        <v>48</v>
      </c>
    </row>
    <row r="313" spans="1:20" ht="174.95" customHeight="1" x14ac:dyDescent="0.25">
      <c r="A313" s="30">
        <v>300</v>
      </c>
      <c r="B313" s="24" t="s">
        <v>1670</v>
      </c>
      <c r="C313" s="213" t="s">
        <v>1671</v>
      </c>
      <c r="D313" s="214"/>
      <c r="E313" s="214"/>
      <c r="F313" s="215"/>
      <c r="G313" s="31" t="s">
        <v>1673</v>
      </c>
      <c r="H313" s="24" t="s">
        <v>1672</v>
      </c>
      <c r="I313" s="32">
        <v>0</v>
      </c>
      <c r="J313" s="32">
        <v>1</v>
      </c>
      <c r="K313" s="32">
        <v>0</v>
      </c>
      <c r="L313" s="32">
        <v>0</v>
      </c>
      <c r="M313" s="32">
        <v>0</v>
      </c>
      <c r="N313" s="32">
        <v>0</v>
      </c>
      <c r="O313" s="216" t="s">
        <v>1674</v>
      </c>
      <c r="P313" s="217"/>
      <c r="Q313" s="217"/>
      <c r="R313" s="218"/>
      <c r="S313" s="28" t="s">
        <v>384</v>
      </c>
      <c r="T313" s="20">
        <v>49</v>
      </c>
    </row>
    <row r="314" spans="1:20" ht="174.95" customHeight="1" x14ac:dyDescent="0.25">
      <c r="A314" s="21">
        <v>301</v>
      </c>
      <c r="B314" s="24" t="s">
        <v>1670</v>
      </c>
      <c r="C314" s="213" t="s">
        <v>1675</v>
      </c>
      <c r="D314" s="214"/>
      <c r="E314" s="214"/>
      <c r="F314" s="215"/>
      <c r="G314" s="31" t="s">
        <v>1677</v>
      </c>
      <c r="H314" s="24" t="s">
        <v>1676</v>
      </c>
      <c r="I314" s="32">
        <v>1</v>
      </c>
      <c r="J314" s="32">
        <v>0</v>
      </c>
      <c r="K314" s="32">
        <v>0</v>
      </c>
      <c r="L314" s="32">
        <v>0</v>
      </c>
      <c r="M314" s="32">
        <v>0</v>
      </c>
      <c r="N314" s="32">
        <v>0</v>
      </c>
      <c r="O314" s="216" t="s">
        <v>1678</v>
      </c>
      <c r="P314" s="217"/>
      <c r="Q314" s="217"/>
      <c r="R314" s="218"/>
      <c r="S314" s="28" t="s">
        <v>46</v>
      </c>
      <c r="T314" s="20">
        <v>50</v>
      </c>
    </row>
    <row r="315" spans="1:20" ht="174.95" customHeight="1" x14ac:dyDescent="0.25">
      <c r="A315" s="30">
        <v>302</v>
      </c>
      <c r="B315" s="24" t="s">
        <v>1679</v>
      </c>
      <c r="C315" s="213" t="s">
        <v>1680</v>
      </c>
      <c r="D315" s="214"/>
      <c r="E315" s="214"/>
      <c r="F315" s="215"/>
      <c r="G315" s="31" t="s">
        <v>1682</v>
      </c>
      <c r="H315" s="24" t="s">
        <v>1681</v>
      </c>
      <c r="I315" s="32">
        <v>1</v>
      </c>
      <c r="J315" s="32">
        <v>0</v>
      </c>
      <c r="K315" s="32">
        <v>0</v>
      </c>
      <c r="L315" s="32">
        <v>0</v>
      </c>
      <c r="M315" s="32">
        <v>0</v>
      </c>
      <c r="N315" s="32">
        <v>0</v>
      </c>
      <c r="O315" s="216" t="s">
        <v>1305</v>
      </c>
      <c r="P315" s="217"/>
      <c r="Q315" s="217"/>
      <c r="R315" s="218"/>
      <c r="S315" s="28" t="s">
        <v>374</v>
      </c>
      <c r="T315" s="20">
        <v>1</v>
      </c>
    </row>
    <row r="316" spans="1:20" ht="150" customHeight="1" x14ac:dyDescent="0.25">
      <c r="A316" s="21">
        <v>303</v>
      </c>
      <c r="B316" s="24" t="s">
        <v>1683</v>
      </c>
      <c r="C316" s="213" t="s">
        <v>1684</v>
      </c>
      <c r="D316" s="214"/>
      <c r="E316" s="214"/>
      <c r="F316" s="215"/>
      <c r="G316" s="31" t="s">
        <v>1686</v>
      </c>
      <c r="H316" s="24" t="s">
        <v>1685</v>
      </c>
      <c r="I316" s="32">
        <v>0</v>
      </c>
      <c r="J316" s="32">
        <v>1</v>
      </c>
      <c r="K316" s="32">
        <v>0</v>
      </c>
      <c r="L316" s="32">
        <v>0</v>
      </c>
      <c r="M316" s="32">
        <v>0</v>
      </c>
      <c r="N316" s="32">
        <v>0</v>
      </c>
      <c r="O316" s="216" t="s">
        <v>1687</v>
      </c>
      <c r="P316" s="217"/>
      <c r="Q316" s="217"/>
      <c r="R316" s="218"/>
      <c r="S316" s="28" t="s">
        <v>384</v>
      </c>
      <c r="T316" s="20">
        <v>2</v>
      </c>
    </row>
    <row r="317" spans="1:20" ht="150" customHeight="1" x14ac:dyDescent="0.25">
      <c r="A317" s="30">
        <v>304</v>
      </c>
      <c r="B317" s="24" t="s">
        <v>1683</v>
      </c>
      <c r="C317" s="213" t="s">
        <v>1688</v>
      </c>
      <c r="D317" s="214"/>
      <c r="E317" s="214"/>
      <c r="F317" s="215"/>
      <c r="G317" s="31" t="s">
        <v>1690</v>
      </c>
      <c r="H317" s="24" t="s">
        <v>1689</v>
      </c>
      <c r="I317" s="32">
        <v>1</v>
      </c>
      <c r="J317" s="32">
        <v>0</v>
      </c>
      <c r="K317" s="32">
        <v>0</v>
      </c>
      <c r="L317" s="32">
        <v>0</v>
      </c>
      <c r="M317" s="32">
        <v>0</v>
      </c>
      <c r="N317" s="32">
        <v>0</v>
      </c>
      <c r="O317" s="216" t="s">
        <v>1241</v>
      </c>
      <c r="P317" s="217"/>
      <c r="Q317" s="217"/>
      <c r="R317" s="218"/>
      <c r="S317" s="28" t="s">
        <v>53</v>
      </c>
      <c r="T317" s="20">
        <v>3</v>
      </c>
    </row>
    <row r="318" spans="1:20" ht="150" customHeight="1" x14ac:dyDescent="0.25">
      <c r="A318" s="21">
        <v>305</v>
      </c>
      <c r="B318" s="24" t="s">
        <v>1691</v>
      </c>
      <c r="C318" s="213" t="s">
        <v>1692</v>
      </c>
      <c r="D318" s="214"/>
      <c r="E318" s="214"/>
      <c r="F318" s="215"/>
      <c r="G318" s="31" t="s">
        <v>1694</v>
      </c>
      <c r="H318" s="24" t="s">
        <v>1693</v>
      </c>
      <c r="I318" s="32">
        <v>1</v>
      </c>
      <c r="J318" s="32">
        <v>0</v>
      </c>
      <c r="K318" s="32">
        <v>0</v>
      </c>
      <c r="L318" s="32">
        <v>0</v>
      </c>
      <c r="M318" s="32">
        <v>0</v>
      </c>
      <c r="N318" s="32">
        <v>0</v>
      </c>
      <c r="O318" s="216" t="s">
        <v>1319</v>
      </c>
      <c r="P318" s="217"/>
      <c r="Q318" s="217"/>
      <c r="R318" s="218"/>
      <c r="S318" s="28" t="s">
        <v>377</v>
      </c>
      <c r="T318" s="20">
        <v>4</v>
      </c>
    </row>
    <row r="319" spans="1:20" ht="174.95" customHeight="1" x14ac:dyDescent="0.25">
      <c r="A319" s="30">
        <v>306</v>
      </c>
      <c r="B319" s="24" t="s">
        <v>1695</v>
      </c>
      <c r="C319" s="213" t="s">
        <v>363</v>
      </c>
      <c r="D319" s="214"/>
      <c r="E319" s="214"/>
      <c r="F319" s="215"/>
      <c r="G319" s="31" t="s">
        <v>1697</v>
      </c>
      <c r="H319" s="24" t="s">
        <v>1696</v>
      </c>
      <c r="I319" s="32">
        <v>1</v>
      </c>
      <c r="J319" s="32">
        <v>0</v>
      </c>
      <c r="K319" s="32">
        <v>0</v>
      </c>
      <c r="L319" s="32">
        <v>0</v>
      </c>
      <c r="M319" s="32">
        <v>0</v>
      </c>
      <c r="N319" s="32">
        <v>0</v>
      </c>
      <c r="O319" s="216" t="s">
        <v>884</v>
      </c>
      <c r="P319" s="217"/>
      <c r="Q319" s="217"/>
      <c r="R319" s="218"/>
      <c r="S319" s="28" t="s">
        <v>374</v>
      </c>
      <c r="T319" s="20">
        <v>5</v>
      </c>
    </row>
    <row r="320" spans="1:20" ht="174.95" customHeight="1" x14ac:dyDescent="0.25">
      <c r="A320" s="21">
        <v>307</v>
      </c>
      <c r="B320" s="24" t="s">
        <v>1695</v>
      </c>
      <c r="C320" s="213" t="s">
        <v>1604</v>
      </c>
      <c r="D320" s="214"/>
      <c r="E320" s="214"/>
      <c r="F320" s="215"/>
      <c r="G320" s="31" t="s">
        <v>1699</v>
      </c>
      <c r="H320" s="24" t="s">
        <v>1698</v>
      </c>
      <c r="I320" s="32">
        <v>1</v>
      </c>
      <c r="J320" s="32">
        <v>0</v>
      </c>
      <c r="K320" s="32">
        <v>0</v>
      </c>
      <c r="L320" s="32">
        <v>0</v>
      </c>
      <c r="M320" s="32">
        <v>0</v>
      </c>
      <c r="N320" s="32">
        <v>0</v>
      </c>
      <c r="O320" s="216" t="s">
        <v>1305</v>
      </c>
      <c r="P320" s="217"/>
      <c r="Q320" s="217"/>
      <c r="R320" s="218"/>
      <c r="S320" s="28" t="s">
        <v>46</v>
      </c>
      <c r="T320" s="20">
        <v>6</v>
      </c>
    </row>
    <row r="321" spans="1:20" ht="150" customHeight="1" x14ac:dyDescent="0.25">
      <c r="A321" s="30">
        <v>308</v>
      </c>
      <c r="B321" s="24" t="s">
        <v>1700</v>
      </c>
      <c r="C321" s="213" t="s">
        <v>1701</v>
      </c>
      <c r="D321" s="214"/>
      <c r="E321" s="214"/>
      <c r="F321" s="215"/>
      <c r="G321" s="31" t="s">
        <v>1703</v>
      </c>
      <c r="H321" s="24" t="s">
        <v>1702</v>
      </c>
      <c r="I321" s="32">
        <v>1</v>
      </c>
      <c r="J321" s="32">
        <v>0</v>
      </c>
      <c r="K321" s="32">
        <v>0</v>
      </c>
      <c r="L321" s="32">
        <v>0</v>
      </c>
      <c r="M321" s="32">
        <v>0</v>
      </c>
      <c r="N321" s="32">
        <v>0</v>
      </c>
      <c r="O321" s="216" t="s">
        <v>733</v>
      </c>
      <c r="P321" s="217"/>
      <c r="Q321" s="217"/>
      <c r="R321" s="218"/>
      <c r="S321" s="28" t="s">
        <v>374</v>
      </c>
      <c r="T321" s="20">
        <v>7</v>
      </c>
    </row>
    <row r="322" spans="1:20" ht="150" customHeight="1" x14ac:dyDescent="0.25">
      <c r="A322" s="21">
        <v>309</v>
      </c>
      <c r="B322" s="24" t="s">
        <v>1704</v>
      </c>
      <c r="C322" s="213" t="s">
        <v>1705</v>
      </c>
      <c r="D322" s="214"/>
      <c r="E322" s="214"/>
      <c r="F322" s="215"/>
      <c r="G322" s="31" t="s">
        <v>1707</v>
      </c>
      <c r="H322" s="24" t="s">
        <v>1706</v>
      </c>
      <c r="I322" s="32">
        <v>1</v>
      </c>
      <c r="J322" s="32">
        <v>0</v>
      </c>
      <c r="K322" s="32">
        <v>0</v>
      </c>
      <c r="L322" s="32">
        <v>0</v>
      </c>
      <c r="M322" s="32">
        <v>0</v>
      </c>
      <c r="N322" s="32">
        <v>0</v>
      </c>
      <c r="O322" s="216" t="s">
        <v>627</v>
      </c>
      <c r="P322" s="217"/>
      <c r="Q322" s="217"/>
      <c r="R322" s="218"/>
      <c r="S322" s="28" t="s">
        <v>381</v>
      </c>
      <c r="T322" s="20">
        <v>8</v>
      </c>
    </row>
    <row r="323" spans="1:20" ht="174.95" customHeight="1" x14ac:dyDescent="0.25">
      <c r="A323" s="30">
        <v>310</v>
      </c>
      <c r="B323" s="24" t="s">
        <v>1708</v>
      </c>
      <c r="C323" s="213" t="s">
        <v>882</v>
      </c>
      <c r="D323" s="214"/>
      <c r="E323" s="214"/>
      <c r="F323" s="215"/>
      <c r="G323" s="31" t="s">
        <v>1710</v>
      </c>
      <c r="H323" s="24" t="s">
        <v>1709</v>
      </c>
      <c r="I323" s="32">
        <v>1</v>
      </c>
      <c r="J323" s="32">
        <v>0</v>
      </c>
      <c r="K323" s="32">
        <v>0</v>
      </c>
      <c r="L323" s="32">
        <v>0</v>
      </c>
      <c r="M323" s="32">
        <v>0</v>
      </c>
      <c r="N323" s="32">
        <v>0</v>
      </c>
      <c r="O323" s="216" t="s">
        <v>884</v>
      </c>
      <c r="P323" s="217"/>
      <c r="Q323" s="217"/>
      <c r="R323" s="218"/>
      <c r="S323" s="28" t="s">
        <v>374</v>
      </c>
      <c r="T323" s="20">
        <v>9</v>
      </c>
    </row>
    <row r="324" spans="1:20" ht="150" customHeight="1" x14ac:dyDescent="0.25">
      <c r="A324" s="21">
        <v>311</v>
      </c>
      <c r="B324" s="24" t="s">
        <v>1708</v>
      </c>
      <c r="C324" s="213" t="s">
        <v>1711</v>
      </c>
      <c r="D324" s="214"/>
      <c r="E324" s="214"/>
      <c r="F324" s="215"/>
      <c r="G324" s="31" t="s">
        <v>1713</v>
      </c>
      <c r="H324" s="24" t="s">
        <v>1712</v>
      </c>
      <c r="I324" s="32">
        <v>0</v>
      </c>
      <c r="J324" s="32">
        <v>1</v>
      </c>
      <c r="K324" s="32">
        <v>0</v>
      </c>
      <c r="L324" s="32">
        <v>0</v>
      </c>
      <c r="M324" s="32">
        <v>0</v>
      </c>
      <c r="N324" s="32">
        <v>0</v>
      </c>
      <c r="O324" s="216" t="s">
        <v>1305</v>
      </c>
      <c r="P324" s="217"/>
      <c r="Q324" s="217"/>
      <c r="R324" s="218"/>
      <c r="S324" s="28" t="s">
        <v>382</v>
      </c>
      <c r="T324" s="20">
        <v>10</v>
      </c>
    </row>
    <row r="325" spans="1:20" ht="150" customHeight="1" x14ac:dyDescent="0.25">
      <c r="A325" s="30">
        <v>312</v>
      </c>
      <c r="B325" s="24" t="s">
        <v>1714</v>
      </c>
      <c r="C325" s="213" t="s">
        <v>1715</v>
      </c>
      <c r="D325" s="214"/>
      <c r="E325" s="214"/>
      <c r="F325" s="215"/>
      <c r="G325" s="31" t="s">
        <v>1717</v>
      </c>
      <c r="H325" s="24" t="s">
        <v>1716</v>
      </c>
      <c r="I325" s="32">
        <v>1</v>
      </c>
      <c r="J325" s="32">
        <v>0</v>
      </c>
      <c r="K325" s="32">
        <v>0</v>
      </c>
      <c r="L325" s="32">
        <v>0</v>
      </c>
      <c r="M325" s="32">
        <v>0</v>
      </c>
      <c r="N325" s="32">
        <v>0</v>
      </c>
      <c r="O325" s="216" t="s">
        <v>1718</v>
      </c>
      <c r="P325" s="217"/>
      <c r="Q325" s="217"/>
      <c r="R325" s="218"/>
      <c r="S325" s="28" t="s">
        <v>46</v>
      </c>
      <c r="T325" s="20">
        <v>11</v>
      </c>
    </row>
    <row r="326" spans="1:20" ht="160.5" customHeight="1" x14ac:dyDescent="0.25">
      <c r="A326" s="21">
        <v>313</v>
      </c>
      <c r="B326" s="24" t="s">
        <v>1714</v>
      </c>
      <c r="C326" s="213" t="s">
        <v>1719</v>
      </c>
      <c r="D326" s="214"/>
      <c r="E326" s="214"/>
      <c r="F326" s="215"/>
      <c r="G326" s="31" t="s">
        <v>1721</v>
      </c>
      <c r="H326" s="24" t="s">
        <v>1720</v>
      </c>
      <c r="I326" s="32">
        <v>1</v>
      </c>
      <c r="J326" s="32">
        <v>0</v>
      </c>
      <c r="K326" s="32">
        <v>0</v>
      </c>
      <c r="L326" s="32">
        <v>0</v>
      </c>
      <c r="M326" s="32">
        <v>0</v>
      </c>
      <c r="N326" s="32">
        <v>0</v>
      </c>
      <c r="O326" s="216" t="s">
        <v>1241</v>
      </c>
      <c r="P326" s="217"/>
      <c r="Q326" s="217"/>
      <c r="R326" s="218"/>
      <c r="S326" s="28" t="s">
        <v>374</v>
      </c>
      <c r="T326" s="20">
        <v>12</v>
      </c>
    </row>
    <row r="327" spans="1:20" ht="150" customHeight="1" x14ac:dyDescent="0.25">
      <c r="A327" s="30">
        <v>314</v>
      </c>
      <c r="B327" s="24" t="s">
        <v>1722</v>
      </c>
      <c r="C327" s="213" t="s">
        <v>1723</v>
      </c>
      <c r="D327" s="214"/>
      <c r="E327" s="214"/>
      <c r="F327" s="215"/>
      <c r="G327" s="31" t="s">
        <v>1725</v>
      </c>
      <c r="H327" s="24" t="s">
        <v>1724</v>
      </c>
      <c r="I327" s="32">
        <v>1</v>
      </c>
      <c r="J327" s="32">
        <v>0</v>
      </c>
      <c r="K327" s="32">
        <v>0</v>
      </c>
      <c r="L327" s="32">
        <v>0</v>
      </c>
      <c r="M327" s="32">
        <v>0</v>
      </c>
      <c r="N327" s="32">
        <v>0</v>
      </c>
      <c r="O327" s="216" t="s">
        <v>884</v>
      </c>
      <c r="P327" s="217"/>
      <c r="Q327" s="217"/>
      <c r="R327" s="218"/>
      <c r="S327" s="28" t="s">
        <v>46</v>
      </c>
      <c r="T327" s="20">
        <v>13</v>
      </c>
    </row>
    <row r="328" spans="1:20" ht="165" customHeight="1" x14ac:dyDescent="0.25">
      <c r="A328" s="21">
        <v>315</v>
      </c>
      <c r="B328" s="24" t="s">
        <v>1722</v>
      </c>
      <c r="C328" s="213" t="s">
        <v>1726</v>
      </c>
      <c r="D328" s="214"/>
      <c r="E328" s="214"/>
      <c r="F328" s="215"/>
      <c r="G328" s="31" t="s">
        <v>1728</v>
      </c>
      <c r="H328" s="24" t="s">
        <v>1727</v>
      </c>
      <c r="I328" s="32">
        <v>0</v>
      </c>
      <c r="J328" s="32">
        <v>1</v>
      </c>
      <c r="K328" s="32">
        <v>0</v>
      </c>
      <c r="L328" s="32">
        <v>0</v>
      </c>
      <c r="M328" s="32">
        <v>0</v>
      </c>
      <c r="N328" s="32">
        <v>0</v>
      </c>
      <c r="O328" s="216" t="s">
        <v>1305</v>
      </c>
      <c r="P328" s="217"/>
      <c r="Q328" s="217"/>
      <c r="R328" s="218"/>
      <c r="S328" s="28" t="s">
        <v>382</v>
      </c>
      <c r="T328" s="20">
        <v>14</v>
      </c>
    </row>
    <row r="329" spans="1:20" ht="156" customHeight="1" x14ac:dyDescent="0.25">
      <c r="A329" s="30">
        <v>316</v>
      </c>
      <c r="B329" s="24" t="s">
        <v>1729</v>
      </c>
      <c r="C329" s="213" t="s">
        <v>1730</v>
      </c>
      <c r="D329" s="214"/>
      <c r="E329" s="214"/>
      <c r="F329" s="215"/>
      <c r="G329" s="31" t="s">
        <v>1732</v>
      </c>
      <c r="H329" s="24" t="s">
        <v>1731</v>
      </c>
      <c r="I329" s="32">
        <v>0</v>
      </c>
      <c r="J329" s="32">
        <v>1</v>
      </c>
      <c r="K329" s="32">
        <v>0</v>
      </c>
      <c r="L329" s="32">
        <v>0</v>
      </c>
      <c r="M329" s="32">
        <v>0</v>
      </c>
      <c r="N329" s="32">
        <v>0</v>
      </c>
      <c r="O329" s="216" t="s">
        <v>733</v>
      </c>
      <c r="P329" s="217"/>
      <c r="Q329" s="217"/>
      <c r="R329" s="218"/>
      <c r="S329" s="28" t="s">
        <v>1733</v>
      </c>
      <c r="T329" s="20">
        <v>15</v>
      </c>
    </row>
    <row r="330" spans="1:20" ht="150" customHeight="1" x14ac:dyDescent="0.25">
      <c r="A330" s="21">
        <v>317</v>
      </c>
      <c r="B330" s="24" t="s">
        <v>1729</v>
      </c>
      <c r="C330" s="213" t="s">
        <v>370</v>
      </c>
      <c r="D330" s="214"/>
      <c r="E330" s="214"/>
      <c r="F330" s="215"/>
      <c r="G330" s="31" t="s">
        <v>1735</v>
      </c>
      <c r="H330" s="24" t="s">
        <v>1734</v>
      </c>
      <c r="I330" s="32">
        <v>1</v>
      </c>
      <c r="J330" s="32">
        <v>0</v>
      </c>
      <c r="K330" s="32">
        <v>0</v>
      </c>
      <c r="L330" s="32">
        <v>0</v>
      </c>
      <c r="M330" s="32">
        <v>0</v>
      </c>
      <c r="N330" s="32">
        <v>0</v>
      </c>
      <c r="O330" s="216" t="s">
        <v>1358</v>
      </c>
      <c r="P330" s="217"/>
      <c r="Q330" s="217"/>
      <c r="R330" s="218"/>
      <c r="S330" s="28" t="s">
        <v>46</v>
      </c>
      <c r="T330" s="20">
        <v>16</v>
      </c>
    </row>
    <row r="331" spans="1:20" ht="174.95" customHeight="1" x14ac:dyDescent="0.25">
      <c r="A331" s="30">
        <v>318</v>
      </c>
      <c r="B331" s="24" t="s">
        <v>1736</v>
      </c>
      <c r="C331" s="213" t="s">
        <v>1737</v>
      </c>
      <c r="D331" s="214"/>
      <c r="E331" s="214"/>
      <c r="F331" s="215"/>
      <c r="G331" s="31" t="s">
        <v>1739</v>
      </c>
      <c r="H331" s="24" t="s">
        <v>1738</v>
      </c>
      <c r="I331" s="32">
        <v>1</v>
      </c>
      <c r="J331" s="32">
        <v>0</v>
      </c>
      <c r="K331" s="32">
        <v>0</v>
      </c>
      <c r="L331" s="32">
        <v>0</v>
      </c>
      <c r="M331" s="32">
        <v>0</v>
      </c>
      <c r="N331" s="32">
        <v>0</v>
      </c>
      <c r="O331" s="216" t="s">
        <v>1740</v>
      </c>
      <c r="P331" s="217"/>
      <c r="Q331" s="217"/>
      <c r="R331" s="218"/>
      <c r="S331" s="28" t="s">
        <v>377</v>
      </c>
      <c r="T331" s="20">
        <v>17</v>
      </c>
    </row>
    <row r="332" spans="1:20" ht="174.95" customHeight="1" x14ac:dyDescent="0.25">
      <c r="A332" s="21">
        <v>319</v>
      </c>
      <c r="B332" s="24" t="s">
        <v>1741</v>
      </c>
      <c r="C332" s="213" t="s">
        <v>1742</v>
      </c>
      <c r="D332" s="214"/>
      <c r="E332" s="214"/>
      <c r="F332" s="215"/>
      <c r="G332" s="31" t="s">
        <v>1744</v>
      </c>
      <c r="H332" s="24" t="s">
        <v>1743</v>
      </c>
      <c r="I332" s="32">
        <v>1</v>
      </c>
      <c r="J332" s="32">
        <v>0</v>
      </c>
      <c r="K332" s="32">
        <v>0</v>
      </c>
      <c r="L332" s="32">
        <v>0</v>
      </c>
      <c r="M332" s="32">
        <v>0</v>
      </c>
      <c r="N332" s="32">
        <v>0</v>
      </c>
      <c r="O332" s="216" t="s">
        <v>632</v>
      </c>
      <c r="P332" s="217"/>
      <c r="Q332" s="217"/>
      <c r="R332" s="218"/>
      <c r="S332" s="28" t="s">
        <v>46</v>
      </c>
      <c r="T332" s="20">
        <v>18</v>
      </c>
    </row>
    <row r="333" spans="1:20" ht="150" customHeight="1" x14ac:dyDescent="0.25">
      <c r="A333" s="30">
        <v>320</v>
      </c>
      <c r="B333" s="24" t="s">
        <v>1741</v>
      </c>
      <c r="C333" s="213" t="s">
        <v>1745</v>
      </c>
      <c r="D333" s="214"/>
      <c r="E333" s="214"/>
      <c r="F333" s="215"/>
      <c r="G333" s="31" t="s">
        <v>1747</v>
      </c>
      <c r="H333" s="24" t="s">
        <v>1746</v>
      </c>
      <c r="I333" s="32">
        <v>1</v>
      </c>
      <c r="J333" s="32">
        <v>0</v>
      </c>
      <c r="K333" s="32">
        <v>0</v>
      </c>
      <c r="L333" s="32">
        <v>0</v>
      </c>
      <c r="M333" s="32">
        <v>0</v>
      </c>
      <c r="N333" s="32">
        <v>0</v>
      </c>
      <c r="O333" s="216" t="s">
        <v>1450</v>
      </c>
      <c r="P333" s="217"/>
      <c r="Q333" s="217"/>
      <c r="R333" s="218"/>
      <c r="S333" s="28" t="s">
        <v>46</v>
      </c>
      <c r="T333" s="20">
        <v>19</v>
      </c>
    </row>
    <row r="334" spans="1:20" ht="150" customHeight="1" x14ac:dyDescent="0.25">
      <c r="A334" s="21">
        <v>321</v>
      </c>
      <c r="B334" s="24" t="s">
        <v>1748</v>
      </c>
      <c r="C334" s="213" t="s">
        <v>1749</v>
      </c>
      <c r="D334" s="214"/>
      <c r="E334" s="214"/>
      <c r="F334" s="215"/>
      <c r="G334" s="31" t="s">
        <v>1751</v>
      </c>
      <c r="H334" s="24" t="s">
        <v>1750</v>
      </c>
      <c r="I334" s="32">
        <v>0</v>
      </c>
      <c r="J334" s="32">
        <v>1</v>
      </c>
      <c r="K334" s="32">
        <v>0</v>
      </c>
      <c r="L334" s="32">
        <v>0</v>
      </c>
      <c r="M334" s="32">
        <v>0</v>
      </c>
      <c r="N334" s="32">
        <v>0</v>
      </c>
      <c r="O334" s="216" t="s">
        <v>733</v>
      </c>
      <c r="P334" s="217"/>
      <c r="Q334" s="217"/>
      <c r="R334" s="218"/>
      <c r="S334" s="28" t="s">
        <v>1752</v>
      </c>
      <c r="T334" s="20">
        <v>20</v>
      </c>
    </row>
    <row r="335" spans="1:20" ht="150" customHeight="1" x14ac:dyDescent="0.25">
      <c r="A335" s="30">
        <v>322</v>
      </c>
      <c r="B335" s="24" t="s">
        <v>1748</v>
      </c>
      <c r="C335" s="213" t="s">
        <v>1753</v>
      </c>
      <c r="D335" s="214"/>
      <c r="E335" s="214"/>
      <c r="F335" s="215"/>
      <c r="G335" s="31" t="s">
        <v>1755</v>
      </c>
      <c r="H335" s="24" t="s">
        <v>1754</v>
      </c>
      <c r="I335" s="32">
        <v>0</v>
      </c>
      <c r="J335" s="32">
        <v>1</v>
      </c>
      <c r="K335" s="32">
        <v>0</v>
      </c>
      <c r="L335" s="32">
        <v>0</v>
      </c>
      <c r="M335" s="32">
        <v>0</v>
      </c>
      <c r="N335" s="32">
        <v>0</v>
      </c>
      <c r="O335" s="216" t="s">
        <v>1358</v>
      </c>
      <c r="P335" s="217"/>
      <c r="Q335" s="217"/>
      <c r="R335" s="218"/>
      <c r="S335" s="28" t="s">
        <v>1756</v>
      </c>
      <c r="T335" s="20">
        <v>21</v>
      </c>
    </row>
    <row r="336" spans="1:20" ht="150" customHeight="1" x14ac:dyDescent="0.25">
      <c r="A336" s="21">
        <v>323</v>
      </c>
      <c r="B336" s="24" t="s">
        <v>1757</v>
      </c>
      <c r="C336" s="213" t="s">
        <v>1758</v>
      </c>
      <c r="D336" s="214"/>
      <c r="E336" s="214"/>
      <c r="F336" s="215"/>
      <c r="G336" s="31" t="s">
        <v>1760</v>
      </c>
      <c r="H336" s="24" t="s">
        <v>1759</v>
      </c>
      <c r="I336" s="32">
        <v>1</v>
      </c>
      <c r="J336" s="32">
        <v>0</v>
      </c>
      <c r="K336" s="32">
        <v>0</v>
      </c>
      <c r="L336" s="32">
        <v>0</v>
      </c>
      <c r="M336" s="32">
        <v>0</v>
      </c>
      <c r="N336" s="32">
        <v>0</v>
      </c>
      <c r="O336" s="216" t="s">
        <v>1761</v>
      </c>
      <c r="P336" s="217"/>
      <c r="Q336" s="217"/>
      <c r="R336" s="218"/>
      <c r="S336" s="28" t="s">
        <v>376</v>
      </c>
      <c r="T336" s="20">
        <v>22</v>
      </c>
    </row>
    <row r="337" spans="1:20" ht="150" customHeight="1" x14ac:dyDescent="0.25">
      <c r="A337" s="30">
        <v>324</v>
      </c>
      <c r="B337" s="24" t="s">
        <v>1762</v>
      </c>
      <c r="C337" s="213" t="s">
        <v>1763</v>
      </c>
      <c r="D337" s="214"/>
      <c r="E337" s="214"/>
      <c r="F337" s="215"/>
      <c r="G337" s="31" t="s">
        <v>1765</v>
      </c>
      <c r="H337" s="24" t="s">
        <v>1764</v>
      </c>
      <c r="I337" s="32">
        <v>0</v>
      </c>
      <c r="J337" s="32">
        <v>1</v>
      </c>
      <c r="K337" s="32">
        <v>0</v>
      </c>
      <c r="L337" s="32">
        <v>0</v>
      </c>
      <c r="M337" s="32">
        <v>0</v>
      </c>
      <c r="N337" s="32">
        <v>0</v>
      </c>
      <c r="O337" s="216" t="s">
        <v>1179</v>
      </c>
      <c r="P337" s="217"/>
      <c r="Q337" s="217"/>
      <c r="R337" s="218"/>
      <c r="S337" s="28" t="s">
        <v>1766</v>
      </c>
      <c r="T337" s="20">
        <v>23</v>
      </c>
    </row>
    <row r="338" spans="1:20" ht="150" customHeight="1" x14ac:dyDescent="0.25">
      <c r="A338" s="21">
        <v>325</v>
      </c>
      <c r="B338" s="24" t="s">
        <v>1762</v>
      </c>
      <c r="C338" s="213" t="s">
        <v>1767</v>
      </c>
      <c r="D338" s="214"/>
      <c r="E338" s="214"/>
      <c r="F338" s="215"/>
      <c r="G338" s="31" t="s">
        <v>1769</v>
      </c>
      <c r="H338" s="24" t="s">
        <v>1768</v>
      </c>
      <c r="I338" s="32">
        <v>0</v>
      </c>
      <c r="J338" s="32">
        <v>1</v>
      </c>
      <c r="K338" s="32">
        <v>0</v>
      </c>
      <c r="L338" s="32">
        <v>0</v>
      </c>
      <c r="M338" s="32">
        <v>0</v>
      </c>
      <c r="N338" s="32">
        <v>0</v>
      </c>
      <c r="O338" s="216" t="s">
        <v>1632</v>
      </c>
      <c r="P338" s="217"/>
      <c r="Q338" s="217"/>
      <c r="R338" s="218"/>
      <c r="S338" s="28" t="s">
        <v>384</v>
      </c>
      <c r="T338" s="20">
        <v>24</v>
      </c>
    </row>
    <row r="339" spans="1:20" ht="150" customHeight="1" x14ac:dyDescent="0.25">
      <c r="A339" s="30">
        <v>326</v>
      </c>
      <c r="B339" s="24" t="s">
        <v>1770</v>
      </c>
      <c r="C339" s="213" t="s">
        <v>1771</v>
      </c>
      <c r="D339" s="214"/>
      <c r="E339" s="214"/>
      <c r="F339" s="215"/>
      <c r="G339" s="31" t="s">
        <v>1773</v>
      </c>
      <c r="H339" s="24" t="s">
        <v>1772</v>
      </c>
      <c r="I339" s="32">
        <v>1</v>
      </c>
      <c r="J339" s="32">
        <v>0</v>
      </c>
      <c r="K339" s="32">
        <v>0</v>
      </c>
      <c r="L339" s="32">
        <v>0</v>
      </c>
      <c r="M339" s="32">
        <v>0</v>
      </c>
      <c r="N339" s="32">
        <v>0</v>
      </c>
      <c r="O339" s="216" t="s">
        <v>1398</v>
      </c>
      <c r="P339" s="217"/>
      <c r="Q339" s="217"/>
      <c r="R339" s="218"/>
      <c r="S339" s="28" t="s">
        <v>1555</v>
      </c>
      <c r="T339" s="20">
        <v>25</v>
      </c>
    </row>
    <row r="340" spans="1:20" ht="174.95" customHeight="1" x14ac:dyDescent="0.25">
      <c r="A340" s="21">
        <v>327</v>
      </c>
      <c r="B340" s="24" t="s">
        <v>1774</v>
      </c>
      <c r="C340" s="213" t="s">
        <v>1775</v>
      </c>
      <c r="D340" s="214"/>
      <c r="E340" s="214"/>
      <c r="F340" s="215"/>
      <c r="G340" s="31" t="s">
        <v>1777</v>
      </c>
      <c r="H340" s="24" t="s">
        <v>1776</v>
      </c>
      <c r="I340" s="32">
        <v>1</v>
      </c>
      <c r="J340" s="32">
        <v>0</v>
      </c>
      <c r="K340" s="32">
        <v>0</v>
      </c>
      <c r="L340" s="32">
        <v>0</v>
      </c>
      <c r="M340" s="32">
        <v>0</v>
      </c>
      <c r="N340" s="32">
        <v>0</v>
      </c>
      <c r="O340" s="216" t="s">
        <v>632</v>
      </c>
      <c r="P340" s="217"/>
      <c r="Q340" s="217"/>
      <c r="R340" s="218"/>
      <c r="S340" s="28" t="s">
        <v>374</v>
      </c>
      <c r="T340" s="20">
        <v>26</v>
      </c>
    </row>
    <row r="341" spans="1:20" ht="150" customHeight="1" x14ac:dyDescent="0.25">
      <c r="A341" s="30">
        <v>328</v>
      </c>
      <c r="B341" s="24" t="s">
        <v>1774</v>
      </c>
      <c r="C341" s="213" t="s">
        <v>1778</v>
      </c>
      <c r="D341" s="214"/>
      <c r="E341" s="214"/>
      <c r="F341" s="215"/>
      <c r="G341" s="31" t="s">
        <v>1779</v>
      </c>
      <c r="H341" s="24" t="s">
        <v>1780</v>
      </c>
      <c r="I341" s="32">
        <v>1</v>
      </c>
      <c r="J341" s="32">
        <v>0</v>
      </c>
      <c r="K341" s="32">
        <v>0</v>
      </c>
      <c r="L341" s="32">
        <v>0</v>
      </c>
      <c r="M341" s="32">
        <v>0</v>
      </c>
      <c r="N341" s="32">
        <v>0</v>
      </c>
      <c r="O341" s="216" t="s">
        <v>1781</v>
      </c>
      <c r="P341" s="217"/>
      <c r="Q341" s="217"/>
      <c r="R341" s="218"/>
      <c r="S341" s="28" t="s">
        <v>375</v>
      </c>
      <c r="T341" s="20">
        <v>27</v>
      </c>
    </row>
    <row r="342" spans="1:20" ht="150" customHeight="1" x14ac:dyDescent="0.25">
      <c r="A342" s="21">
        <v>329</v>
      </c>
      <c r="B342" s="24" t="s">
        <v>1782</v>
      </c>
      <c r="C342" s="213" t="s">
        <v>1783</v>
      </c>
      <c r="D342" s="214"/>
      <c r="E342" s="214"/>
      <c r="F342" s="215"/>
      <c r="G342" s="31" t="s">
        <v>1785</v>
      </c>
      <c r="H342" s="24" t="s">
        <v>1784</v>
      </c>
      <c r="I342" s="32">
        <v>1</v>
      </c>
      <c r="J342" s="32">
        <v>0</v>
      </c>
      <c r="K342" s="32">
        <v>0</v>
      </c>
      <c r="L342" s="32">
        <v>0</v>
      </c>
      <c r="M342" s="32">
        <v>0</v>
      </c>
      <c r="N342" s="32">
        <v>0</v>
      </c>
      <c r="O342" s="216" t="s">
        <v>1339</v>
      </c>
      <c r="P342" s="217"/>
      <c r="Q342" s="217"/>
      <c r="R342" s="218"/>
      <c r="S342" s="28" t="s">
        <v>375</v>
      </c>
      <c r="T342" s="20">
        <v>28</v>
      </c>
    </row>
    <row r="343" spans="1:20" ht="150" customHeight="1" x14ac:dyDescent="0.25">
      <c r="A343" s="30">
        <v>330</v>
      </c>
      <c r="B343" s="24" t="s">
        <v>1786</v>
      </c>
      <c r="C343" s="213" t="s">
        <v>1787</v>
      </c>
      <c r="D343" s="214"/>
      <c r="E343" s="214"/>
      <c r="F343" s="215"/>
      <c r="G343" s="31" t="s">
        <v>1789</v>
      </c>
      <c r="H343" s="24" t="s">
        <v>1788</v>
      </c>
      <c r="I343" s="32">
        <v>1</v>
      </c>
      <c r="J343" s="32">
        <v>0</v>
      </c>
      <c r="K343" s="32">
        <v>0</v>
      </c>
      <c r="L343" s="32">
        <v>0</v>
      </c>
      <c r="M343" s="32">
        <v>0</v>
      </c>
      <c r="N343" s="32">
        <v>0</v>
      </c>
      <c r="O343" s="216" t="s">
        <v>627</v>
      </c>
      <c r="P343" s="217"/>
      <c r="Q343" s="217"/>
      <c r="R343" s="218"/>
      <c r="S343" s="28" t="s">
        <v>374</v>
      </c>
      <c r="T343" s="20">
        <v>29</v>
      </c>
    </row>
    <row r="344" spans="1:20" ht="150" customHeight="1" x14ac:dyDescent="0.25">
      <c r="A344" s="21">
        <v>331</v>
      </c>
      <c r="B344" s="24" t="s">
        <v>1786</v>
      </c>
      <c r="C344" s="213" t="s">
        <v>1790</v>
      </c>
      <c r="D344" s="214"/>
      <c r="E344" s="214"/>
      <c r="F344" s="215"/>
      <c r="G344" s="31" t="s">
        <v>1792</v>
      </c>
      <c r="H344" s="24" t="s">
        <v>1791</v>
      </c>
      <c r="I344" s="32">
        <v>1</v>
      </c>
      <c r="J344" s="32">
        <v>0</v>
      </c>
      <c r="K344" s="32">
        <v>0</v>
      </c>
      <c r="L344" s="32">
        <v>0</v>
      </c>
      <c r="M344" s="32">
        <v>0</v>
      </c>
      <c r="N344" s="32">
        <v>0</v>
      </c>
      <c r="O344" s="216" t="s">
        <v>1297</v>
      </c>
      <c r="P344" s="217"/>
      <c r="Q344" s="217"/>
      <c r="R344" s="218"/>
      <c r="S344" s="28" t="s">
        <v>46</v>
      </c>
      <c r="T344" s="20">
        <v>30</v>
      </c>
    </row>
    <row r="345" spans="1:20" ht="150" customHeight="1" x14ac:dyDescent="0.25">
      <c r="A345" s="30">
        <v>332</v>
      </c>
      <c r="B345" s="24" t="s">
        <v>1793</v>
      </c>
      <c r="C345" s="213" t="s">
        <v>1794</v>
      </c>
      <c r="D345" s="214"/>
      <c r="E345" s="214"/>
      <c r="F345" s="215"/>
      <c r="G345" s="31" t="s">
        <v>1796</v>
      </c>
      <c r="H345" s="24" t="s">
        <v>1795</v>
      </c>
      <c r="I345" s="32">
        <v>0</v>
      </c>
      <c r="J345" s="32">
        <v>1</v>
      </c>
      <c r="K345" s="32">
        <v>0</v>
      </c>
      <c r="L345" s="32">
        <v>0</v>
      </c>
      <c r="M345" s="32">
        <v>0</v>
      </c>
      <c r="N345" s="32">
        <v>0</v>
      </c>
      <c r="O345" s="216" t="s">
        <v>632</v>
      </c>
      <c r="P345" s="217"/>
      <c r="Q345" s="217"/>
      <c r="R345" s="218"/>
      <c r="S345" s="28" t="s">
        <v>384</v>
      </c>
      <c r="T345" s="20">
        <v>31</v>
      </c>
    </row>
    <row r="346" spans="1:20" ht="150" customHeight="1" x14ac:dyDescent="0.25">
      <c r="A346" s="21">
        <v>333</v>
      </c>
      <c r="B346" s="24" t="s">
        <v>1793</v>
      </c>
      <c r="C346" s="213" t="s">
        <v>1797</v>
      </c>
      <c r="D346" s="214"/>
      <c r="E346" s="214"/>
      <c r="F346" s="215"/>
      <c r="G346" s="31" t="s">
        <v>1799</v>
      </c>
      <c r="H346" s="24" t="s">
        <v>1798</v>
      </c>
      <c r="I346" s="32">
        <v>1</v>
      </c>
      <c r="J346" s="32">
        <v>0</v>
      </c>
      <c r="K346" s="32">
        <v>0</v>
      </c>
      <c r="L346" s="32">
        <v>0</v>
      </c>
      <c r="M346" s="32">
        <v>0</v>
      </c>
      <c r="N346" s="32">
        <v>0</v>
      </c>
      <c r="O346" s="216" t="s">
        <v>1781</v>
      </c>
      <c r="P346" s="217"/>
      <c r="Q346" s="217"/>
      <c r="R346" s="218"/>
      <c r="S346" s="28" t="s">
        <v>46</v>
      </c>
      <c r="T346" s="20">
        <v>32</v>
      </c>
    </row>
    <row r="347" spans="1:20" ht="158.25" customHeight="1" x14ac:dyDescent="0.25">
      <c r="A347" s="30">
        <v>334</v>
      </c>
      <c r="B347" s="24" t="s">
        <v>1800</v>
      </c>
      <c r="C347" s="213" t="s">
        <v>1801</v>
      </c>
      <c r="D347" s="214"/>
      <c r="E347" s="214"/>
      <c r="F347" s="215"/>
      <c r="G347" s="31" t="s">
        <v>1803</v>
      </c>
      <c r="H347" s="24" t="s">
        <v>1802</v>
      </c>
      <c r="I347" s="32">
        <v>0</v>
      </c>
      <c r="J347" s="32">
        <v>1</v>
      </c>
      <c r="K347" s="32">
        <v>0</v>
      </c>
      <c r="L347" s="32">
        <v>0</v>
      </c>
      <c r="M347" s="32">
        <v>0</v>
      </c>
      <c r="N347" s="32">
        <v>0</v>
      </c>
      <c r="O347" s="216" t="s">
        <v>733</v>
      </c>
      <c r="P347" s="217"/>
      <c r="Q347" s="217"/>
      <c r="R347" s="218"/>
      <c r="S347" s="28" t="s">
        <v>384</v>
      </c>
      <c r="T347" s="20">
        <v>33</v>
      </c>
    </row>
    <row r="348" spans="1:20" ht="150" customHeight="1" x14ac:dyDescent="0.25">
      <c r="A348" s="21">
        <v>335</v>
      </c>
      <c r="B348" s="24" t="s">
        <v>1800</v>
      </c>
      <c r="C348" s="213" t="s">
        <v>1804</v>
      </c>
      <c r="D348" s="214"/>
      <c r="E348" s="214"/>
      <c r="F348" s="215"/>
      <c r="G348" s="31" t="s">
        <v>1806</v>
      </c>
      <c r="H348" s="24" t="s">
        <v>1805</v>
      </c>
      <c r="I348" s="32">
        <v>1</v>
      </c>
      <c r="J348" s="32">
        <v>0</v>
      </c>
      <c r="K348" s="32">
        <v>0</v>
      </c>
      <c r="L348" s="32">
        <v>0</v>
      </c>
      <c r="M348" s="32">
        <v>0</v>
      </c>
      <c r="N348" s="32">
        <v>0</v>
      </c>
      <c r="O348" s="216" t="s">
        <v>1807</v>
      </c>
      <c r="P348" s="217"/>
      <c r="Q348" s="217"/>
      <c r="R348" s="218"/>
      <c r="S348" s="28" t="s">
        <v>378</v>
      </c>
      <c r="T348" s="20">
        <v>34</v>
      </c>
    </row>
    <row r="349" spans="1:20" ht="150" customHeight="1" x14ac:dyDescent="0.25">
      <c r="A349" s="30">
        <v>336</v>
      </c>
      <c r="B349" s="24" t="s">
        <v>1808</v>
      </c>
      <c r="C349" s="213" t="s">
        <v>1586</v>
      </c>
      <c r="D349" s="214"/>
      <c r="E349" s="214"/>
      <c r="F349" s="215"/>
      <c r="G349" s="31" t="s">
        <v>1810</v>
      </c>
      <c r="H349" s="24" t="s">
        <v>1809</v>
      </c>
      <c r="I349" s="32">
        <v>1</v>
      </c>
      <c r="J349" s="32">
        <v>0</v>
      </c>
      <c r="K349" s="32">
        <v>0</v>
      </c>
      <c r="L349" s="32">
        <v>0</v>
      </c>
      <c r="M349" s="32">
        <v>0</v>
      </c>
      <c r="N349" s="32">
        <v>0</v>
      </c>
      <c r="O349" s="216" t="s">
        <v>1674</v>
      </c>
      <c r="P349" s="217"/>
      <c r="Q349" s="217"/>
      <c r="R349" s="218"/>
      <c r="S349" s="28" t="s">
        <v>374</v>
      </c>
      <c r="T349" s="20">
        <v>35</v>
      </c>
    </row>
    <row r="350" spans="1:20" ht="150" customHeight="1" x14ac:dyDescent="0.25">
      <c r="A350" s="21">
        <v>337</v>
      </c>
      <c r="B350" s="24" t="s">
        <v>1811</v>
      </c>
      <c r="C350" s="213" t="s">
        <v>353</v>
      </c>
      <c r="D350" s="214"/>
      <c r="E350" s="214"/>
      <c r="F350" s="215"/>
      <c r="G350" s="31" t="s">
        <v>1813</v>
      </c>
      <c r="H350" s="24" t="s">
        <v>1812</v>
      </c>
      <c r="I350" s="32">
        <v>1</v>
      </c>
      <c r="J350" s="32">
        <v>0</v>
      </c>
      <c r="K350" s="32">
        <v>0</v>
      </c>
      <c r="L350" s="32">
        <v>0</v>
      </c>
      <c r="M350" s="32">
        <v>0</v>
      </c>
      <c r="N350" s="32">
        <v>0</v>
      </c>
      <c r="O350" s="216" t="s">
        <v>632</v>
      </c>
      <c r="P350" s="217"/>
      <c r="Q350" s="217"/>
      <c r="R350" s="218"/>
      <c r="S350" s="28" t="s">
        <v>46</v>
      </c>
      <c r="T350" s="20">
        <v>36</v>
      </c>
    </row>
    <row r="351" spans="1:20" ht="150" customHeight="1" x14ac:dyDescent="0.25">
      <c r="A351" s="30">
        <v>338</v>
      </c>
      <c r="B351" s="24" t="s">
        <v>1811</v>
      </c>
      <c r="C351" s="213" t="s">
        <v>1814</v>
      </c>
      <c r="D351" s="214"/>
      <c r="E351" s="214"/>
      <c r="F351" s="215"/>
      <c r="G351" s="31" t="s">
        <v>1816</v>
      </c>
      <c r="H351" s="24" t="s">
        <v>1815</v>
      </c>
      <c r="I351" s="32">
        <v>1</v>
      </c>
      <c r="J351" s="32">
        <v>0</v>
      </c>
      <c r="K351" s="32">
        <v>0</v>
      </c>
      <c r="L351" s="32">
        <v>0</v>
      </c>
      <c r="M351" s="32">
        <v>0</v>
      </c>
      <c r="N351" s="32">
        <v>0</v>
      </c>
      <c r="O351" s="216" t="s">
        <v>1781</v>
      </c>
      <c r="P351" s="217"/>
      <c r="Q351" s="217"/>
      <c r="R351" s="218"/>
      <c r="S351" s="28" t="s">
        <v>374</v>
      </c>
      <c r="T351" s="20">
        <v>37</v>
      </c>
    </row>
    <row r="352" spans="1:20" ht="150" customHeight="1" x14ac:dyDescent="0.25">
      <c r="A352" s="21">
        <v>339</v>
      </c>
      <c r="B352" s="24" t="s">
        <v>1817</v>
      </c>
      <c r="C352" s="213" t="s">
        <v>1818</v>
      </c>
      <c r="D352" s="214"/>
      <c r="E352" s="214"/>
      <c r="F352" s="215"/>
      <c r="G352" s="31" t="s">
        <v>1820</v>
      </c>
      <c r="H352" s="24" t="s">
        <v>1819</v>
      </c>
      <c r="I352" s="32">
        <v>1</v>
      </c>
      <c r="J352" s="32">
        <v>0</v>
      </c>
      <c r="K352" s="32">
        <v>0</v>
      </c>
      <c r="L352" s="32">
        <v>0</v>
      </c>
      <c r="M352" s="32">
        <v>0</v>
      </c>
      <c r="N352" s="32">
        <v>0</v>
      </c>
      <c r="O352" s="216" t="s">
        <v>1718</v>
      </c>
      <c r="P352" s="217"/>
      <c r="Q352" s="217"/>
      <c r="R352" s="218"/>
      <c r="S352" s="28" t="s">
        <v>46</v>
      </c>
      <c r="T352" s="20">
        <v>38</v>
      </c>
    </row>
    <row r="353" spans="1:20" ht="174.95" customHeight="1" x14ac:dyDescent="0.25">
      <c r="A353" s="30">
        <v>340</v>
      </c>
      <c r="B353" s="24" t="s">
        <v>1817</v>
      </c>
      <c r="C353" s="213" t="s">
        <v>1821</v>
      </c>
      <c r="D353" s="214"/>
      <c r="E353" s="214"/>
      <c r="F353" s="215"/>
      <c r="G353" s="31" t="s">
        <v>1823</v>
      </c>
      <c r="H353" s="24" t="s">
        <v>1822</v>
      </c>
      <c r="I353" s="32">
        <v>1</v>
      </c>
      <c r="J353" s="32">
        <v>0</v>
      </c>
      <c r="K353" s="32">
        <v>0</v>
      </c>
      <c r="L353" s="32">
        <v>0</v>
      </c>
      <c r="M353" s="32">
        <v>0</v>
      </c>
      <c r="N353" s="32">
        <v>0</v>
      </c>
      <c r="O353" s="216" t="s">
        <v>1241</v>
      </c>
      <c r="P353" s="217"/>
      <c r="Q353" s="217"/>
      <c r="R353" s="218"/>
      <c r="S353" s="28" t="s">
        <v>1824</v>
      </c>
      <c r="T353" s="20">
        <v>39</v>
      </c>
    </row>
    <row r="354" spans="1:20" ht="174.95" customHeight="1" x14ac:dyDescent="0.25">
      <c r="A354" s="21">
        <v>341</v>
      </c>
      <c r="B354" s="24" t="s">
        <v>1825</v>
      </c>
      <c r="C354" s="213" t="s">
        <v>1826</v>
      </c>
      <c r="D354" s="214"/>
      <c r="E354" s="214"/>
      <c r="F354" s="215"/>
      <c r="G354" s="31" t="s">
        <v>1828</v>
      </c>
      <c r="H354" s="24" t="s">
        <v>1827</v>
      </c>
      <c r="I354" s="32">
        <v>0</v>
      </c>
      <c r="J354" s="32">
        <v>1</v>
      </c>
      <c r="K354" s="32">
        <v>0</v>
      </c>
      <c r="L354" s="32">
        <v>0</v>
      </c>
      <c r="M354" s="32">
        <v>0</v>
      </c>
      <c r="N354" s="32">
        <v>0</v>
      </c>
      <c r="O354" s="216" t="s">
        <v>749</v>
      </c>
      <c r="P354" s="217"/>
      <c r="Q354" s="217"/>
      <c r="R354" s="218"/>
      <c r="S354" s="28" t="s">
        <v>384</v>
      </c>
      <c r="T354" s="20">
        <v>40</v>
      </c>
    </row>
    <row r="355" spans="1:20" ht="174.95" customHeight="1" x14ac:dyDescent="0.25">
      <c r="A355" s="30">
        <v>342</v>
      </c>
      <c r="B355" s="24" t="s">
        <v>1825</v>
      </c>
      <c r="C355" s="213" t="s">
        <v>1829</v>
      </c>
      <c r="D355" s="214"/>
      <c r="E355" s="214"/>
      <c r="F355" s="215"/>
      <c r="G355" s="31" t="s">
        <v>1831</v>
      </c>
      <c r="H355" s="24" t="s">
        <v>1830</v>
      </c>
      <c r="I355" s="32">
        <v>1</v>
      </c>
      <c r="J355" s="32">
        <v>0</v>
      </c>
      <c r="K355" s="32">
        <v>0</v>
      </c>
      <c r="L355" s="32">
        <v>0</v>
      </c>
      <c r="M355" s="32">
        <v>0</v>
      </c>
      <c r="N355" s="32">
        <v>0</v>
      </c>
      <c r="O355" s="216" t="s">
        <v>1319</v>
      </c>
      <c r="P355" s="217"/>
      <c r="Q355" s="217"/>
      <c r="R355" s="218"/>
      <c r="S355" s="28" t="s">
        <v>374</v>
      </c>
      <c r="T355" s="20">
        <v>41</v>
      </c>
    </row>
    <row r="356" spans="1:20" ht="150" customHeight="1" x14ac:dyDescent="0.25">
      <c r="A356" s="21">
        <v>343</v>
      </c>
      <c r="B356" s="24" t="s">
        <v>1832</v>
      </c>
      <c r="C356" s="213" t="s">
        <v>1833</v>
      </c>
      <c r="D356" s="214"/>
      <c r="E356" s="214"/>
      <c r="F356" s="215"/>
      <c r="G356" s="31" t="s">
        <v>1835</v>
      </c>
      <c r="H356" s="24" t="s">
        <v>1834</v>
      </c>
      <c r="I356" s="32">
        <v>1</v>
      </c>
      <c r="J356" s="32">
        <v>0</v>
      </c>
      <c r="K356" s="32">
        <v>0</v>
      </c>
      <c r="L356" s="32">
        <v>0</v>
      </c>
      <c r="M356" s="32">
        <v>0</v>
      </c>
      <c r="N356" s="32">
        <v>0</v>
      </c>
      <c r="O356" s="216" t="s">
        <v>884</v>
      </c>
      <c r="P356" s="217"/>
      <c r="Q356" s="217"/>
      <c r="R356" s="218"/>
      <c r="S356" s="28" t="s">
        <v>46</v>
      </c>
      <c r="T356" s="20">
        <v>42</v>
      </c>
    </row>
    <row r="357" spans="1:20" ht="150" customHeight="1" x14ac:dyDescent="0.25">
      <c r="A357" s="30">
        <v>344</v>
      </c>
      <c r="B357" s="24" t="s">
        <v>1832</v>
      </c>
      <c r="C357" s="213" t="s">
        <v>1836</v>
      </c>
      <c r="D357" s="214"/>
      <c r="E357" s="214"/>
      <c r="F357" s="215"/>
      <c r="G357" s="31" t="s">
        <v>1838</v>
      </c>
      <c r="H357" s="24" t="s">
        <v>1837</v>
      </c>
      <c r="I357" s="32">
        <v>1</v>
      </c>
      <c r="J357" s="32">
        <v>0</v>
      </c>
      <c r="K357" s="32">
        <v>0</v>
      </c>
      <c r="L357" s="32">
        <v>0</v>
      </c>
      <c r="M357" s="32">
        <v>0</v>
      </c>
      <c r="N357" s="32">
        <v>0</v>
      </c>
      <c r="O357" s="216" t="s">
        <v>1305</v>
      </c>
      <c r="P357" s="217"/>
      <c r="Q357" s="217"/>
      <c r="R357" s="218"/>
      <c r="S357" s="28" t="s">
        <v>374</v>
      </c>
      <c r="T357" s="20">
        <v>43</v>
      </c>
    </row>
    <row r="358" spans="1:20" ht="174.95" customHeight="1" x14ac:dyDescent="0.25">
      <c r="A358" s="21">
        <v>345</v>
      </c>
      <c r="B358" s="24" t="s">
        <v>1839</v>
      </c>
      <c r="C358" s="213" t="s">
        <v>1840</v>
      </c>
      <c r="D358" s="214"/>
      <c r="E358" s="214"/>
      <c r="F358" s="215"/>
      <c r="G358" s="31" t="s">
        <v>1842</v>
      </c>
      <c r="H358" s="24" t="s">
        <v>1841</v>
      </c>
      <c r="I358" s="32">
        <v>1</v>
      </c>
      <c r="J358" s="32">
        <v>0</v>
      </c>
      <c r="K358" s="32">
        <v>0</v>
      </c>
      <c r="L358" s="32">
        <v>0</v>
      </c>
      <c r="M358" s="32">
        <v>0</v>
      </c>
      <c r="N358" s="32">
        <v>0</v>
      </c>
      <c r="O358" s="216" t="s">
        <v>733</v>
      </c>
      <c r="P358" s="217"/>
      <c r="Q358" s="217"/>
      <c r="R358" s="218"/>
      <c r="S358" s="28" t="s">
        <v>374</v>
      </c>
      <c r="T358" s="20">
        <v>44</v>
      </c>
    </row>
    <row r="359" spans="1:20" ht="174.95" customHeight="1" x14ac:dyDescent="0.25">
      <c r="A359" s="30">
        <v>346</v>
      </c>
      <c r="B359" s="24" t="s">
        <v>1839</v>
      </c>
      <c r="C359" s="213" t="s">
        <v>1843</v>
      </c>
      <c r="D359" s="214"/>
      <c r="E359" s="214"/>
      <c r="F359" s="215"/>
      <c r="G359" s="31" t="s">
        <v>1845</v>
      </c>
      <c r="H359" s="24" t="s">
        <v>1844</v>
      </c>
      <c r="I359" s="32">
        <v>0</v>
      </c>
      <c r="J359" s="32">
        <v>1</v>
      </c>
      <c r="K359" s="32">
        <v>0</v>
      </c>
      <c r="L359" s="32">
        <v>0</v>
      </c>
      <c r="M359" s="32">
        <v>0</v>
      </c>
      <c r="N359" s="32">
        <v>0</v>
      </c>
      <c r="O359" s="216" t="s">
        <v>1571</v>
      </c>
      <c r="P359" s="217"/>
      <c r="Q359" s="217"/>
      <c r="R359" s="218"/>
      <c r="S359" s="28" t="s">
        <v>1846</v>
      </c>
      <c r="T359" s="20">
        <v>45</v>
      </c>
    </row>
    <row r="360" spans="1:20" ht="174.95" customHeight="1" x14ac:dyDescent="0.25">
      <c r="A360" s="21">
        <v>347</v>
      </c>
      <c r="B360" s="24" t="s">
        <v>1847</v>
      </c>
      <c r="C360" s="213" t="s">
        <v>1848</v>
      </c>
      <c r="D360" s="214"/>
      <c r="E360" s="214"/>
      <c r="F360" s="215"/>
      <c r="G360" s="31" t="s">
        <v>1850</v>
      </c>
      <c r="H360" s="24" t="s">
        <v>1849</v>
      </c>
      <c r="I360" s="32">
        <v>0</v>
      </c>
      <c r="J360" s="32">
        <v>1</v>
      </c>
      <c r="K360" s="32">
        <v>0</v>
      </c>
      <c r="L360" s="32">
        <v>0</v>
      </c>
      <c r="M360" s="32">
        <v>0</v>
      </c>
      <c r="N360" s="32">
        <v>0</v>
      </c>
      <c r="O360" s="216" t="s">
        <v>749</v>
      </c>
      <c r="P360" s="217"/>
      <c r="Q360" s="217"/>
      <c r="R360" s="218"/>
      <c r="S360" s="28" t="s">
        <v>384</v>
      </c>
      <c r="T360" s="20">
        <v>46</v>
      </c>
    </row>
    <row r="361" spans="1:20" ht="174.95" customHeight="1" x14ac:dyDescent="0.25">
      <c r="A361" s="30">
        <v>348</v>
      </c>
      <c r="B361" s="24" t="s">
        <v>1847</v>
      </c>
      <c r="C361" s="213" t="s">
        <v>1851</v>
      </c>
      <c r="D361" s="214"/>
      <c r="E361" s="214"/>
      <c r="F361" s="215"/>
      <c r="G361" s="31" t="s">
        <v>1853</v>
      </c>
      <c r="H361" s="24" t="s">
        <v>1852</v>
      </c>
      <c r="I361" s="32">
        <v>1</v>
      </c>
      <c r="J361" s="32">
        <v>0</v>
      </c>
      <c r="K361" s="32">
        <v>0</v>
      </c>
      <c r="L361" s="32">
        <v>0</v>
      </c>
      <c r="M361" s="32">
        <v>0</v>
      </c>
      <c r="N361" s="32">
        <v>0</v>
      </c>
      <c r="O361" s="216" t="s">
        <v>1319</v>
      </c>
      <c r="P361" s="217"/>
      <c r="Q361" s="217"/>
      <c r="R361" s="218"/>
      <c r="S361" s="28" t="s">
        <v>1555</v>
      </c>
      <c r="T361" s="20">
        <v>47</v>
      </c>
    </row>
    <row r="362" spans="1:20" ht="174.95" customHeight="1" x14ac:dyDescent="0.25">
      <c r="A362" s="21">
        <v>349</v>
      </c>
      <c r="B362" s="24" t="s">
        <v>1854</v>
      </c>
      <c r="C362" s="213" t="s">
        <v>1855</v>
      </c>
      <c r="D362" s="214"/>
      <c r="E362" s="214"/>
      <c r="F362" s="215"/>
      <c r="G362" s="31" t="s">
        <v>1857</v>
      </c>
      <c r="H362" s="24" t="s">
        <v>1856</v>
      </c>
      <c r="I362" s="32">
        <v>1</v>
      </c>
      <c r="J362" s="32">
        <v>0</v>
      </c>
      <c r="K362" s="32">
        <v>0</v>
      </c>
      <c r="L362" s="32">
        <v>0</v>
      </c>
      <c r="M362" s="32">
        <v>0</v>
      </c>
      <c r="N362" s="32">
        <v>0</v>
      </c>
      <c r="O362" s="216" t="s">
        <v>1858</v>
      </c>
      <c r="P362" s="217"/>
      <c r="Q362" s="217"/>
      <c r="R362" s="218"/>
      <c r="S362" s="28" t="s">
        <v>376</v>
      </c>
      <c r="T362" s="20">
        <v>48</v>
      </c>
    </row>
    <row r="363" spans="1:20" ht="174.95" customHeight="1" x14ac:dyDescent="0.25">
      <c r="A363" s="30">
        <v>350</v>
      </c>
      <c r="B363" s="24" t="s">
        <v>1854</v>
      </c>
      <c r="C363" s="213" t="s">
        <v>1859</v>
      </c>
      <c r="D363" s="214"/>
      <c r="E363" s="214"/>
      <c r="F363" s="215"/>
      <c r="G363" s="31" t="s">
        <v>1861</v>
      </c>
      <c r="H363" s="24" t="s">
        <v>1860</v>
      </c>
      <c r="I363" s="32">
        <v>0</v>
      </c>
      <c r="J363" s="32">
        <v>1</v>
      </c>
      <c r="K363" s="32">
        <v>0</v>
      </c>
      <c r="L363" s="32">
        <v>0</v>
      </c>
      <c r="M363" s="32">
        <v>0</v>
      </c>
      <c r="N363" s="32">
        <v>0</v>
      </c>
      <c r="O363" s="216" t="s">
        <v>1305</v>
      </c>
      <c r="P363" s="217"/>
      <c r="Q363" s="217"/>
      <c r="R363" s="218"/>
      <c r="S363" s="28" t="s">
        <v>384</v>
      </c>
      <c r="T363" s="20">
        <v>49</v>
      </c>
    </row>
    <row r="364" spans="1:20" ht="174.95" customHeight="1" x14ac:dyDescent="0.25">
      <c r="A364" s="21">
        <v>351</v>
      </c>
      <c r="B364" s="24" t="s">
        <v>1862</v>
      </c>
      <c r="C364" s="213" t="s">
        <v>456</v>
      </c>
      <c r="D364" s="214"/>
      <c r="E364" s="214"/>
      <c r="F364" s="215"/>
      <c r="G364" s="31" t="s">
        <v>1864</v>
      </c>
      <c r="H364" s="24" t="s">
        <v>1863</v>
      </c>
      <c r="I364" s="32">
        <v>1</v>
      </c>
      <c r="J364" s="32">
        <v>0</v>
      </c>
      <c r="K364" s="32">
        <v>0</v>
      </c>
      <c r="L364" s="32">
        <v>0</v>
      </c>
      <c r="M364" s="32">
        <v>0</v>
      </c>
      <c r="N364" s="32">
        <v>0</v>
      </c>
      <c r="O364" s="216" t="s">
        <v>1674</v>
      </c>
      <c r="P364" s="217"/>
      <c r="Q364" s="217"/>
      <c r="R364" s="218"/>
      <c r="S364" s="28" t="s">
        <v>46</v>
      </c>
      <c r="T364" s="20">
        <v>1</v>
      </c>
    </row>
    <row r="365" spans="1:20" ht="150" customHeight="1" x14ac:dyDescent="0.25">
      <c r="A365" s="30">
        <v>352</v>
      </c>
      <c r="B365" s="24" t="s">
        <v>1862</v>
      </c>
      <c r="C365" s="213" t="s">
        <v>1865</v>
      </c>
      <c r="D365" s="214"/>
      <c r="E365" s="214"/>
      <c r="F365" s="215"/>
      <c r="G365" s="31" t="s">
        <v>1867</v>
      </c>
      <c r="H365" s="24" t="s">
        <v>1866</v>
      </c>
      <c r="I365" s="32">
        <v>0</v>
      </c>
      <c r="J365" s="32">
        <v>1</v>
      </c>
      <c r="K365" s="32">
        <v>0</v>
      </c>
      <c r="L365" s="32">
        <v>0</v>
      </c>
      <c r="M365" s="32">
        <v>0</v>
      </c>
      <c r="N365" s="32">
        <v>0</v>
      </c>
      <c r="O365" s="216" t="s">
        <v>1678</v>
      </c>
      <c r="P365" s="217"/>
      <c r="Q365" s="217"/>
      <c r="R365" s="218"/>
      <c r="S365" s="28" t="s">
        <v>1766</v>
      </c>
      <c r="T365" s="20">
        <v>2</v>
      </c>
    </row>
    <row r="366" spans="1:20" ht="157.5" customHeight="1" x14ac:dyDescent="0.25">
      <c r="A366" s="21">
        <v>353</v>
      </c>
      <c r="B366" s="24" t="s">
        <v>1868</v>
      </c>
      <c r="C366" s="213" t="s">
        <v>1869</v>
      </c>
      <c r="D366" s="214"/>
      <c r="E366" s="214"/>
      <c r="F366" s="215"/>
      <c r="G366" s="31" t="s">
        <v>1871</v>
      </c>
      <c r="H366" s="24" t="s">
        <v>1870</v>
      </c>
      <c r="I366" s="32">
        <v>0</v>
      </c>
      <c r="J366" s="32">
        <v>1</v>
      </c>
      <c r="K366" s="32">
        <v>0</v>
      </c>
      <c r="L366" s="32">
        <v>0</v>
      </c>
      <c r="M366" s="32">
        <v>0</v>
      </c>
      <c r="N366" s="32">
        <v>0</v>
      </c>
      <c r="O366" s="216" t="s">
        <v>1872</v>
      </c>
      <c r="P366" s="217"/>
      <c r="Q366" s="217"/>
      <c r="R366" s="218"/>
      <c r="S366" s="28" t="s">
        <v>384</v>
      </c>
      <c r="T366" s="20">
        <v>3</v>
      </c>
    </row>
    <row r="367" spans="1:20" ht="150" customHeight="1" x14ac:dyDescent="0.25">
      <c r="A367" s="30">
        <v>354</v>
      </c>
      <c r="B367" s="24" t="s">
        <v>1868</v>
      </c>
      <c r="C367" s="213" t="s">
        <v>1873</v>
      </c>
      <c r="D367" s="214"/>
      <c r="E367" s="214"/>
      <c r="F367" s="215"/>
      <c r="G367" s="31" t="s">
        <v>1875</v>
      </c>
      <c r="H367" s="24" t="s">
        <v>1874</v>
      </c>
      <c r="I367" s="32">
        <v>1</v>
      </c>
      <c r="J367" s="32">
        <v>0</v>
      </c>
      <c r="K367" s="32">
        <v>0</v>
      </c>
      <c r="L367" s="32">
        <v>0</v>
      </c>
      <c r="M367" s="32">
        <v>0</v>
      </c>
      <c r="N367" s="32">
        <v>0</v>
      </c>
      <c r="O367" s="216" t="s">
        <v>1517</v>
      </c>
      <c r="P367" s="217"/>
      <c r="Q367" s="217"/>
      <c r="R367" s="218"/>
      <c r="S367" s="28" t="s">
        <v>375</v>
      </c>
      <c r="T367" s="20">
        <v>4</v>
      </c>
    </row>
    <row r="368" spans="1:20" ht="150" customHeight="1" x14ac:dyDescent="0.25">
      <c r="A368" s="21">
        <v>355</v>
      </c>
      <c r="B368" s="24" t="s">
        <v>1876</v>
      </c>
      <c r="C368" s="213" t="s">
        <v>1877</v>
      </c>
      <c r="D368" s="214"/>
      <c r="E368" s="214"/>
      <c r="F368" s="215"/>
      <c r="G368" s="31" t="s">
        <v>1879</v>
      </c>
      <c r="H368" s="24" t="s">
        <v>1878</v>
      </c>
      <c r="I368" s="32">
        <v>1</v>
      </c>
      <c r="J368" s="32">
        <v>0</v>
      </c>
      <c r="K368" s="32">
        <v>0</v>
      </c>
      <c r="L368" s="32">
        <v>0</v>
      </c>
      <c r="M368" s="32">
        <v>0</v>
      </c>
      <c r="N368" s="32">
        <v>0</v>
      </c>
      <c r="O368" s="216" t="s">
        <v>733</v>
      </c>
      <c r="P368" s="217"/>
      <c r="Q368" s="217"/>
      <c r="R368" s="218"/>
      <c r="S368" s="28" t="s">
        <v>374</v>
      </c>
      <c r="T368" s="20">
        <v>5</v>
      </c>
    </row>
    <row r="369" spans="1:20" ht="150" customHeight="1" x14ac:dyDescent="0.25">
      <c r="A369" s="30">
        <v>356</v>
      </c>
      <c r="B369" s="24" t="s">
        <v>1876</v>
      </c>
      <c r="C369" s="213" t="s">
        <v>1880</v>
      </c>
      <c r="D369" s="214"/>
      <c r="E369" s="214"/>
      <c r="F369" s="215"/>
      <c r="G369" s="31" t="s">
        <v>1882</v>
      </c>
      <c r="H369" s="24" t="s">
        <v>1881</v>
      </c>
      <c r="I369" s="32">
        <v>1</v>
      </c>
      <c r="J369" s="32">
        <v>0</v>
      </c>
      <c r="K369" s="32">
        <v>0</v>
      </c>
      <c r="L369" s="32">
        <v>0</v>
      </c>
      <c r="M369" s="32">
        <v>0</v>
      </c>
      <c r="N369" s="32">
        <v>0</v>
      </c>
      <c r="O369" s="216" t="s">
        <v>1883</v>
      </c>
      <c r="P369" s="217"/>
      <c r="Q369" s="217"/>
      <c r="R369" s="218"/>
      <c r="S369" s="28" t="s">
        <v>374</v>
      </c>
      <c r="T369" s="20">
        <v>6</v>
      </c>
    </row>
    <row r="370" spans="1:20" ht="150" customHeight="1" x14ac:dyDescent="0.25">
      <c r="A370" s="21">
        <v>357</v>
      </c>
      <c r="B370" s="24" t="s">
        <v>1884</v>
      </c>
      <c r="C370" s="213" t="s">
        <v>1885</v>
      </c>
      <c r="D370" s="214"/>
      <c r="E370" s="214"/>
      <c r="F370" s="215"/>
      <c r="G370" s="31" t="s">
        <v>1887</v>
      </c>
      <c r="H370" s="24" t="s">
        <v>1886</v>
      </c>
      <c r="I370" s="32">
        <v>1</v>
      </c>
      <c r="J370" s="32">
        <v>0</v>
      </c>
      <c r="K370" s="32">
        <v>0</v>
      </c>
      <c r="L370" s="32">
        <v>0</v>
      </c>
      <c r="M370" s="32">
        <v>0</v>
      </c>
      <c r="N370" s="32">
        <v>0</v>
      </c>
      <c r="O370" s="216" t="s">
        <v>1674</v>
      </c>
      <c r="P370" s="217"/>
      <c r="Q370" s="217"/>
      <c r="R370" s="218"/>
      <c r="S370" s="28" t="s">
        <v>46</v>
      </c>
      <c r="T370" s="20">
        <v>7</v>
      </c>
    </row>
    <row r="371" spans="1:20" ht="150" customHeight="1" x14ac:dyDescent="0.25">
      <c r="A371" s="30">
        <v>358</v>
      </c>
      <c r="B371" s="24" t="s">
        <v>1884</v>
      </c>
      <c r="C371" s="213" t="s">
        <v>1888</v>
      </c>
      <c r="D371" s="214"/>
      <c r="E371" s="214"/>
      <c r="F371" s="215"/>
      <c r="G371" s="31" t="s">
        <v>1890</v>
      </c>
      <c r="H371" s="24" t="s">
        <v>1889</v>
      </c>
      <c r="I371" s="32">
        <v>0</v>
      </c>
      <c r="J371" s="32">
        <v>1</v>
      </c>
      <c r="K371" s="32">
        <v>0</v>
      </c>
      <c r="L371" s="32">
        <v>0</v>
      </c>
      <c r="M371" s="32">
        <v>0</v>
      </c>
      <c r="N371" s="32">
        <v>0</v>
      </c>
      <c r="O371" s="216" t="s">
        <v>1678</v>
      </c>
      <c r="P371" s="217"/>
      <c r="Q371" s="217"/>
      <c r="R371" s="218"/>
      <c r="S371" s="28" t="s">
        <v>383</v>
      </c>
      <c r="T371" s="20">
        <v>8</v>
      </c>
    </row>
    <row r="372" spans="1:20" ht="150" customHeight="1" x14ac:dyDescent="0.25">
      <c r="A372" s="21">
        <v>359</v>
      </c>
      <c r="B372" s="24" t="s">
        <v>1891</v>
      </c>
      <c r="C372" s="213" t="s">
        <v>1892</v>
      </c>
      <c r="D372" s="214"/>
      <c r="E372" s="214"/>
      <c r="F372" s="215"/>
      <c r="G372" s="31" t="s">
        <v>1894</v>
      </c>
      <c r="H372" s="24" t="s">
        <v>1893</v>
      </c>
      <c r="I372" s="32">
        <v>0</v>
      </c>
      <c r="J372" s="32">
        <v>1</v>
      </c>
      <c r="K372" s="32">
        <v>0</v>
      </c>
      <c r="L372" s="32">
        <v>0</v>
      </c>
      <c r="M372" s="32">
        <v>0</v>
      </c>
      <c r="N372" s="32">
        <v>0</v>
      </c>
      <c r="O372" s="216" t="s">
        <v>1872</v>
      </c>
      <c r="P372" s="217"/>
      <c r="Q372" s="217"/>
      <c r="R372" s="218"/>
      <c r="S372" s="28" t="s">
        <v>1895</v>
      </c>
      <c r="T372" s="20">
        <v>9</v>
      </c>
    </row>
    <row r="373" spans="1:20" ht="150" customHeight="1" x14ac:dyDescent="0.25">
      <c r="A373" s="30">
        <v>360</v>
      </c>
      <c r="B373" s="24" t="s">
        <v>1891</v>
      </c>
      <c r="C373" s="213" t="s">
        <v>1896</v>
      </c>
      <c r="D373" s="214"/>
      <c r="E373" s="214"/>
      <c r="F373" s="215"/>
      <c r="G373" s="31" t="s">
        <v>1898</v>
      </c>
      <c r="H373" s="24" t="s">
        <v>1897</v>
      </c>
      <c r="I373" s="32">
        <v>1</v>
      </c>
      <c r="J373" s="32">
        <v>0</v>
      </c>
      <c r="K373" s="32">
        <v>0</v>
      </c>
      <c r="L373" s="32">
        <v>0</v>
      </c>
      <c r="M373" s="32">
        <v>0</v>
      </c>
      <c r="N373" s="32">
        <v>0</v>
      </c>
      <c r="O373" s="216" t="s">
        <v>1517</v>
      </c>
      <c r="P373" s="217"/>
      <c r="Q373" s="217"/>
      <c r="R373" s="218"/>
      <c r="S373" s="28" t="s">
        <v>379</v>
      </c>
      <c r="T373" s="20">
        <v>10</v>
      </c>
    </row>
    <row r="374" spans="1:20" ht="150" customHeight="1" x14ac:dyDescent="0.25">
      <c r="A374" s="21">
        <v>361</v>
      </c>
      <c r="B374" s="24" t="s">
        <v>1899</v>
      </c>
      <c r="C374" s="213" t="s">
        <v>1900</v>
      </c>
      <c r="D374" s="214"/>
      <c r="E374" s="214"/>
      <c r="F374" s="215"/>
      <c r="G374" s="31" t="s">
        <v>1902</v>
      </c>
      <c r="H374" s="24" t="s">
        <v>1901</v>
      </c>
      <c r="I374" s="32">
        <v>1</v>
      </c>
      <c r="J374" s="32">
        <v>0</v>
      </c>
      <c r="K374" s="32">
        <v>0</v>
      </c>
      <c r="L374" s="32">
        <v>0</v>
      </c>
      <c r="M374" s="32">
        <v>0</v>
      </c>
      <c r="N374" s="32">
        <v>0</v>
      </c>
      <c r="O374" s="216" t="s">
        <v>1903</v>
      </c>
      <c r="P374" s="217"/>
      <c r="Q374" s="217"/>
      <c r="R374" s="218"/>
      <c r="S374" s="28" t="s">
        <v>375</v>
      </c>
      <c r="T374" s="20">
        <v>11</v>
      </c>
    </row>
    <row r="375" spans="1:20" ht="174.95" customHeight="1" x14ac:dyDescent="0.25">
      <c r="A375" s="30">
        <v>362</v>
      </c>
      <c r="B375" s="24" t="s">
        <v>1899</v>
      </c>
      <c r="C375" s="213" t="s">
        <v>1904</v>
      </c>
      <c r="D375" s="214"/>
      <c r="E375" s="214"/>
      <c r="F375" s="215"/>
      <c r="G375" s="31" t="s">
        <v>1906</v>
      </c>
      <c r="H375" s="24" t="s">
        <v>1905</v>
      </c>
      <c r="I375" s="32">
        <v>0</v>
      </c>
      <c r="J375" s="32">
        <v>1</v>
      </c>
      <c r="K375" s="32">
        <v>0</v>
      </c>
      <c r="L375" s="32">
        <v>0</v>
      </c>
      <c r="M375" s="32">
        <v>0</v>
      </c>
      <c r="N375" s="32">
        <v>0</v>
      </c>
      <c r="O375" s="216" t="s">
        <v>1883</v>
      </c>
      <c r="P375" s="217"/>
      <c r="Q375" s="217"/>
      <c r="R375" s="218"/>
      <c r="S375" s="28" t="s">
        <v>1907</v>
      </c>
      <c r="T375" s="20">
        <v>12</v>
      </c>
    </row>
    <row r="376" spans="1:20" ht="150" customHeight="1" x14ac:dyDescent="0.25">
      <c r="A376" s="21">
        <v>363</v>
      </c>
      <c r="B376" s="24" t="s">
        <v>1908</v>
      </c>
      <c r="C376" s="213" t="s">
        <v>1909</v>
      </c>
      <c r="D376" s="214"/>
      <c r="E376" s="214"/>
      <c r="F376" s="215"/>
      <c r="G376" s="31" t="s">
        <v>1911</v>
      </c>
      <c r="H376" s="24" t="s">
        <v>1910</v>
      </c>
      <c r="I376" s="32">
        <v>1</v>
      </c>
      <c r="J376" s="32">
        <v>0</v>
      </c>
      <c r="K376" s="32">
        <v>0</v>
      </c>
      <c r="L376" s="32">
        <v>0</v>
      </c>
      <c r="M376" s="32">
        <v>0</v>
      </c>
      <c r="N376" s="32">
        <v>0</v>
      </c>
      <c r="O376" s="216" t="s">
        <v>1912</v>
      </c>
      <c r="P376" s="217"/>
      <c r="Q376" s="217"/>
      <c r="R376" s="218"/>
      <c r="S376" s="28" t="s">
        <v>46</v>
      </c>
      <c r="T376" s="20">
        <v>13</v>
      </c>
    </row>
    <row r="377" spans="1:20" ht="144.75" customHeight="1" x14ac:dyDescent="0.25">
      <c r="A377" s="30">
        <v>364</v>
      </c>
      <c r="B377" s="24" t="s">
        <v>1908</v>
      </c>
      <c r="C377" s="213" t="s">
        <v>1913</v>
      </c>
      <c r="D377" s="214"/>
      <c r="E377" s="214"/>
      <c r="F377" s="215"/>
      <c r="G377" s="31" t="s">
        <v>1915</v>
      </c>
      <c r="H377" s="24" t="s">
        <v>1914</v>
      </c>
      <c r="I377" s="32">
        <v>1</v>
      </c>
      <c r="J377" s="32">
        <v>0</v>
      </c>
      <c r="K377" s="32">
        <v>0</v>
      </c>
      <c r="L377" s="32">
        <v>0</v>
      </c>
      <c r="M377" s="32">
        <v>0</v>
      </c>
      <c r="N377" s="32">
        <v>0</v>
      </c>
      <c r="O377" s="216" t="s">
        <v>1916</v>
      </c>
      <c r="P377" s="217"/>
      <c r="Q377" s="217"/>
      <c r="R377" s="218"/>
      <c r="S377" s="28" t="s">
        <v>46</v>
      </c>
      <c r="T377" s="20">
        <v>14</v>
      </c>
    </row>
    <row r="378" spans="1:20" ht="165" customHeight="1" x14ac:dyDescent="0.25">
      <c r="A378" s="21">
        <v>365</v>
      </c>
      <c r="B378" s="24" t="s">
        <v>1917</v>
      </c>
      <c r="C378" s="213" t="s">
        <v>1918</v>
      </c>
      <c r="D378" s="214"/>
      <c r="E378" s="214"/>
      <c r="F378" s="215"/>
      <c r="G378" s="31" t="s">
        <v>1920</v>
      </c>
      <c r="H378" s="24" t="s">
        <v>1919</v>
      </c>
      <c r="I378" s="32">
        <v>1</v>
      </c>
      <c r="J378" s="32">
        <v>0</v>
      </c>
      <c r="K378" s="32">
        <v>0</v>
      </c>
      <c r="L378" s="32">
        <v>0</v>
      </c>
      <c r="M378" s="32">
        <v>0</v>
      </c>
      <c r="N378" s="32">
        <v>0</v>
      </c>
      <c r="O378" s="216" t="s">
        <v>1921</v>
      </c>
      <c r="P378" s="217"/>
      <c r="Q378" s="217"/>
      <c r="R378" s="218"/>
      <c r="S378" s="28" t="s">
        <v>374</v>
      </c>
      <c r="T378" s="20">
        <v>15</v>
      </c>
    </row>
    <row r="379" spans="1:20" ht="187.5" customHeight="1" x14ac:dyDescent="0.25">
      <c r="A379" s="30">
        <v>366</v>
      </c>
      <c r="B379" s="24" t="s">
        <v>1922</v>
      </c>
      <c r="C379" s="213" t="s">
        <v>1923</v>
      </c>
      <c r="D379" s="214"/>
      <c r="E379" s="214"/>
      <c r="F379" s="215"/>
      <c r="G379" s="31" t="s">
        <v>1925</v>
      </c>
      <c r="H379" s="24" t="s">
        <v>1924</v>
      </c>
      <c r="I379" s="32">
        <v>1</v>
      </c>
      <c r="J379" s="32">
        <v>0</v>
      </c>
      <c r="K379" s="32">
        <v>0</v>
      </c>
      <c r="L379" s="32">
        <v>0</v>
      </c>
      <c r="M379" s="32">
        <v>0</v>
      </c>
      <c r="N379" s="32">
        <v>0</v>
      </c>
      <c r="O379" s="216" t="s">
        <v>1926</v>
      </c>
      <c r="P379" s="217"/>
      <c r="Q379" s="217"/>
      <c r="R379" s="218"/>
      <c r="S379" s="28" t="s">
        <v>375</v>
      </c>
      <c r="T379" s="20">
        <v>16</v>
      </c>
    </row>
    <row r="380" spans="1:20" ht="174.95" customHeight="1" x14ac:dyDescent="0.25">
      <c r="A380" s="21">
        <v>367</v>
      </c>
      <c r="B380" s="24" t="s">
        <v>1927</v>
      </c>
      <c r="C380" s="213" t="s">
        <v>347</v>
      </c>
      <c r="D380" s="214"/>
      <c r="E380" s="214"/>
      <c r="F380" s="215"/>
      <c r="G380" s="31" t="s">
        <v>1929</v>
      </c>
      <c r="H380" s="24" t="s">
        <v>1928</v>
      </c>
      <c r="I380" s="32">
        <v>0</v>
      </c>
      <c r="J380" s="32">
        <v>1</v>
      </c>
      <c r="K380" s="32">
        <v>0</v>
      </c>
      <c r="L380" s="32">
        <v>0</v>
      </c>
      <c r="M380" s="32">
        <v>0</v>
      </c>
      <c r="N380" s="32">
        <v>0</v>
      </c>
      <c r="O380" s="216" t="s">
        <v>1674</v>
      </c>
      <c r="P380" s="217"/>
      <c r="Q380" s="217"/>
      <c r="R380" s="218"/>
      <c r="S380" s="28" t="s">
        <v>384</v>
      </c>
      <c r="T380" s="20">
        <v>17</v>
      </c>
    </row>
    <row r="381" spans="1:20" ht="174.95" customHeight="1" x14ac:dyDescent="0.25">
      <c r="A381" s="30">
        <v>368</v>
      </c>
      <c r="B381" s="24" t="s">
        <v>1927</v>
      </c>
      <c r="C381" s="213" t="s">
        <v>1930</v>
      </c>
      <c r="D381" s="214"/>
      <c r="E381" s="214"/>
      <c r="F381" s="215"/>
      <c r="G381" s="31" t="s">
        <v>1932</v>
      </c>
      <c r="H381" s="24" t="s">
        <v>1931</v>
      </c>
      <c r="I381" s="32">
        <v>1</v>
      </c>
      <c r="J381" s="32">
        <v>0</v>
      </c>
      <c r="K381" s="32">
        <v>0</v>
      </c>
      <c r="L381" s="32">
        <v>0</v>
      </c>
      <c r="M381" s="32">
        <v>0</v>
      </c>
      <c r="N381" s="32">
        <v>0</v>
      </c>
      <c r="O381" s="216" t="s">
        <v>1617</v>
      </c>
      <c r="P381" s="217"/>
      <c r="Q381" s="217"/>
      <c r="R381" s="218"/>
      <c r="S381" s="28" t="s">
        <v>46</v>
      </c>
      <c r="T381" s="20">
        <v>18</v>
      </c>
    </row>
    <row r="382" spans="1:20" ht="150" customHeight="1" x14ac:dyDescent="0.25">
      <c r="A382" s="21">
        <v>369</v>
      </c>
      <c r="B382" s="24" t="s">
        <v>1933</v>
      </c>
      <c r="C382" s="213" t="s">
        <v>941</v>
      </c>
      <c r="D382" s="214"/>
      <c r="E382" s="214"/>
      <c r="F382" s="215"/>
      <c r="G382" s="31" t="s">
        <v>1935</v>
      </c>
      <c r="H382" s="24" t="s">
        <v>1934</v>
      </c>
      <c r="I382" s="32">
        <v>1</v>
      </c>
      <c r="J382" s="32">
        <v>0</v>
      </c>
      <c r="K382" s="32">
        <v>0</v>
      </c>
      <c r="L382" s="32">
        <v>0</v>
      </c>
      <c r="M382" s="32">
        <v>0</v>
      </c>
      <c r="N382" s="32">
        <v>0</v>
      </c>
      <c r="O382" s="216" t="s">
        <v>632</v>
      </c>
      <c r="P382" s="217"/>
      <c r="Q382" s="217"/>
      <c r="R382" s="218"/>
      <c r="S382" s="28" t="s">
        <v>375</v>
      </c>
      <c r="T382" s="20">
        <v>19</v>
      </c>
    </row>
    <row r="383" spans="1:20" ht="182.25" customHeight="1" x14ac:dyDescent="0.25">
      <c r="A383" s="30">
        <v>370</v>
      </c>
      <c r="B383" s="24" t="s">
        <v>1933</v>
      </c>
      <c r="C383" s="213" t="s">
        <v>1936</v>
      </c>
      <c r="D383" s="214"/>
      <c r="E383" s="214"/>
      <c r="F383" s="215"/>
      <c r="G383" s="31" t="s">
        <v>1938</v>
      </c>
      <c r="H383" s="24" t="s">
        <v>1937</v>
      </c>
      <c r="I383" s="32">
        <v>0</v>
      </c>
      <c r="J383" s="32">
        <v>1</v>
      </c>
      <c r="K383" s="32">
        <v>0</v>
      </c>
      <c r="L383" s="32">
        <v>0</v>
      </c>
      <c r="M383" s="32">
        <v>0</v>
      </c>
      <c r="N383" s="32">
        <v>0</v>
      </c>
      <c r="O383" s="216" t="s">
        <v>1517</v>
      </c>
      <c r="P383" s="217"/>
      <c r="Q383" s="217"/>
      <c r="R383" s="218"/>
      <c r="S383" s="28" t="s">
        <v>1939</v>
      </c>
      <c r="T383" s="20">
        <v>20</v>
      </c>
    </row>
    <row r="384" spans="1:20" ht="159" customHeight="1" x14ac:dyDescent="0.25">
      <c r="A384" s="21">
        <v>371</v>
      </c>
      <c r="B384" s="24" t="s">
        <v>1940</v>
      </c>
      <c r="C384" s="213" t="s">
        <v>1941</v>
      </c>
      <c r="D384" s="214"/>
      <c r="E384" s="214"/>
      <c r="F384" s="215"/>
      <c r="G384" s="31" t="s">
        <v>1943</v>
      </c>
      <c r="H384" s="24" t="s">
        <v>1942</v>
      </c>
      <c r="I384" s="32">
        <v>1</v>
      </c>
      <c r="J384" s="32">
        <v>0</v>
      </c>
      <c r="K384" s="32">
        <v>0</v>
      </c>
      <c r="L384" s="32">
        <v>0</v>
      </c>
      <c r="M384" s="32">
        <v>0</v>
      </c>
      <c r="N384" s="32">
        <v>0</v>
      </c>
      <c r="O384" s="216" t="s">
        <v>1944</v>
      </c>
      <c r="P384" s="217"/>
      <c r="Q384" s="217"/>
      <c r="R384" s="218"/>
      <c r="S384" s="28" t="s">
        <v>46</v>
      </c>
      <c r="T384" s="20">
        <v>21</v>
      </c>
    </row>
    <row r="385" spans="1:20" ht="150" customHeight="1" x14ac:dyDescent="0.25">
      <c r="A385" s="30">
        <v>372</v>
      </c>
      <c r="B385" s="24" t="s">
        <v>1945</v>
      </c>
      <c r="C385" s="213" t="s">
        <v>1946</v>
      </c>
      <c r="D385" s="214"/>
      <c r="E385" s="214"/>
      <c r="F385" s="215"/>
      <c r="G385" s="31" t="s">
        <v>1948</v>
      </c>
      <c r="H385" s="24" t="s">
        <v>1947</v>
      </c>
      <c r="I385" s="32">
        <v>0</v>
      </c>
      <c r="J385" s="32">
        <v>1</v>
      </c>
      <c r="K385" s="32">
        <v>0</v>
      </c>
      <c r="L385" s="32">
        <v>0</v>
      </c>
      <c r="M385" s="32">
        <v>0</v>
      </c>
      <c r="N385" s="32">
        <v>0</v>
      </c>
      <c r="O385" s="216" t="s">
        <v>1674</v>
      </c>
      <c r="P385" s="217"/>
      <c r="Q385" s="217"/>
      <c r="R385" s="218"/>
      <c r="S385" s="28" t="s">
        <v>384</v>
      </c>
      <c r="T385" s="20">
        <v>22</v>
      </c>
    </row>
    <row r="386" spans="1:20" ht="150" customHeight="1" x14ac:dyDescent="0.25">
      <c r="A386" s="21">
        <v>373</v>
      </c>
      <c r="B386" s="24" t="s">
        <v>1945</v>
      </c>
      <c r="C386" s="213" t="s">
        <v>1949</v>
      </c>
      <c r="D386" s="214"/>
      <c r="E386" s="214"/>
      <c r="F386" s="215"/>
      <c r="G386" s="31" t="s">
        <v>1951</v>
      </c>
      <c r="H386" s="24" t="s">
        <v>1950</v>
      </c>
      <c r="I386" s="32">
        <v>1</v>
      </c>
      <c r="J386" s="32">
        <v>0</v>
      </c>
      <c r="K386" s="32">
        <v>0</v>
      </c>
      <c r="L386" s="32">
        <v>0</v>
      </c>
      <c r="M386" s="32">
        <v>0</v>
      </c>
      <c r="N386" s="32">
        <v>0</v>
      </c>
      <c r="O386" s="216" t="s">
        <v>1678</v>
      </c>
      <c r="P386" s="217"/>
      <c r="Q386" s="217"/>
      <c r="R386" s="218"/>
      <c r="S386" s="28" t="s">
        <v>377</v>
      </c>
      <c r="T386" s="20">
        <v>23</v>
      </c>
    </row>
    <row r="387" spans="1:20" ht="174.95" customHeight="1" x14ac:dyDescent="0.25">
      <c r="A387" s="30">
        <v>374</v>
      </c>
      <c r="B387" s="24" t="s">
        <v>1952</v>
      </c>
      <c r="C387" s="213" t="s">
        <v>1953</v>
      </c>
      <c r="D387" s="214"/>
      <c r="E387" s="214"/>
      <c r="F387" s="215"/>
      <c r="G387" s="31" t="s">
        <v>1955</v>
      </c>
      <c r="H387" s="24" t="s">
        <v>1954</v>
      </c>
      <c r="I387" s="32">
        <v>1</v>
      </c>
      <c r="J387" s="32">
        <v>0</v>
      </c>
      <c r="K387" s="32">
        <v>0</v>
      </c>
      <c r="L387" s="32">
        <v>0</v>
      </c>
      <c r="M387" s="32">
        <v>0</v>
      </c>
      <c r="N387" s="32">
        <v>0</v>
      </c>
      <c r="O387" s="216" t="s">
        <v>632</v>
      </c>
      <c r="P387" s="217"/>
      <c r="Q387" s="217"/>
      <c r="R387" s="218"/>
      <c r="S387" s="28" t="s">
        <v>375</v>
      </c>
      <c r="T387" s="20">
        <v>24</v>
      </c>
    </row>
    <row r="388" spans="1:20" ht="186.75" customHeight="1" x14ac:dyDescent="0.25">
      <c r="A388" s="21">
        <v>375</v>
      </c>
      <c r="B388" s="24" t="s">
        <v>1952</v>
      </c>
      <c r="C388" s="213" t="s">
        <v>1956</v>
      </c>
      <c r="D388" s="214"/>
      <c r="E388" s="214"/>
      <c r="F388" s="215"/>
      <c r="G388" s="31" t="s">
        <v>1958</v>
      </c>
      <c r="H388" s="24" t="s">
        <v>1957</v>
      </c>
      <c r="I388" s="32">
        <v>1</v>
      </c>
      <c r="J388" s="32">
        <v>0</v>
      </c>
      <c r="K388" s="32">
        <v>0</v>
      </c>
      <c r="L388" s="32">
        <v>0</v>
      </c>
      <c r="M388" s="32">
        <v>0</v>
      </c>
      <c r="N388" s="32">
        <v>0</v>
      </c>
      <c r="O388" s="216" t="s">
        <v>1292</v>
      </c>
      <c r="P388" s="217"/>
      <c r="Q388" s="217"/>
      <c r="R388" s="218"/>
      <c r="S388" s="28" t="s">
        <v>374</v>
      </c>
      <c r="T388" s="20">
        <v>25</v>
      </c>
    </row>
    <row r="389" spans="1:20" ht="174.95" customHeight="1" x14ac:dyDescent="0.25">
      <c r="A389" s="30">
        <v>376</v>
      </c>
      <c r="B389" s="24" t="s">
        <v>1959</v>
      </c>
      <c r="C389" s="213" t="s">
        <v>815</v>
      </c>
      <c r="D389" s="214"/>
      <c r="E389" s="214"/>
      <c r="F389" s="215"/>
      <c r="G389" s="31" t="s">
        <v>1961</v>
      </c>
      <c r="H389" s="24" t="s">
        <v>1960</v>
      </c>
      <c r="I389" s="32">
        <v>1</v>
      </c>
      <c r="J389" s="32">
        <v>0</v>
      </c>
      <c r="K389" s="32">
        <v>0</v>
      </c>
      <c r="L389" s="32">
        <v>0</v>
      </c>
      <c r="M389" s="32">
        <v>0</v>
      </c>
      <c r="N389" s="32">
        <v>0</v>
      </c>
      <c r="O389" s="216" t="s">
        <v>733</v>
      </c>
      <c r="P389" s="217"/>
      <c r="Q389" s="217"/>
      <c r="R389" s="218"/>
      <c r="S389" s="28" t="s">
        <v>46</v>
      </c>
      <c r="T389" s="20">
        <v>26</v>
      </c>
    </row>
    <row r="390" spans="1:20" ht="150" customHeight="1" x14ac:dyDescent="0.25">
      <c r="A390" s="21">
        <v>377</v>
      </c>
      <c r="B390" s="24" t="s">
        <v>1959</v>
      </c>
      <c r="C390" s="213" t="s">
        <v>1962</v>
      </c>
      <c r="D390" s="214"/>
      <c r="E390" s="214"/>
      <c r="F390" s="215"/>
      <c r="G390" s="31" t="s">
        <v>1963</v>
      </c>
      <c r="H390" s="24" t="s">
        <v>1964</v>
      </c>
      <c r="I390" s="32">
        <v>1</v>
      </c>
      <c r="J390" s="32">
        <v>0</v>
      </c>
      <c r="K390" s="32">
        <v>0</v>
      </c>
      <c r="L390" s="32">
        <v>0</v>
      </c>
      <c r="M390" s="32">
        <v>0</v>
      </c>
      <c r="N390" s="32">
        <v>0</v>
      </c>
      <c r="O390" s="216" t="s">
        <v>1241</v>
      </c>
      <c r="P390" s="217"/>
      <c r="Q390" s="217"/>
      <c r="R390" s="218"/>
      <c r="S390" s="28" t="s">
        <v>46</v>
      </c>
      <c r="T390" s="20">
        <v>27</v>
      </c>
    </row>
    <row r="391" spans="1:20" ht="150" customHeight="1" x14ac:dyDescent="0.25">
      <c r="A391" s="30">
        <v>378</v>
      </c>
      <c r="B391" s="24" t="s">
        <v>1965</v>
      </c>
      <c r="C391" s="213" t="s">
        <v>1966</v>
      </c>
      <c r="D391" s="214"/>
      <c r="E391" s="214"/>
      <c r="F391" s="215"/>
      <c r="G391" s="31" t="s">
        <v>1968</v>
      </c>
      <c r="H391" s="24" t="s">
        <v>1967</v>
      </c>
      <c r="I391" s="32">
        <v>1</v>
      </c>
      <c r="J391" s="32">
        <v>0</v>
      </c>
      <c r="K391" s="32">
        <v>0</v>
      </c>
      <c r="L391" s="32">
        <v>0</v>
      </c>
      <c r="M391" s="32">
        <v>0</v>
      </c>
      <c r="N391" s="32">
        <v>0</v>
      </c>
      <c r="O391" s="216" t="s">
        <v>1292</v>
      </c>
      <c r="P391" s="217"/>
      <c r="Q391" s="217"/>
      <c r="R391" s="218"/>
      <c r="S391" s="28" t="s">
        <v>377</v>
      </c>
      <c r="T391" s="20">
        <v>28</v>
      </c>
    </row>
    <row r="392" spans="1:20" ht="150" customHeight="1" x14ac:dyDescent="0.25">
      <c r="A392" s="21">
        <v>379</v>
      </c>
      <c r="B392" s="24" t="s">
        <v>1969</v>
      </c>
      <c r="C392" s="213" t="s">
        <v>1970</v>
      </c>
      <c r="D392" s="214"/>
      <c r="E392" s="214"/>
      <c r="F392" s="215"/>
      <c r="G392" s="31" t="s">
        <v>1972</v>
      </c>
      <c r="H392" s="24" t="s">
        <v>1971</v>
      </c>
      <c r="I392" s="32">
        <v>1</v>
      </c>
      <c r="J392" s="32">
        <v>0</v>
      </c>
      <c r="K392" s="32">
        <v>0</v>
      </c>
      <c r="L392" s="32">
        <v>0</v>
      </c>
      <c r="M392" s="32">
        <v>0</v>
      </c>
      <c r="N392" s="32">
        <v>0</v>
      </c>
      <c r="O392" s="216" t="s">
        <v>1973</v>
      </c>
      <c r="P392" s="217"/>
      <c r="Q392" s="217"/>
      <c r="R392" s="218"/>
      <c r="S392" s="28" t="s">
        <v>375</v>
      </c>
      <c r="T392" s="20">
        <v>29</v>
      </c>
    </row>
    <row r="393" spans="1:20" ht="150" customHeight="1" x14ac:dyDescent="0.25">
      <c r="A393" s="30">
        <v>380</v>
      </c>
      <c r="B393" s="24" t="s">
        <v>1969</v>
      </c>
      <c r="C393" s="213" t="s">
        <v>1974</v>
      </c>
      <c r="D393" s="214"/>
      <c r="E393" s="214"/>
      <c r="F393" s="215"/>
      <c r="G393" s="31" t="s">
        <v>1976</v>
      </c>
      <c r="H393" s="24" t="s">
        <v>1975</v>
      </c>
      <c r="I393" s="32">
        <v>1</v>
      </c>
      <c r="J393" s="32">
        <v>0</v>
      </c>
      <c r="K393" s="32">
        <v>0</v>
      </c>
      <c r="L393" s="32">
        <v>0</v>
      </c>
      <c r="M393" s="32">
        <v>0</v>
      </c>
      <c r="N393" s="32">
        <v>0</v>
      </c>
      <c r="O393" s="216" t="s">
        <v>1571</v>
      </c>
      <c r="P393" s="217"/>
      <c r="Q393" s="217"/>
      <c r="R393" s="218"/>
      <c r="S393" s="28" t="s">
        <v>384</v>
      </c>
      <c r="T393" s="20">
        <v>30</v>
      </c>
    </row>
    <row r="394" spans="1:20" ht="174.95" customHeight="1" x14ac:dyDescent="0.25">
      <c r="A394" s="21">
        <v>381</v>
      </c>
      <c r="B394" s="24" t="s">
        <v>1977</v>
      </c>
      <c r="C394" s="213" t="s">
        <v>1885</v>
      </c>
      <c r="D394" s="214"/>
      <c r="E394" s="214"/>
      <c r="F394" s="215"/>
      <c r="G394" s="31" t="s">
        <v>1979</v>
      </c>
      <c r="H394" s="24" t="s">
        <v>1978</v>
      </c>
      <c r="I394" s="32">
        <v>1</v>
      </c>
      <c r="J394" s="32">
        <v>0</v>
      </c>
      <c r="K394" s="32">
        <v>0</v>
      </c>
      <c r="L394" s="32">
        <v>0</v>
      </c>
      <c r="M394" s="32">
        <v>0</v>
      </c>
      <c r="N394" s="32">
        <v>0</v>
      </c>
      <c r="O394" s="216" t="s">
        <v>1674</v>
      </c>
      <c r="P394" s="217"/>
      <c r="Q394" s="217"/>
      <c r="R394" s="218"/>
      <c r="S394" s="28" t="s">
        <v>374</v>
      </c>
      <c r="T394" s="20">
        <v>31</v>
      </c>
    </row>
    <row r="395" spans="1:20" ht="174.95" customHeight="1" x14ac:dyDescent="0.25">
      <c r="A395" s="30">
        <v>382</v>
      </c>
      <c r="B395" s="24" t="s">
        <v>1977</v>
      </c>
      <c r="C395" s="213" t="s">
        <v>1980</v>
      </c>
      <c r="D395" s="214"/>
      <c r="E395" s="214"/>
      <c r="F395" s="215"/>
      <c r="G395" s="31" t="s">
        <v>1963</v>
      </c>
      <c r="H395" s="24" t="s">
        <v>1981</v>
      </c>
      <c r="I395" s="32">
        <v>1</v>
      </c>
      <c r="J395" s="32">
        <v>0</v>
      </c>
      <c r="K395" s="32">
        <v>1</v>
      </c>
      <c r="L395" s="32">
        <v>0</v>
      </c>
      <c r="M395" s="32">
        <v>0</v>
      </c>
      <c r="N395" s="32">
        <v>0</v>
      </c>
      <c r="O395" s="216" t="s">
        <v>1678</v>
      </c>
      <c r="P395" s="217"/>
      <c r="Q395" s="217"/>
      <c r="R395" s="218"/>
      <c r="S395" s="28" t="s">
        <v>374</v>
      </c>
      <c r="T395" s="20">
        <v>32</v>
      </c>
    </row>
    <row r="396" spans="1:20" ht="189.75" customHeight="1" x14ac:dyDescent="0.25">
      <c r="A396" s="21">
        <v>383</v>
      </c>
      <c r="B396" s="24" t="s">
        <v>1982</v>
      </c>
      <c r="C396" s="213" t="s">
        <v>1983</v>
      </c>
      <c r="D396" s="214"/>
      <c r="E396" s="214"/>
      <c r="F396" s="215"/>
      <c r="G396" s="31" t="s">
        <v>1985</v>
      </c>
      <c r="H396" s="24" t="s">
        <v>1984</v>
      </c>
      <c r="I396" s="32">
        <v>1</v>
      </c>
      <c r="J396" s="32">
        <v>0</v>
      </c>
      <c r="K396" s="32">
        <v>0</v>
      </c>
      <c r="L396" s="32">
        <v>0</v>
      </c>
      <c r="M396" s="32">
        <v>0</v>
      </c>
      <c r="N396" s="32">
        <v>0</v>
      </c>
      <c r="O396" s="216" t="s">
        <v>632</v>
      </c>
      <c r="P396" s="217"/>
      <c r="Q396" s="217"/>
      <c r="R396" s="218"/>
      <c r="S396" s="28" t="s">
        <v>374</v>
      </c>
      <c r="T396" s="20">
        <v>33</v>
      </c>
    </row>
    <row r="397" spans="1:20" ht="150" customHeight="1" x14ac:dyDescent="0.25">
      <c r="A397" s="30">
        <v>384</v>
      </c>
      <c r="B397" s="24" t="s">
        <v>1982</v>
      </c>
      <c r="C397" s="213" t="s">
        <v>1986</v>
      </c>
      <c r="D397" s="214"/>
      <c r="E397" s="214"/>
      <c r="F397" s="215"/>
      <c r="G397" s="31" t="s">
        <v>1988</v>
      </c>
      <c r="H397" s="24" t="s">
        <v>1987</v>
      </c>
      <c r="I397" s="32">
        <v>1</v>
      </c>
      <c r="J397" s="32">
        <v>0</v>
      </c>
      <c r="K397" s="32">
        <v>0</v>
      </c>
      <c r="L397" s="32">
        <v>0</v>
      </c>
      <c r="M397" s="32">
        <v>0</v>
      </c>
      <c r="N397" s="32">
        <v>0</v>
      </c>
      <c r="O397" s="216" t="s">
        <v>1292</v>
      </c>
      <c r="P397" s="217"/>
      <c r="Q397" s="217"/>
      <c r="R397" s="218"/>
      <c r="S397" s="28" t="s">
        <v>375</v>
      </c>
      <c r="T397" s="20">
        <v>34</v>
      </c>
    </row>
    <row r="398" spans="1:20" ht="147.75" customHeight="1" x14ac:dyDescent="0.25">
      <c r="A398" s="21">
        <v>385</v>
      </c>
      <c r="B398" s="24" t="s">
        <v>1989</v>
      </c>
      <c r="C398" s="213" t="s">
        <v>1990</v>
      </c>
      <c r="D398" s="214"/>
      <c r="E398" s="214"/>
      <c r="F398" s="215"/>
      <c r="G398" s="31" t="s">
        <v>1992</v>
      </c>
      <c r="H398" s="24" t="s">
        <v>1991</v>
      </c>
      <c r="I398" s="32">
        <v>1</v>
      </c>
      <c r="J398" s="32">
        <v>0</v>
      </c>
      <c r="K398" s="32">
        <v>0</v>
      </c>
      <c r="L398" s="32">
        <v>0</v>
      </c>
      <c r="M398" s="32">
        <v>0</v>
      </c>
      <c r="N398" s="32">
        <v>0</v>
      </c>
      <c r="O398" s="216" t="s">
        <v>733</v>
      </c>
      <c r="P398" s="217"/>
      <c r="Q398" s="217"/>
      <c r="R398" s="218"/>
      <c r="S398" s="28" t="s">
        <v>374</v>
      </c>
      <c r="T398" s="20">
        <v>35</v>
      </c>
    </row>
    <row r="399" spans="1:20" ht="144.75" customHeight="1" x14ac:dyDescent="0.25">
      <c r="A399" s="30">
        <v>386</v>
      </c>
      <c r="B399" s="24" t="s">
        <v>1989</v>
      </c>
      <c r="C399" s="213" t="s">
        <v>1993</v>
      </c>
      <c r="D399" s="214"/>
      <c r="E399" s="214"/>
      <c r="F399" s="215"/>
      <c r="G399" s="31" t="s">
        <v>1995</v>
      </c>
      <c r="H399" s="24" t="s">
        <v>1994</v>
      </c>
      <c r="I399" s="32">
        <v>1</v>
      </c>
      <c r="J399" s="32">
        <v>0</v>
      </c>
      <c r="K399" s="32">
        <v>0</v>
      </c>
      <c r="L399" s="32">
        <v>0</v>
      </c>
      <c r="M399" s="32">
        <v>0</v>
      </c>
      <c r="N399" s="32">
        <v>0</v>
      </c>
      <c r="O399" s="216" t="s">
        <v>1353</v>
      </c>
      <c r="P399" s="217"/>
      <c r="Q399" s="217"/>
      <c r="R399" s="218"/>
      <c r="S399" s="28" t="s">
        <v>374</v>
      </c>
      <c r="T399" s="20">
        <v>36</v>
      </c>
    </row>
    <row r="400" spans="1:20" ht="147.75" customHeight="1" x14ac:dyDescent="0.25">
      <c r="A400" s="21">
        <v>387</v>
      </c>
      <c r="B400" s="24" t="s">
        <v>1996</v>
      </c>
      <c r="C400" s="213" t="s">
        <v>402</v>
      </c>
      <c r="D400" s="214"/>
      <c r="E400" s="214"/>
      <c r="F400" s="215"/>
      <c r="G400" s="31" t="s">
        <v>1998</v>
      </c>
      <c r="H400" s="24" t="s">
        <v>1997</v>
      </c>
      <c r="I400" s="32">
        <v>1</v>
      </c>
      <c r="J400" s="32">
        <v>0</v>
      </c>
      <c r="K400" s="32">
        <v>0</v>
      </c>
      <c r="L400" s="32">
        <v>0</v>
      </c>
      <c r="M400" s="32">
        <v>0</v>
      </c>
      <c r="N400" s="32">
        <v>0</v>
      </c>
      <c r="O400" s="216" t="s">
        <v>1872</v>
      </c>
      <c r="P400" s="217"/>
      <c r="Q400" s="217"/>
      <c r="R400" s="218"/>
      <c r="S400" s="28" t="s">
        <v>374</v>
      </c>
      <c r="T400" s="20">
        <v>37</v>
      </c>
    </row>
    <row r="401" spans="1:20" ht="151.5" customHeight="1" x14ac:dyDescent="0.25">
      <c r="A401" s="30">
        <v>388</v>
      </c>
      <c r="B401" s="24" t="s">
        <v>1996</v>
      </c>
      <c r="C401" s="213" t="s">
        <v>1999</v>
      </c>
      <c r="D401" s="214"/>
      <c r="E401" s="214"/>
      <c r="F401" s="215"/>
      <c r="G401" s="31" t="s">
        <v>2001</v>
      </c>
      <c r="H401" s="24" t="s">
        <v>2000</v>
      </c>
      <c r="I401" s="32">
        <v>0</v>
      </c>
      <c r="J401" s="32">
        <v>1</v>
      </c>
      <c r="K401" s="32">
        <v>0</v>
      </c>
      <c r="L401" s="32">
        <v>0</v>
      </c>
      <c r="M401" s="32">
        <v>0</v>
      </c>
      <c r="N401" s="32">
        <v>0</v>
      </c>
      <c r="O401" s="216" t="s">
        <v>2003</v>
      </c>
      <c r="P401" s="217"/>
      <c r="Q401" s="217"/>
      <c r="R401" s="218"/>
      <c r="S401" s="28" t="s">
        <v>2002</v>
      </c>
      <c r="T401" s="20">
        <v>38</v>
      </c>
    </row>
    <row r="402" spans="1:20" ht="158.25" customHeight="1" x14ac:dyDescent="0.25">
      <c r="A402" s="21">
        <v>389</v>
      </c>
      <c r="B402" s="24" t="s">
        <v>2004</v>
      </c>
      <c r="C402" s="213" t="s">
        <v>2005</v>
      </c>
      <c r="D402" s="214"/>
      <c r="E402" s="214"/>
      <c r="F402" s="215"/>
      <c r="G402" s="31" t="s">
        <v>2007</v>
      </c>
      <c r="H402" s="24" t="s">
        <v>2006</v>
      </c>
      <c r="I402" s="32">
        <v>1</v>
      </c>
      <c r="J402" s="32">
        <v>0</v>
      </c>
      <c r="K402" s="32">
        <v>0</v>
      </c>
      <c r="L402" s="32">
        <v>0</v>
      </c>
      <c r="M402" s="32">
        <v>0</v>
      </c>
      <c r="N402" s="32">
        <v>0</v>
      </c>
      <c r="O402" s="216" t="s">
        <v>1674</v>
      </c>
      <c r="P402" s="217"/>
      <c r="Q402" s="217"/>
      <c r="R402" s="218"/>
      <c r="S402" s="28" t="s">
        <v>46</v>
      </c>
      <c r="T402" s="20">
        <v>39</v>
      </c>
    </row>
    <row r="403" spans="1:20" ht="135" customHeight="1" x14ac:dyDescent="0.25">
      <c r="A403" s="30">
        <v>390</v>
      </c>
      <c r="B403" s="24" t="s">
        <v>2004</v>
      </c>
      <c r="C403" s="213" t="s">
        <v>2008</v>
      </c>
      <c r="D403" s="214"/>
      <c r="E403" s="214"/>
      <c r="F403" s="215"/>
      <c r="G403" s="31" t="s">
        <v>2010</v>
      </c>
      <c r="H403" s="24" t="s">
        <v>2009</v>
      </c>
      <c r="I403" s="32">
        <v>1</v>
      </c>
      <c r="J403" s="32">
        <v>0</v>
      </c>
      <c r="K403" s="32">
        <v>0</v>
      </c>
      <c r="L403" s="32">
        <v>0</v>
      </c>
      <c r="M403" s="32">
        <v>0</v>
      </c>
      <c r="N403" s="32">
        <v>0</v>
      </c>
      <c r="O403" s="216" t="s">
        <v>1678</v>
      </c>
      <c r="P403" s="217"/>
      <c r="Q403" s="217"/>
      <c r="R403" s="218"/>
      <c r="S403" s="28" t="s">
        <v>377</v>
      </c>
      <c r="T403" s="20">
        <v>40</v>
      </c>
    </row>
    <row r="404" spans="1:20" ht="148.5" customHeight="1" x14ac:dyDescent="0.25">
      <c r="A404" s="21">
        <v>391</v>
      </c>
      <c r="B404" s="24" t="s">
        <v>2011</v>
      </c>
      <c r="C404" s="213" t="s">
        <v>2012</v>
      </c>
      <c r="D404" s="214"/>
      <c r="E404" s="214"/>
      <c r="F404" s="215"/>
      <c r="G404" s="31" t="s">
        <v>2014</v>
      </c>
      <c r="H404" s="24" t="s">
        <v>2013</v>
      </c>
      <c r="I404" s="32">
        <v>1</v>
      </c>
      <c r="J404" s="32">
        <v>0</v>
      </c>
      <c r="K404" s="32">
        <v>0</v>
      </c>
      <c r="L404" s="32">
        <v>0</v>
      </c>
      <c r="M404" s="32">
        <v>0</v>
      </c>
      <c r="N404" s="32">
        <v>0</v>
      </c>
      <c r="O404" s="216" t="s">
        <v>1872</v>
      </c>
      <c r="P404" s="217"/>
      <c r="Q404" s="217"/>
      <c r="R404" s="218"/>
      <c r="S404" s="28" t="s">
        <v>1555</v>
      </c>
      <c r="T404" s="20">
        <v>41</v>
      </c>
    </row>
    <row r="405" spans="1:20" ht="159.75" customHeight="1" x14ac:dyDescent="0.25">
      <c r="A405" s="30">
        <v>392</v>
      </c>
      <c r="B405" s="24" t="s">
        <v>2011</v>
      </c>
      <c r="C405" s="213" t="s">
        <v>2015</v>
      </c>
      <c r="D405" s="214"/>
      <c r="E405" s="214"/>
      <c r="F405" s="215"/>
      <c r="G405" s="31" t="s">
        <v>2017</v>
      </c>
      <c r="H405" s="24" t="s">
        <v>2016</v>
      </c>
      <c r="I405" s="32">
        <v>1</v>
      </c>
      <c r="J405" s="32">
        <v>0</v>
      </c>
      <c r="K405" s="32">
        <v>0</v>
      </c>
      <c r="L405" s="32">
        <v>0</v>
      </c>
      <c r="M405" s="32">
        <v>0</v>
      </c>
      <c r="N405" s="32">
        <v>0</v>
      </c>
      <c r="O405" s="216" t="s">
        <v>2018</v>
      </c>
      <c r="P405" s="217"/>
      <c r="Q405" s="217"/>
      <c r="R405" s="218"/>
      <c r="S405" s="28" t="s">
        <v>374</v>
      </c>
      <c r="T405" s="20">
        <v>42</v>
      </c>
    </row>
    <row r="406" spans="1:20" ht="143.25" customHeight="1" x14ac:dyDescent="0.25">
      <c r="A406" s="21">
        <v>393</v>
      </c>
      <c r="B406" s="24" t="s">
        <v>2019</v>
      </c>
      <c r="C406" s="213" t="s">
        <v>356</v>
      </c>
      <c r="D406" s="214"/>
      <c r="E406" s="214"/>
      <c r="F406" s="215"/>
      <c r="G406" s="31" t="s">
        <v>2020</v>
      </c>
      <c r="H406" s="24" t="s">
        <v>2021</v>
      </c>
      <c r="I406" s="32">
        <v>1</v>
      </c>
      <c r="J406" s="32">
        <v>0</v>
      </c>
      <c r="K406" s="32">
        <v>0</v>
      </c>
      <c r="L406" s="32">
        <v>0</v>
      </c>
      <c r="M406" s="32">
        <v>0</v>
      </c>
      <c r="N406" s="32">
        <v>0</v>
      </c>
      <c r="O406" s="216" t="s">
        <v>1450</v>
      </c>
      <c r="P406" s="217"/>
      <c r="Q406" s="217"/>
      <c r="R406" s="218"/>
      <c r="S406" s="28" t="s">
        <v>46</v>
      </c>
      <c r="T406" s="20">
        <v>43</v>
      </c>
    </row>
    <row r="407" spans="1:20" ht="135" customHeight="1" x14ac:dyDescent="0.25">
      <c r="A407" s="30">
        <v>394</v>
      </c>
      <c r="B407" s="24" t="s">
        <v>2019</v>
      </c>
      <c r="C407" s="213" t="s">
        <v>2022</v>
      </c>
      <c r="D407" s="214"/>
      <c r="E407" s="214"/>
      <c r="F407" s="215"/>
      <c r="G407" s="31" t="s">
        <v>2024</v>
      </c>
      <c r="H407" s="24" t="s">
        <v>2023</v>
      </c>
      <c r="I407" s="32">
        <v>0</v>
      </c>
      <c r="J407" s="32">
        <v>1</v>
      </c>
      <c r="K407" s="32">
        <v>0</v>
      </c>
      <c r="L407" s="32">
        <v>0</v>
      </c>
      <c r="M407" s="32">
        <v>0</v>
      </c>
      <c r="N407" s="32">
        <v>0</v>
      </c>
      <c r="O407" s="216" t="s">
        <v>1353</v>
      </c>
      <c r="P407" s="217"/>
      <c r="Q407" s="217"/>
      <c r="R407" s="218"/>
      <c r="S407" s="28" t="s">
        <v>2025</v>
      </c>
      <c r="T407" s="20">
        <v>44</v>
      </c>
    </row>
    <row r="408" spans="1:20" ht="138" customHeight="1" x14ac:dyDescent="0.25">
      <c r="A408" s="21">
        <v>395</v>
      </c>
      <c r="B408" s="24" t="s">
        <v>2026</v>
      </c>
      <c r="C408" s="213" t="s">
        <v>2027</v>
      </c>
      <c r="D408" s="214"/>
      <c r="E408" s="214"/>
      <c r="F408" s="215"/>
      <c r="G408" s="31" t="s">
        <v>2029</v>
      </c>
      <c r="H408" s="24" t="s">
        <v>2028</v>
      </c>
      <c r="I408" s="32">
        <v>0</v>
      </c>
      <c r="J408" s="32">
        <v>1</v>
      </c>
      <c r="K408" s="32">
        <v>0</v>
      </c>
      <c r="L408" s="32">
        <v>0</v>
      </c>
      <c r="M408" s="32">
        <v>0</v>
      </c>
      <c r="N408" s="32">
        <v>0</v>
      </c>
      <c r="O408" s="216" t="s">
        <v>1674</v>
      </c>
      <c r="P408" s="217"/>
      <c r="Q408" s="217"/>
      <c r="R408" s="218"/>
      <c r="S408" s="28" t="s">
        <v>384</v>
      </c>
      <c r="T408" s="20">
        <v>45</v>
      </c>
    </row>
    <row r="409" spans="1:20" ht="145.5" customHeight="1" x14ac:dyDescent="0.25">
      <c r="A409" s="30">
        <v>396</v>
      </c>
      <c r="B409" s="24" t="s">
        <v>2026</v>
      </c>
      <c r="C409" s="213" t="s">
        <v>2030</v>
      </c>
      <c r="D409" s="214"/>
      <c r="E409" s="214"/>
      <c r="F409" s="215"/>
      <c r="G409" s="31" t="s">
        <v>2032</v>
      </c>
      <c r="H409" s="24" t="s">
        <v>2031</v>
      </c>
      <c r="I409" s="32">
        <v>1</v>
      </c>
      <c r="J409" s="32">
        <v>0</v>
      </c>
      <c r="K409" s="32">
        <v>0</v>
      </c>
      <c r="L409" s="32">
        <v>0</v>
      </c>
      <c r="M409" s="32">
        <v>0</v>
      </c>
      <c r="N409" s="32">
        <v>0</v>
      </c>
      <c r="O409" s="216" t="s">
        <v>1678</v>
      </c>
      <c r="P409" s="217"/>
      <c r="Q409" s="217"/>
      <c r="R409" s="218"/>
      <c r="S409" s="28" t="s">
        <v>374</v>
      </c>
      <c r="T409" s="20">
        <v>46</v>
      </c>
    </row>
    <row r="410" spans="1:20" ht="144" x14ac:dyDescent="0.25">
      <c r="A410" s="21">
        <v>397</v>
      </c>
      <c r="B410" s="24" t="s">
        <v>2033</v>
      </c>
      <c r="C410" s="213" t="s">
        <v>2034</v>
      </c>
      <c r="D410" s="214"/>
      <c r="E410" s="214"/>
      <c r="F410" s="215"/>
      <c r="G410" s="31" t="s">
        <v>2036</v>
      </c>
      <c r="H410" s="24" t="s">
        <v>2035</v>
      </c>
      <c r="I410" s="32">
        <v>1</v>
      </c>
      <c r="J410" s="32">
        <v>0</v>
      </c>
      <c r="K410" s="32">
        <v>0</v>
      </c>
      <c r="L410" s="32">
        <v>0</v>
      </c>
      <c r="M410" s="32">
        <v>0</v>
      </c>
      <c r="N410" s="32">
        <v>0</v>
      </c>
      <c r="O410" s="216" t="s">
        <v>2040</v>
      </c>
      <c r="P410" s="217"/>
      <c r="Q410" s="217"/>
      <c r="R410" s="218"/>
      <c r="S410" s="28" t="s">
        <v>46</v>
      </c>
      <c r="T410" s="20">
        <v>47</v>
      </c>
    </row>
    <row r="411" spans="1:20" ht="158.25" customHeight="1" x14ac:dyDescent="0.25">
      <c r="A411" s="30">
        <v>398</v>
      </c>
      <c r="B411" s="24" t="s">
        <v>2033</v>
      </c>
      <c r="C411" s="213" t="s">
        <v>2037</v>
      </c>
      <c r="D411" s="214"/>
      <c r="E411" s="214"/>
      <c r="F411" s="215"/>
      <c r="G411" s="31" t="s">
        <v>2039</v>
      </c>
      <c r="H411" s="24" t="s">
        <v>2038</v>
      </c>
      <c r="I411" s="32">
        <v>0</v>
      </c>
      <c r="J411" s="32">
        <v>1</v>
      </c>
      <c r="K411" s="32">
        <v>0</v>
      </c>
      <c r="L411" s="32">
        <v>0</v>
      </c>
      <c r="M411" s="32">
        <v>0</v>
      </c>
      <c r="N411" s="32">
        <v>0</v>
      </c>
      <c r="O411" s="216" t="s">
        <v>1517</v>
      </c>
      <c r="P411" s="217"/>
      <c r="Q411" s="217"/>
      <c r="R411" s="218"/>
      <c r="S411" s="28" t="s">
        <v>1393</v>
      </c>
      <c r="T411" s="20">
        <v>48</v>
      </c>
    </row>
    <row r="412" spans="1:20" ht="135" customHeight="1" x14ac:dyDescent="0.25">
      <c r="A412" s="21">
        <v>399</v>
      </c>
      <c r="B412" s="24" t="s">
        <v>2041</v>
      </c>
      <c r="C412" s="213" t="s">
        <v>2042</v>
      </c>
      <c r="D412" s="214"/>
      <c r="E412" s="214"/>
      <c r="F412" s="215"/>
      <c r="G412" s="31" t="s">
        <v>2044</v>
      </c>
      <c r="H412" s="24" t="s">
        <v>2043</v>
      </c>
      <c r="I412" s="32">
        <v>1</v>
      </c>
      <c r="J412" s="32">
        <v>0</v>
      </c>
      <c r="K412" s="32">
        <v>0</v>
      </c>
      <c r="L412" s="32">
        <v>0</v>
      </c>
      <c r="M412" s="32">
        <v>0</v>
      </c>
      <c r="N412" s="32">
        <v>0</v>
      </c>
      <c r="O412" s="216" t="s">
        <v>1674</v>
      </c>
      <c r="P412" s="217"/>
      <c r="Q412" s="217"/>
      <c r="R412" s="218"/>
      <c r="S412" s="28" t="s">
        <v>379</v>
      </c>
      <c r="T412" s="20">
        <v>1</v>
      </c>
    </row>
    <row r="413" spans="1:20" ht="154.5" customHeight="1" x14ac:dyDescent="0.25">
      <c r="A413" s="30">
        <v>400</v>
      </c>
      <c r="B413" s="24" t="s">
        <v>2041</v>
      </c>
      <c r="C413" s="213" t="s">
        <v>2045</v>
      </c>
      <c r="D413" s="214"/>
      <c r="E413" s="214"/>
      <c r="F413" s="215"/>
      <c r="G413" s="31" t="s">
        <v>2047</v>
      </c>
      <c r="H413" s="24" t="s">
        <v>2046</v>
      </c>
      <c r="I413" s="32">
        <v>1</v>
      </c>
      <c r="J413" s="32">
        <v>0</v>
      </c>
      <c r="K413" s="32">
        <v>0</v>
      </c>
      <c r="L413" s="32">
        <v>0</v>
      </c>
      <c r="M413" s="32">
        <v>0</v>
      </c>
      <c r="N413" s="32">
        <v>0</v>
      </c>
      <c r="O413" s="216" t="s">
        <v>1678</v>
      </c>
      <c r="P413" s="217"/>
      <c r="Q413" s="217"/>
      <c r="R413" s="218"/>
      <c r="S413" s="28" t="s">
        <v>46</v>
      </c>
      <c r="T413" s="20">
        <v>2</v>
      </c>
    </row>
    <row r="414" spans="1:20" ht="155.25" customHeight="1" x14ac:dyDescent="0.25">
      <c r="A414" s="21">
        <v>401</v>
      </c>
      <c r="B414" s="24" t="s">
        <v>2048</v>
      </c>
      <c r="C414" s="213" t="s">
        <v>2049</v>
      </c>
      <c r="D414" s="214"/>
      <c r="E414" s="214"/>
      <c r="F414" s="215"/>
      <c r="G414" s="31" t="s">
        <v>2051</v>
      </c>
      <c r="H414" s="24" t="s">
        <v>2050</v>
      </c>
      <c r="I414" s="32">
        <v>1</v>
      </c>
      <c r="J414" s="32">
        <v>0</v>
      </c>
      <c r="K414" s="32">
        <v>0</v>
      </c>
      <c r="L414" s="32">
        <v>0</v>
      </c>
      <c r="M414" s="32">
        <v>0</v>
      </c>
      <c r="N414" s="32">
        <v>0</v>
      </c>
      <c r="O414" s="216" t="s">
        <v>2052</v>
      </c>
      <c r="P414" s="217"/>
      <c r="Q414" s="217"/>
      <c r="R414" s="218"/>
      <c r="S414" s="28" t="s">
        <v>1555</v>
      </c>
      <c r="T414" s="20">
        <v>3</v>
      </c>
    </row>
    <row r="415" spans="1:20" ht="154.5" customHeight="1" x14ac:dyDescent="0.25">
      <c r="A415" s="30">
        <v>402</v>
      </c>
      <c r="B415" s="24" t="s">
        <v>2053</v>
      </c>
      <c r="C415" s="213" t="s">
        <v>858</v>
      </c>
      <c r="D415" s="214"/>
      <c r="E415" s="214"/>
      <c r="F415" s="215"/>
      <c r="G415" s="31" t="s">
        <v>2055</v>
      </c>
      <c r="H415" s="24" t="s">
        <v>2054</v>
      </c>
      <c r="I415" s="32">
        <v>1</v>
      </c>
      <c r="J415" s="32">
        <v>0</v>
      </c>
      <c r="K415" s="32">
        <v>0</v>
      </c>
      <c r="L415" s="32">
        <v>0</v>
      </c>
      <c r="M415" s="32">
        <v>0</v>
      </c>
      <c r="N415" s="32">
        <v>0</v>
      </c>
      <c r="O415" s="216" t="s">
        <v>2056</v>
      </c>
      <c r="P415" s="217"/>
      <c r="Q415" s="217"/>
      <c r="R415" s="218"/>
      <c r="S415" s="28" t="s">
        <v>375</v>
      </c>
      <c r="T415" s="20">
        <v>4</v>
      </c>
    </row>
    <row r="416" spans="1:20" ht="155.25" customHeight="1" x14ac:dyDescent="0.25">
      <c r="A416" s="21">
        <v>403</v>
      </c>
      <c r="B416" s="24" t="s">
        <v>2053</v>
      </c>
      <c r="C416" s="213" t="s">
        <v>2057</v>
      </c>
      <c r="D416" s="214"/>
      <c r="E416" s="214"/>
      <c r="F416" s="215"/>
      <c r="G416" s="31" t="s">
        <v>2059</v>
      </c>
      <c r="H416" s="24" t="s">
        <v>2058</v>
      </c>
      <c r="I416" s="32">
        <v>0</v>
      </c>
      <c r="J416" s="32">
        <v>1</v>
      </c>
      <c r="K416" s="32">
        <v>0</v>
      </c>
      <c r="L416" s="32">
        <v>0</v>
      </c>
      <c r="M416" s="32">
        <v>0</v>
      </c>
      <c r="N416" s="32">
        <v>0</v>
      </c>
      <c r="O416" s="216" t="s">
        <v>2061</v>
      </c>
      <c r="P416" s="217"/>
      <c r="Q416" s="217"/>
      <c r="R416" s="218"/>
      <c r="S416" s="28" t="s">
        <v>2060</v>
      </c>
      <c r="T416" s="20">
        <v>5</v>
      </c>
    </row>
    <row r="417" spans="1:20" ht="153.75" customHeight="1" x14ac:dyDescent="0.25">
      <c r="A417" s="30">
        <v>404</v>
      </c>
      <c r="B417" s="24" t="s">
        <v>2062</v>
      </c>
      <c r="C417" s="213" t="s">
        <v>2063</v>
      </c>
      <c r="D417" s="214"/>
      <c r="E417" s="214"/>
      <c r="F417" s="215"/>
      <c r="G417" s="31" t="s">
        <v>2065</v>
      </c>
      <c r="H417" s="24" t="s">
        <v>2064</v>
      </c>
      <c r="I417" s="32">
        <v>0</v>
      </c>
      <c r="J417" s="32">
        <v>1</v>
      </c>
      <c r="K417" s="32">
        <v>0</v>
      </c>
      <c r="L417" s="32">
        <v>0</v>
      </c>
      <c r="M417" s="32">
        <v>0</v>
      </c>
      <c r="N417" s="32">
        <v>0</v>
      </c>
      <c r="O417" s="216" t="s">
        <v>1319</v>
      </c>
      <c r="P417" s="217"/>
      <c r="Q417" s="217"/>
      <c r="R417" s="218"/>
      <c r="S417" s="28" t="s">
        <v>2066</v>
      </c>
      <c r="T417" s="20">
        <v>6</v>
      </c>
    </row>
    <row r="418" spans="1:20" ht="150" customHeight="1" x14ac:dyDescent="0.25">
      <c r="A418" s="21">
        <v>405</v>
      </c>
      <c r="B418" s="24" t="s">
        <v>2067</v>
      </c>
      <c r="C418" s="213" t="s">
        <v>789</v>
      </c>
      <c r="D418" s="214"/>
      <c r="E418" s="214"/>
      <c r="F418" s="215"/>
      <c r="G418" s="31" t="s">
        <v>2069</v>
      </c>
      <c r="H418" s="24" t="s">
        <v>2068</v>
      </c>
      <c r="I418" s="32">
        <v>1</v>
      </c>
      <c r="J418" s="32">
        <v>0</v>
      </c>
      <c r="K418" s="32">
        <v>0</v>
      </c>
      <c r="L418" s="32">
        <v>0</v>
      </c>
      <c r="M418" s="32">
        <v>0</v>
      </c>
      <c r="N418" s="32">
        <v>0</v>
      </c>
      <c r="O418" s="216" t="s">
        <v>2070</v>
      </c>
      <c r="P418" s="217"/>
      <c r="Q418" s="217"/>
      <c r="R418" s="218"/>
      <c r="S418" s="28" t="s">
        <v>376</v>
      </c>
      <c r="T418" s="20">
        <v>7</v>
      </c>
    </row>
    <row r="419" spans="1:20" ht="144.75" customHeight="1" x14ac:dyDescent="0.25">
      <c r="A419" s="30">
        <v>406</v>
      </c>
      <c r="B419" s="24" t="s">
        <v>2067</v>
      </c>
      <c r="C419" s="213" t="s">
        <v>2071</v>
      </c>
      <c r="D419" s="214"/>
      <c r="E419" s="214"/>
      <c r="F419" s="215"/>
      <c r="G419" s="31" t="s">
        <v>2073</v>
      </c>
      <c r="H419" s="24" t="s">
        <v>2072</v>
      </c>
      <c r="I419" s="32">
        <v>1</v>
      </c>
      <c r="J419" s="32">
        <v>0</v>
      </c>
      <c r="K419" s="32">
        <v>0</v>
      </c>
      <c r="L419" s="32">
        <v>0</v>
      </c>
      <c r="M419" s="32">
        <v>0</v>
      </c>
      <c r="N419" s="32">
        <v>0</v>
      </c>
      <c r="O419" s="216" t="s">
        <v>1517</v>
      </c>
      <c r="P419" s="217"/>
      <c r="Q419" s="217"/>
      <c r="R419" s="218"/>
      <c r="S419" s="28" t="s">
        <v>374</v>
      </c>
      <c r="T419" s="20">
        <v>8</v>
      </c>
    </row>
    <row r="420" spans="1:20" ht="174.95" customHeight="1" x14ac:dyDescent="0.25">
      <c r="A420" s="21">
        <v>407</v>
      </c>
      <c r="B420" s="24" t="s">
        <v>2074</v>
      </c>
      <c r="C420" s="213" t="s">
        <v>2075</v>
      </c>
      <c r="D420" s="214"/>
      <c r="E420" s="214"/>
      <c r="F420" s="215"/>
      <c r="G420" s="31" t="s">
        <v>2077</v>
      </c>
      <c r="H420" s="24" t="s">
        <v>2076</v>
      </c>
      <c r="I420" s="32">
        <v>0</v>
      </c>
      <c r="J420" s="32">
        <v>1</v>
      </c>
      <c r="K420" s="32">
        <v>0</v>
      </c>
      <c r="L420" s="32">
        <v>0</v>
      </c>
      <c r="M420" s="32">
        <v>0</v>
      </c>
      <c r="N420" s="32">
        <v>0</v>
      </c>
      <c r="O420" s="216" t="s">
        <v>2056</v>
      </c>
      <c r="P420" s="217"/>
      <c r="Q420" s="217"/>
      <c r="R420" s="218"/>
      <c r="S420" s="28" t="s">
        <v>384</v>
      </c>
      <c r="T420" s="20">
        <v>9</v>
      </c>
    </row>
    <row r="421" spans="1:20" ht="135" customHeight="1" x14ac:dyDescent="0.25">
      <c r="A421" s="30">
        <v>408</v>
      </c>
      <c r="B421" s="24" t="s">
        <v>2074</v>
      </c>
      <c r="C421" s="213" t="s">
        <v>2078</v>
      </c>
      <c r="D421" s="214"/>
      <c r="E421" s="214"/>
      <c r="F421" s="215"/>
      <c r="G421" s="31" t="s">
        <v>2080</v>
      </c>
      <c r="H421" s="24" t="s">
        <v>2079</v>
      </c>
      <c r="I421" s="32">
        <v>1</v>
      </c>
      <c r="J421" s="32">
        <v>0</v>
      </c>
      <c r="K421" s="32">
        <v>0</v>
      </c>
      <c r="L421" s="32">
        <v>0</v>
      </c>
      <c r="M421" s="32">
        <v>0</v>
      </c>
      <c r="N421" s="32">
        <v>0</v>
      </c>
      <c r="O421" s="216" t="s">
        <v>1571</v>
      </c>
      <c r="P421" s="217"/>
      <c r="Q421" s="217"/>
      <c r="R421" s="218"/>
      <c r="S421" s="28" t="s">
        <v>46</v>
      </c>
      <c r="T421" s="20">
        <v>10</v>
      </c>
    </row>
    <row r="422" spans="1:20" ht="174.95" customHeight="1" x14ac:dyDescent="0.25">
      <c r="A422" s="21">
        <v>409</v>
      </c>
      <c r="B422" s="24" t="s">
        <v>2081</v>
      </c>
      <c r="C422" s="213" t="s">
        <v>2082</v>
      </c>
      <c r="D422" s="214"/>
      <c r="E422" s="214"/>
      <c r="F422" s="215"/>
      <c r="G422" s="31" t="s">
        <v>2084</v>
      </c>
      <c r="H422" s="24" t="s">
        <v>2083</v>
      </c>
      <c r="I422" s="32">
        <v>1</v>
      </c>
      <c r="J422" s="32">
        <v>0</v>
      </c>
      <c r="K422" s="32">
        <v>0</v>
      </c>
      <c r="L422" s="32">
        <v>0</v>
      </c>
      <c r="M422" s="32">
        <v>0</v>
      </c>
      <c r="N422" s="32">
        <v>0</v>
      </c>
      <c r="O422" s="216" t="s">
        <v>627</v>
      </c>
      <c r="P422" s="217"/>
      <c r="Q422" s="217"/>
      <c r="R422" s="218"/>
      <c r="S422" s="28" t="s">
        <v>375</v>
      </c>
      <c r="T422" s="20">
        <v>11</v>
      </c>
    </row>
    <row r="423" spans="1:20" ht="141" customHeight="1" x14ac:dyDescent="0.25">
      <c r="A423" s="30">
        <v>410</v>
      </c>
      <c r="B423" s="24" t="s">
        <v>2085</v>
      </c>
      <c r="C423" s="213" t="s">
        <v>2086</v>
      </c>
      <c r="D423" s="214"/>
      <c r="E423" s="214"/>
      <c r="F423" s="215"/>
      <c r="G423" s="31" t="s">
        <v>2087</v>
      </c>
      <c r="H423" s="24" t="s">
        <v>2088</v>
      </c>
      <c r="I423" s="32">
        <v>1</v>
      </c>
      <c r="J423" s="32">
        <v>0</v>
      </c>
      <c r="K423" s="32">
        <v>0</v>
      </c>
      <c r="L423" s="32">
        <v>0</v>
      </c>
      <c r="M423" s="32">
        <v>0</v>
      </c>
      <c r="N423" s="32">
        <v>0</v>
      </c>
      <c r="O423" s="216" t="s">
        <v>632</v>
      </c>
      <c r="P423" s="217"/>
      <c r="Q423" s="217"/>
      <c r="R423" s="218"/>
      <c r="S423" s="28" t="s">
        <v>46</v>
      </c>
      <c r="T423" s="20">
        <v>12</v>
      </c>
    </row>
    <row r="424" spans="1:20" ht="174.95" customHeight="1" x14ac:dyDescent="0.25">
      <c r="A424" s="21">
        <v>411</v>
      </c>
      <c r="B424" s="24" t="s">
        <v>2085</v>
      </c>
      <c r="C424" s="213" t="s">
        <v>2089</v>
      </c>
      <c r="D424" s="214"/>
      <c r="E424" s="214"/>
      <c r="F424" s="215"/>
      <c r="G424" s="31" t="s">
        <v>2091</v>
      </c>
      <c r="H424" s="24" t="s">
        <v>2090</v>
      </c>
      <c r="I424" s="32">
        <v>1</v>
      </c>
      <c r="J424" s="32">
        <v>0</v>
      </c>
      <c r="K424" s="32">
        <v>0</v>
      </c>
      <c r="L424" s="32">
        <v>0</v>
      </c>
      <c r="M424" s="32">
        <v>0</v>
      </c>
      <c r="N424" s="32">
        <v>0</v>
      </c>
      <c r="O424" s="216" t="s">
        <v>1292</v>
      </c>
      <c r="P424" s="217"/>
      <c r="Q424" s="217"/>
      <c r="R424" s="218"/>
      <c r="S424" s="28" t="s">
        <v>374</v>
      </c>
      <c r="T424" s="20">
        <v>13</v>
      </c>
    </row>
    <row r="425" spans="1:20" ht="174.95" customHeight="1" x14ac:dyDescent="0.25">
      <c r="A425" s="30">
        <v>412</v>
      </c>
      <c r="B425" s="24" t="s">
        <v>2092</v>
      </c>
      <c r="C425" s="213" t="s">
        <v>2093</v>
      </c>
      <c r="D425" s="214"/>
      <c r="E425" s="214"/>
      <c r="F425" s="215"/>
      <c r="G425" s="31" t="s">
        <v>2095</v>
      </c>
      <c r="H425" s="24" t="s">
        <v>2094</v>
      </c>
      <c r="I425" s="32">
        <v>1</v>
      </c>
      <c r="J425" s="32">
        <v>0</v>
      </c>
      <c r="K425" s="32">
        <v>0</v>
      </c>
      <c r="L425" s="32">
        <v>0</v>
      </c>
      <c r="M425" s="32">
        <v>0</v>
      </c>
      <c r="N425" s="32">
        <v>0</v>
      </c>
      <c r="O425" s="216" t="s">
        <v>733</v>
      </c>
      <c r="P425" s="217"/>
      <c r="Q425" s="217"/>
      <c r="R425" s="218"/>
      <c r="S425" s="28" t="s">
        <v>46</v>
      </c>
      <c r="T425" s="20">
        <v>14</v>
      </c>
    </row>
    <row r="426" spans="1:20" ht="174.95" customHeight="1" x14ac:dyDescent="0.25">
      <c r="A426" s="21">
        <v>413</v>
      </c>
      <c r="B426" s="24" t="s">
        <v>2096</v>
      </c>
      <c r="C426" s="213" t="s">
        <v>2097</v>
      </c>
      <c r="D426" s="214"/>
      <c r="E426" s="214"/>
      <c r="F426" s="215"/>
      <c r="G426" s="31" t="s">
        <v>2099</v>
      </c>
      <c r="H426" s="24" t="s">
        <v>2098</v>
      </c>
      <c r="I426" s="32">
        <v>0</v>
      </c>
      <c r="J426" s="32">
        <v>1</v>
      </c>
      <c r="K426" s="32">
        <v>0</v>
      </c>
      <c r="L426" s="32">
        <v>0</v>
      </c>
      <c r="M426" s="32">
        <v>0</v>
      </c>
      <c r="N426" s="32">
        <v>0</v>
      </c>
      <c r="O426" s="216" t="s">
        <v>1674</v>
      </c>
      <c r="P426" s="217"/>
      <c r="Q426" s="217"/>
      <c r="R426" s="218"/>
      <c r="S426" s="28" t="s">
        <v>1939</v>
      </c>
      <c r="T426" s="20">
        <v>15</v>
      </c>
    </row>
    <row r="427" spans="1:20" ht="174.95" customHeight="1" x14ac:dyDescent="0.25">
      <c r="A427" s="30">
        <v>414</v>
      </c>
      <c r="B427" s="24" t="s">
        <v>2096</v>
      </c>
      <c r="C427" s="213" t="s">
        <v>2100</v>
      </c>
      <c r="D427" s="214"/>
      <c r="E427" s="214"/>
      <c r="F427" s="215"/>
      <c r="G427" s="31" t="s">
        <v>2102</v>
      </c>
      <c r="H427" s="24" t="s">
        <v>2101</v>
      </c>
      <c r="I427" s="32">
        <v>1</v>
      </c>
      <c r="J427" s="32">
        <v>0</v>
      </c>
      <c r="K427" s="32">
        <v>0</v>
      </c>
      <c r="L427" s="32">
        <v>0</v>
      </c>
      <c r="M427" s="32">
        <v>0</v>
      </c>
      <c r="N427" s="32">
        <v>0</v>
      </c>
      <c r="O427" s="216" t="s">
        <v>1678</v>
      </c>
      <c r="P427" s="217"/>
      <c r="Q427" s="217"/>
      <c r="R427" s="218"/>
      <c r="S427" s="28" t="s">
        <v>374</v>
      </c>
      <c r="T427" s="20">
        <v>16</v>
      </c>
    </row>
    <row r="428" spans="1:20" ht="174.95" customHeight="1" x14ac:dyDescent="0.25">
      <c r="A428" s="21">
        <v>415</v>
      </c>
      <c r="B428" s="24" t="s">
        <v>2103</v>
      </c>
      <c r="C428" s="213" t="s">
        <v>2104</v>
      </c>
      <c r="D428" s="214"/>
      <c r="E428" s="214"/>
      <c r="F428" s="215"/>
      <c r="G428" s="31" t="s">
        <v>2106</v>
      </c>
      <c r="H428" s="24" t="s">
        <v>2105</v>
      </c>
      <c r="I428" s="32">
        <v>1</v>
      </c>
      <c r="J428" s="32">
        <v>0</v>
      </c>
      <c r="K428" s="32">
        <v>0</v>
      </c>
      <c r="L428" s="32">
        <v>0</v>
      </c>
      <c r="M428" s="32">
        <v>0</v>
      </c>
      <c r="N428" s="32">
        <v>0</v>
      </c>
      <c r="O428" s="216" t="s">
        <v>1872</v>
      </c>
      <c r="P428" s="217"/>
      <c r="Q428" s="217"/>
      <c r="R428" s="218"/>
      <c r="S428" s="28" t="s">
        <v>374</v>
      </c>
      <c r="T428" s="20">
        <v>17</v>
      </c>
    </row>
    <row r="429" spans="1:20" ht="174.95" customHeight="1" x14ac:dyDescent="0.25">
      <c r="A429" s="30">
        <v>416</v>
      </c>
      <c r="B429" s="24" t="s">
        <v>2103</v>
      </c>
      <c r="C429" s="213" t="s">
        <v>2107</v>
      </c>
      <c r="D429" s="214"/>
      <c r="E429" s="214"/>
      <c r="F429" s="215"/>
      <c r="G429" s="31" t="s">
        <v>2109</v>
      </c>
      <c r="H429" s="24" t="s">
        <v>2108</v>
      </c>
      <c r="I429" s="32">
        <v>1</v>
      </c>
      <c r="J429" s="32">
        <v>0</v>
      </c>
      <c r="K429" s="32">
        <v>0</v>
      </c>
      <c r="L429" s="32">
        <v>0</v>
      </c>
      <c r="M429" s="32">
        <v>0</v>
      </c>
      <c r="N429" s="32">
        <v>0</v>
      </c>
      <c r="O429" s="216" t="s">
        <v>1517</v>
      </c>
      <c r="P429" s="217"/>
      <c r="Q429" s="217"/>
      <c r="R429" s="218"/>
      <c r="S429" s="28" t="s">
        <v>46</v>
      </c>
      <c r="T429" s="20">
        <v>18</v>
      </c>
    </row>
    <row r="430" spans="1:20" ht="174.95" customHeight="1" x14ac:dyDescent="0.25">
      <c r="A430" s="21">
        <v>417</v>
      </c>
      <c r="B430" s="24" t="s">
        <v>2110</v>
      </c>
      <c r="C430" s="213" t="s">
        <v>2111</v>
      </c>
      <c r="D430" s="214"/>
      <c r="E430" s="214"/>
      <c r="F430" s="215"/>
      <c r="G430" s="31" t="s">
        <v>2113</v>
      </c>
      <c r="H430" s="24" t="s">
        <v>2112</v>
      </c>
      <c r="I430" s="32">
        <v>1</v>
      </c>
      <c r="J430" s="32">
        <v>0</v>
      </c>
      <c r="K430" s="32">
        <v>0</v>
      </c>
      <c r="L430" s="32">
        <v>0</v>
      </c>
      <c r="M430" s="32">
        <v>0</v>
      </c>
      <c r="N430" s="32">
        <v>0</v>
      </c>
      <c r="O430" s="216" t="s">
        <v>2056</v>
      </c>
      <c r="P430" s="217"/>
      <c r="Q430" s="217"/>
      <c r="R430" s="218"/>
      <c r="S430" s="28" t="s">
        <v>46</v>
      </c>
      <c r="T430" s="20">
        <v>19</v>
      </c>
    </row>
    <row r="431" spans="1:20" ht="174.95" customHeight="1" x14ac:dyDescent="0.25">
      <c r="A431" s="30">
        <v>418</v>
      </c>
      <c r="B431" s="24" t="s">
        <v>2110</v>
      </c>
      <c r="C431" s="213" t="s">
        <v>2114</v>
      </c>
      <c r="D431" s="214"/>
      <c r="E431" s="214"/>
      <c r="F431" s="215"/>
      <c r="G431" s="31" t="s">
        <v>2116</v>
      </c>
      <c r="H431" s="24" t="s">
        <v>2115</v>
      </c>
      <c r="I431" s="32">
        <v>1</v>
      </c>
      <c r="J431" s="32">
        <v>0</v>
      </c>
      <c r="K431" s="32">
        <v>0</v>
      </c>
      <c r="L431" s="32">
        <v>0</v>
      </c>
      <c r="M431" s="32">
        <v>0</v>
      </c>
      <c r="N431" s="32">
        <v>0</v>
      </c>
      <c r="O431" s="216" t="s">
        <v>1571</v>
      </c>
      <c r="P431" s="217"/>
      <c r="Q431" s="217"/>
      <c r="R431" s="218"/>
      <c r="S431" s="28" t="s">
        <v>1555</v>
      </c>
      <c r="T431" s="20">
        <v>20</v>
      </c>
    </row>
    <row r="432" spans="1:20" ht="174.95" customHeight="1" x14ac:dyDescent="0.25">
      <c r="A432" s="21">
        <v>419</v>
      </c>
      <c r="B432" s="24" t="s">
        <v>2117</v>
      </c>
      <c r="C432" s="213" t="s">
        <v>2118</v>
      </c>
      <c r="D432" s="214"/>
      <c r="E432" s="214"/>
      <c r="F432" s="215"/>
      <c r="G432" s="31" t="s">
        <v>2120</v>
      </c>
      <c r="H432" s="24" t="s">
        <v>2119</v>
      </c>
      <c r="I432" s="32">
        <v>0</v>
      </c>
      <c r="J432" s="32">
        <v>1</v>
      </c>
      <c r="K432" s="32">
        <v>0</v>
      </c>
      <c r="L432" s="32">
        <v>0</v>
      </c>
      <c r="M432" s="32">
        <v>0</v>
      </c>
      <c r="N432" s="32">
        <v>0</v>
      </c>
      <c r="O432" s="216" t="s">
        <v>1674</v>
      </c>
      <c r="P432" s="217"/>
      <c r="Q432" s="217"/>
      <c r="R432" s="218"/>
      <c r="S432" s="28" t="s">
        <v>385</v>
      </c>
      <c r="T432" s="20">
        <v>21</v>
      </c>
    </row>
    <row r="433" spans="1:20" ht="174.95" customHeight="1" x14ac:dyDescent="0.25">
      <c r="A433" s="30">
        <v>420</v>
      </c>
      <c r="B433" s="24" t="s">
        <v>2117</v>
      </c>
      <c r="C433" s="213" t="s">
        <v>2121</v>
      </c>
      <c r="D433" s="214"/>
      <c r="E433" s="214"/>
      <c r="F433" s="215"/>
      <c r="G433" s="31" t="s">
        <v>2123</v>
      </c>
      <c r="H433" s="24" t="s">
        <v>2122</v>
      </c>
      <c r="I433" s="32">
        <v>1</v>
      </c>
      <c r="J433" s="32">
        <v>0</v>
      </c>
      <c r="K433" s="32">
        <v>0</v>
      </c>
      <c r="L433" s="32">
        <v>0</v>
      </c>
      <c r="M433" s="32">
        <v>0</v>
      </c>
      <c r="N433" s="32">
        <v>0</v>
      </c>
      <c r="O433" s="216" t="s">
        <v>1678</v>
      </c>
      <c r="P433" s="217"/>
      <c r="Q433" s="217"/>
      <c r="R433" s="218"/>
      <c r="S433" s="28" t="s">
        <v>379</v>
      </c>
      <c r="T433" s="20">
        <v>22</v>
      </c>
    </row>
    <row r="434" spans="1:20" ht="196.5" customHeight="1" x14ac:dyDescent="0.25">
      <c r="A434" s="21">
        <v>421</v>
      </c>
      <c r="B434" s="24" t="s">
        <v>2124</v>
      </c>
      <c r="C434" s="213" t="s">
        <v>2125</v>
      </c>
      <c r="D434" s="214"/>
      <c r="E434" s="214"/>
      <c r="F434" s="215"/>
      <c r="G434" s="31" t="s">
        <v>2127</v>
      </c>
      <c r="H434" s="24" t="s">
        <v>2126</v>
      </c>
      <c r="I434" s="32">
        <v>1</v>
      </c>
      <c r="J434" s="32">
        <v>0</v>
      </c>
      <c r="K434" s="32">
        <v>0</v>
      </c>
      <c r="L434" s="32">
        <v>0</v>
      </c>
      <c r="M434" s="32">
        <v>0</v>
      </c>
      <c r="N434" s="32">
        <v>0</v>
      </c>
      <c r="O434" s="216" t="s">
        <v>632</v>
      </c>
      <c r="P434" s="217"/>
      <c r="Q434" s="217"/>
      <c r="R434" s="218"/>
      <c r="S434" s="28" t="s">
        <v>46</v>
      </c>
      <c r="T434" s="20">
        <v>23</v>
      </c>
    </row>
    <row r="435" spans="1:20" ht="143.25" customHeight="1" x14ac:dyDescent="0.25">
      <c r="A435" s="30">
        <v>422</v>
      </c>
      <c r="B435" s="24" t="s">
        <v>2124</v>
      </c>
      <c r="C435" s="213" t="s">
        <v>2128</v>
      </c>
      <c r="D435" s="214"/>
      <c r="E435" s="214"/>
      <c r="F435" s="215"/>
      <c r="G435" s="31" t="s">
        <v>2130</v>
      </c>
      <c r="H435" s="24" t="s">
        <v>2129</v>
      </c>
      <c r="I435" s="32">
        <v>0</v>
      </c>
      <c r="J435" s="32">
        <v>1</v>
      </c>
      <c r="K435" s="32">
        <v>0</v>
      </c>
      <c r="L435" s="32">
        <v>0</v>
      </c>
      <c r="M435" s="32">
        <v>0</v>
      </c>
      <c r="N435" s="32">
        <v>0</v>
      </c>
      <c r="O435" s="216" t="s">
        <v>1424</v>
      </c>
      <c r="P435" s="217"/>
      <c r="Q435" s="217"/>
      <c r="R435" s="218"/>
      <c r="S435" s="28" t="s">
        <v>385</v>
      </c>
      <c r="T435" s="20">
        <v>24</v>
      </c>
    </row>
    <row r="436" spans="1:20" ht="174.95" customHeight="1" x14ac:dyDescent="0.25">
      <c r="A436" s="21">
        <v>423</v>
      </c>
      <c r="B436" s="24" t="s">
        <v>2131</v>
      </c>
      <c r="C436" s="213" t="s">
        <v>2132</v>
      </c>
      <c r="D436" s="214"/>
      <c r="E436" s="214"/>
      <c r="F436" s="215"/>
      <c r="G436" s="31" t="s">
        <v>2134</v>
      </c>
      <c r="H436" s="24" t="s">
        <v>2133</v>
      </c>
      <c r="I436" s="32">
        <v>0</v>
      </c>
      <c r="J436" s="32">
        <v>1</v>
      </c>
      <c r="K436" s="32">
        <v>0</v>
      </c>
      <c r="L436" s="32">
        <v>0</v>
      </c>
      <c r="M436" s="32">
        <v>0</v>
      </c>
      <c r="N436" s="32">
        <v>0</v>
      </c>
      <c r="O436" s="216" t="s">
        <v>2135</v>
      </c>
      <c r="P436" s="217"/>
      <c r="Q436" s="217"/>
      <c r="R436" s="218"/>
      <c r="S436" s="28" t="s">
        <v>384</v>
      </c>
      <c r="T436" s="20">
        <v>25</v>
      </c>
    </row>
    <row r="437" spans="1:20" ht="174.95" customHeight="1" x14ac:dyDescent="0.25">
      <c r="A437" s="30">
        <v>424</v>
      </c>
      <c r="B437" s="24" t="s">
        <v>2131</v>
      </c>
      <c r="C437" s="213" t="s">
        <v>2136</v>
      </c>
      <c r="D437" s="214"/>
      <c r="E437" s="214"/>
      <c r="F437" s="215"/>
      <c r="G437" s="31" t="s">
        <v>2138</v>
      </c>
      <c r="H437" s="24" t="s">
        <v>2137</v>
      </c>
      <c r="I437" s="32">
        <v>1</v>
      </c>
      <c r="J437" s="32">
        <v>0</v>
      </c>
      <c r="K437" s="32">
        <v>0</v>
      </c>
      <c r="L437" s="32">
        <v>0</v>
      </c>
      <c r="M437" s="32">
        <v>0</v>
      </c>
      <c r="N437" s="32">
        <v>0</v>
      </c>
      <c r="O437" s="216" t="s">
        <v>2139</v>
      </c>
      <c r="P437" s="217"/>
      <c r="Q437" s="217"/>
      <c r="R437" s="218"/>
      <c r="S437" s="28" t="s">
        <v>46</v>
      </c>
      <c r="T437" s="20">
        <v>26</v>
      </c>
    </row>
    <row r="438" spans="1:20" ht="174.95" customHeight="1" x14ac:dyDescent="0.25">
      <c r="A438" s="21">
        <v>425</v>
      </c>
      <c r="B438" s="24" t="s">
        <v>2140</v>
      </c>
      <c r="C438" s="213" t="s">
        <v>360</v>
      </c>
      <c r="D438" s="214"/>
      <c r="E438" s="214"/>
      <c r="F438" s="215"/>
      <c r="G438" s="31" t="s">
        <v>2142</v>
      </c>
      <c r="H438" s="24" t="s">
        <v>2141</v>
      </c>
      <c r="I438" s="32">
        <v>0</v>
      </c>
      <c r="J438" s="32">
        <v>1</v>
      </c>
      <c r="K438" s="32">
        <v>0</v>
      </c>
      <c r="L438" s="32">
        <v>0</v>
      </c>
      <c r="M438" s="32">
        <v>0</v>
      </c>
      <c r="N438" s="32">
        <v>0</v>
      </c>
      <c r="O438" s="216" t="s">
        <v>1674</v>
      </c>
      <c r="P438" s="217"/>
      <c r="Q438" s="217"/>
      <c r="R438" s="218"/>
      <c r="S438" s="28" t="s">
        <v>384</v>
      </c>
      <c r="T438" s="20">
        <v>27</v>
      </c>
    </row>
    <row r="439" spans="1:20" ht="174.95" customHeight="1" x14ac:dyDescent="0.25">
      <c r="A439" s="30">
        <v>426</v>
      </c>
      <c r="B439" s="24" t="s">
        <v>2140</v>
      </c>
      <c r="C439" s="213" t="s">
        <v>2143</v>
      </c>
      <c r="D439" s="214"/>
      <c r="E439" s="214"/>
      <c r="F439" s="215"/>
      <c r="G439" s="31" t="s">
        <v>2145</v>
      </c>
      <c r="H439" s="24" t="s">
        <v>2144</v>
      </c>
      <c r="I439" s="32">
        <v>0</v>
      </c>
      <c r="J439" s="32">
        <v>1</v>
      </c>
      <c r="K439" s="32">
        <v>0</v>
      </c>
      <c r="L439" s="32">
        <v>0</v>
      </c>
      <c r="M439" s="32">
        <v>0</v>
      </c>
      <c r="N439" s="32">
        <v>0</v>
      </c>
      <c r="O439" s="216" t="s">
        <v>1678</v>
      </c>
      <c r="P439" s="217"/>
      <c r="Q439" s="217"/>
      <c r="R439" s="218"/>
      <c r="S439" s="28" t="s">
        <v>1939</v>
      </c>
      <c r="T439" s="20">
        <v>28</v>
      </c>
    </row>
    <row r="440" spans="1:20" ht="135" customHeight="1" x14ac:dyDescent="0.25">
      <c r="A440" s="21">
        <v>427</v>
      </c>
      <c r="B440" s="24" t="s">
        <v>2146</v>
      </c>
      <c r="C440" s="213" t="s">
        <v>2147</v>
      </c>
      <c r="D440" s="214"/>
      <c r="E440" s="214"/>
      <c r="F440" s="215"/>
      <c r="G440" s="31" t="s">
        <v>2149</v>
      </c>
      <c r="H440" s="24" t="s">
        <v>2148</v>
      </c>
      <c r="I440" s="32">
        <v>0</v>
      </c>
      <c r="J440" s="32">
        <v>1</v>
      </c>
      <c r="K440" s="32">
        <v>0</v>
      </c>
      <c r="L440" s="32">
        <v>0</v>
      </c>
      <c r="M440" s="32">
        <v>0</v>
      </c>
      <c r="N440" s="32">
        <v>0</v>
      </c>
      <c r="O440" s="216" t="s">
        <v>1872</v>
      </c>
      <c r="P440" s="217"/>
      <c r="Q440" s="217"/>
      <c r="R440" s="218"/>
      <c r="S440" s="28" t="s">
        <v>1939</v>
      </c>
      <c r="T440" s="20">
        <v>29</v>
      </c>
    </row>
    <row r="441" spans="1:20" ht="150" customHeight="1" x14ac:dyDescent="0.25">
      <c r="A441" s="30">
        <v>428</v>
      </c>
      <c r="B441" s="24" t="s">
        <v>2146</v>
      </c>
      <c r="C441" s="213" t="s">
        <v>2150</v>
      </c>
      <c r="D441" s="214"/>
      <c r="E441" s="214"/>
      <c r="F441" s="215"/>
      <c r="G441" s="31" t="s">
        <v>2152</v>
      </c>
      <c r="H441" s="24" t="s">
        <v>2151</v>
      </c>
      <c r="I441" s="32">
        <v>0</v>
      </c>
      <c r="J441" s="32">
        <v>1</v>
      </c>
      <c r="K441" s="32">
        <v>0</v>
      </c>
      <c r="L441" s="32">
        <v>0</v>
      </c>
      <c r="M441" s="32">
        <v>0</v>
      </c>
      <c r="N441" s="32">
        <v>0</v>
      </c>
      <c r="O441" s="216" t="s">
        <v>1517</v>
      </c>
      <c r="P441" s="217"/>
      <c r="Q441" s="217"/>
      <c r="R441" s="218"/>
      <c r="S441" s="28" t="s">
        <v>382</v>
      </c>
      <c r="T441" s="20">
        <v>30</v>
      </c>
    </row>
    <row r="442" spans="1:20" ht="135" customHeight="1" x14ac:dyDescent="0.25">
      <c r="A442" s="21">
        <v>429</v>
      </c>
      <c r="B442" s="24" t="s">
        <v>2153</v>
      </c>
      <c r="C442" s="213" t="s">
        <v>356</v>
      </c>
      <c r="D442" s="214"/>
      <c r="E442" s="214"/>
      <c r="F442" s="215"/>
      <c r="G442" s="31" t="s">
        <v>2155</v>
      </c>
      <c r="H442" s="24" t="s">
        <v>2154</v>
      </c>
      <c r="I442" s="32">
        <v>1</v>
      </c>
      <c r="J442" s="32">
        <v>0</v>
      </c>
      <c r="K442" s="32">
        <v>0</v>
      </c>
      <c r="L442" s="32">
        <v>0</v>
      </c>
      <c r="M442" s="32">
        <v>0</v>
      </c>
      <c r="N442" s="32">
        <v>0</v>
      </c>
      <c r="O442" s="216" t="s">
        <v>2056</v>
      </c>
      <c r="P442" s="217"/>
      <c r="Q442" s="217"/>
      <c r="R442" s="218"/>
      <c r="S442" s="28" t="s">
        <v>379</v>
      </c>
      <c r="T442" s="20">
        <v>31</v>
      </c>
    </row>
    <row r="443" spans="1:20" ht="161.25" customHeight="1" x14ac:dyDescent="0.25">
      <c r="A443" s="30">
        <v>430</v>
      </c>
      <c r="B443" s="24" t="s">
        <v>2153</v>
      </c>
      <c r="C443" s="213" t="s">
        <v>2156</v>
      </c>
      <c r="D443" s="214"/>
      <c r="E443" s="214"/>
      <c r="F443" s="215"/>
      <c r="G443" s="31" t="s">
        <v>2158</v>
      </c>
      <c r="H443" s="24" t="s">
        <v>2157</v>
      </c>
      <c r="I443" s="32">
        <v>1</v>
      </c>
      <c r="J443" s="32">
        <v>0</v>
      </c>
      <c r="K443" s="32">
        <v>0</v>
      </c>
      <c r="L443" s="32">
        <v>0</v>
      </c>
      <c r="M443" s="32">
        <v>0</v>
      </c>
      <c r="N443" s="32">
        <v>0</v>
      </c>
      <c r="O443" s="216" t="s">
        <v>1571</v>
      </c>
      <c r="P443" s="217"/>
      <c r="Q443" s="217"/>
      <c r="R443" s="218"/>
      <c r="S443" s="28" t="s">
        <v>374</v>
      </c>
      <c r="T443" s="20">
        <v>32</v>
      </c>
    </row>
    <row r="444" spans="1:20" ht="135" customHeight="1" x14ac:dyDescent="0.25">
      <c r="A444" s="21">
        <v>431</v>
      </c>
      <c r="B444" s="24" t="s">
        <v>2159</v>
      </c>
      <c r="C444" s="213" t="s">
        <v>2160</v>
      </c>
      <c r="D444" s="214"/>
      <c r="E444" s="214"/>
      <c r="F444" s="215"/>
      <c r="G444" s="31" t="s">
        <v>2162</v>
      </c>
      <c r="H444" s="24" t="s">
        <v>2161</v>
      </c>
      <c r="I444" s="32">
        <v>1</v>
      </c>
      <c r="J444" s="32">
        <v>0</v>
      </c>
      <c r="K444" s="32">
        <v>0</v>
      </c>
      <c r="L444" s="32">
        <v>0</v>
      </c>
      <c r="M444" s="32">
        <v>0</v>
      </c>
      <c r="N444" s="32">
        <v>0</v>
      </c>
      <c r="O444" s="216" t="s">
        <v>2163</v>
      </c>
      <c r="P444" s="217"/>
      <c r="Q444" s="217"/>
      <c r="R444" s="218"/>
      <c r="S444" s="28" t="s">
        <v>374</v>
      </c>
      <c r="T444" s="20">
        <v>33</v>
      </c>
    </row>
    <row r="445" spans="1:20" ht="144.75" customHeight="1" x14ac:dyDescent="0.25">
      <c r="A445" s="30">
        <v>432</v>
      </c>
      <c r="B445" s="24" t="s">
        <v>2159</v>
      </c>
      <c r="C445" s="213" t="s">
        <v>2164</v>
      </c>
      <c r="D445" s="214"/>
      <c r="E445" s="214"/>
      <c r="F445" s="215"/>
      <c r="G445" s="31" t="s">
        <v>2166</v>
      </c>
      <c r="H445" s="24" t="s">
        <v>2165</v>
      </c>
      <c r="I445" s="32">
        <v>1</v>
      </c>
      <c r="J445" s="32">
        <v>0</v>
      </c>
      <c r="K445" s="32">
        <v>0</v>
      </c>
      <c r="L445" s="32">
        <v>0</v>
      </c>
      <c r="M445" s="32">
        <v>0</v>
      </c>
      <c r="N445" s="32">
        <v>0</v>
      </c>
      <c r="O445" s="216" t="s">
        <v>1517</v>
      </c>
      <c r="P445" s="217"/>
      <c r="Q445" s="217"/>
      <c r="R445" s="218"/>
      <c r="S445" s="28" t="s">
        <v>374</v>
      </c>
      <c r="T445" s="20">
        <v>34</v>
      </c>
    </row>
    <row r="446" spans="1:20" ht="164.25" customHeight="1" x14ac:dyDescent="0.25">
      <c r="A446" s="21">
        <v>433</v>
      </c>
      <c r="B446" s="24" t="s">
        <v>2168</v>
      </c>
      <c r="C446" s="213" t="s">
        <v>2169</v>
      </c>
      <c r="D446" s="214"/>
      <c r="E446" s="214"/>
      <c r="F446" s="215"/>
      <c r="G446" s="31" t="s">
        <v>2171</v>
      </c>
      <c r="H446" s="24" t="s">
        <v>2170</v>
      </c>
      <c r="I446" s="32">
        <v>1</v>
      </c>
      <c r="J446" s="32">
        <v>0</v>
      </c>
      <c r="K446" s="32">
        <v>0</v>
      </c>
      <c r="L446" s="32">
        <v>0</v>
      </c>
      <c r="M446" s="32">
        <v>0</v>
      </c>
      <c r="N446" s="32">
        <v>0</v>
      </c>
      <c r="O446" s="216" t="s">
        <v>2172</v>
      </c>
      <c r="P446" s="217"/>
      <c r="Q446" s="217"/>
      <c r="R446" s="218"/>
      <c r="S446" s="28" t="s">
        <v>1555</v>
      </c>
      <c r="T446" s="20">
        <v>35</v>
      </c>
    </row>
    <row r="447" spans="1:20" s="119" customFormat="1" ht="153.75" customHeight="1" x14ac:dyDescent="0.25">
      <c r="A447" s="30">
        <v>434</v>
      </c>
      <c r="B447" s="24" t="s">
        <v>2173</v>
      </c>
      <c r="C447" s="222" t="s">
        <v>948</v>
      </c>
      <c r="D447" s="223"/>
      <c r="E447" s="223"/>
      <c r="F447" s="224"/>
      <c r="G447" s="31" t="s">
        <v>2175</v>
      </c>
      <c r="H447" s="24" t="s">
        <v>2174</v>
      </c>
      <c r="I447" s="28">
        <v>1</v>
      </c>
      <c r="J447" s="28">
        <v>0</v>
      </c>
      <c r="K447" s="28">
        <v>0</v>
      </c>
      <c r="L447" s="28">
        <v>0</v>
      </c>
      <c r="M447" s="28">
        <v>0</v>
      </c>
      <c r="N447" s="28">
        <v>0</v>
      </c>
      <c r="O447" s="216" t="s">
        <v>1674</v>
      </c>
      <c r="P447" s="217"/>
      <c r="Q447" s="217"/>
      <c r="R447" s="218"/>
      <c r="S447" s="28" t="s">
        <v>374</v>
      </c>
      <c r="T447" s="119">
        <v>36</v>
      </c>
    </row>
    <row r="448" spans="1:20" ht="159" customHeight="1" x14ac:dyDescent="0.25">
      <c r="A448" s="21">
        <v>435</v>
      </c>
      <c r="B448" s="24" t="s">
        <v>2173</v>
      </c>
      <c r="C448" s="213" t="s">
        <v>2176</v>
      </c>
      <c r="D448" s="214"/>
      <c r="E448" s="214"/>
      <c r="F448" s="215"/>
      <c r="G448" s="31" t="s">
        <v>2178</v>
      </c>
      <c r="H448" s="24" t="s">
        <v>2177</v>
      </c>
      <c r="I448" s="32">
        <v>1</v>
      </c>
      <c r="J448" s="32">
        <v>0</v>
      </c>
      <c r="K448" s="32">
        <v>0</v>
      </c>
      <c r="L448" s="32">
        <v>0</v>
      </c>
      <c r="M448" s="32">
        <v>0</v>
      </c>
      <c r="N448" s="32">
        <v>0</v>
      </c>
      <c r="O448" s="216" t="s">
        <v>1678</v>
      </c>
      <c r="P448" s="217"/>
      <c r="Q448" s="217"/>
      <c r="R448" s="218"/>
      <c r="S448" s="28" t="s">
        <v>374</v>
      </c>
      <c r="T448" s="20">
        <v>37</v>
      </c>
    </row>
    <row r="449" spans="1:20" ht="150" customHeight="1" x14ac:dyDescent="0.25">
      <c r="A449" s="30">
        <v>436</v>
      </c>
      <c r="B449" s="24" t="s">
        <v>2179</v>
      </c>
      <c r="C449" s="213" t="s">
        <v>1840</v>
      </c>
      <c r="D449" s="214"/>
      <c r="E449" s="214"/>
      <c r="F449" s="215"/>
      <c r="G449" s="31" t="s">
        <v>2181</v>
      </c>
      <c r="H449" s="24" t="s">
        <v>2180</v>
      </c>
      <c r="I449" s="32">
        <v>1</v>
      </c>
      <c r="J449" s="32">
        <v>0</v>
      </c>
      <c r="K449" s="32">
        <v>0</v>
      </c>
      <c r="L449" s="32">
        <v>0</v>
      </c>
      <c r="M449" s="32">
        <v>0</v>
      </c>
      <c r="N449" s="32">
        <v>0</v>
      </c>
      <c r="O449" s="216" t="s">
        <v>1872</v>
      </c>
      <c r="P449" s="217"/>
      <c r="Q449" s="217"/>
      <c r="R449" s="218"/>
      <c r="S449" s="28" t="s">
        <v>374</v>
      </c>
      <c r="T449" s="20">
        <v>38</v>
      </c>
    </row>
    <row r="450" spans="1:20" ht="144.75" customHeight="1" x14ac:dyDescent="0.25">
      <c r="A450" s="21">
        <v>437</v>
      </c>
      <c r="B450" s="24" t="s">
        <v>2179</v>
      </c>
      <c r="C450" s="213" t="s">
        <v>2182</v>
      </c>
      <c r="D450" s="214"/>
      <c r="E450" s="214"/>
      <c r="F450" s="215"/>
      <c r="G450" s="31" t="s">
        <v>2184</v>
      </c>
      <c r="H450" s="24" t="s">
        <v>2183</v>
      </c>
      <c r="I450" s="32">
        <v>1</v>
      </c>
      <c r="J450" s="32">
        <v>0</v>
      </c>
      <c r="K450" s="32">
        <v>0</v>
      </c>
      <c r="L450" s="32">
        <v>0</v>
      </c>
      <c r="M450" s="32">
        <v>0</v>
      </c>
      <c r="N450" s="32">
        <v>0</v>
      </c>
      <c r="O450" s="216" t="s">
        <v>1517</v>
      </c>
      <c r="P450" s="217"/>
      <c r="Q450" s="217"/>
      <c r="R450" s="218"/>
      <c r="S450" s="28" t="s">
        <v>374</v>
      </c>
      <c r="T450" s="20">
        <v>39</v>
      </c>
    </row>
    <row r="451" spans="1:20" ht="156" customHeight="1" x14ac:dyDescent="0.25">
      <c r="A451" s="30">
        <v>438</v>
      </c>
      <c r="B451" s="24" t="s">
        <v>2185</v>
      </c>
      <c r="C451" s="213" t="s">
        <v>2186</v>
      </c>
      <c r="D451" s="214"/>
      <c r="E451" s="214"/>
      <c r="F451" s="215"/>
      <c r="G451" s="31" t="s">
        <v>2187</v>
      </c>
      <c r="H451" s="24" t="s">
        <v>2188</v>
      </c>
      <c r="I451" s="32">
        <v>1</v>
      </c>
      <c r="J451" s="32">
        <v>0</v>
      </c>
      <c r="K451" s="32">
        <v>0</v>
      </c>
      <c r="L451" s="32">
        <v>0</v>
      </c>
      <c r="M451" s="32">
        <v>0</v>
      </c>
      <c r="N451" s="32">
        <v>0</v>
      </c>
      <c r="O451" s="216" t="s">
        <v>733</v>
      </c>
      <c r="P451" s="217"/>
      <c r="Q451" s="217"/>
      <c r="R451" s="218"/>
      <c r="S451" s="28" t="s">
        <v>374</v>
      </c>
      <c r="T451" s="20">
        <v>40</v>
      </c>
    </row>
    <row r="452" spans="1:20" ht="169.5" customHeight="1" x14ac:dyDescent="0.25">
      <c r="A452" s="21">
        <v>439</v>
      </c>
      <c r="B452" s="24" t="s">
        <v>2185</v>
      </c>
      <c r="C452" s="213" t="s">
        <v>2189</v>
      </c>
      <c r="D452" s="214"/>
      <c r="E452" s="214"/>
      <c r="F452" s="215"/>
      <c r="G452" s="31" t="s">
        <v>2191</v>
      </c>
      <c r="H452" s="24" t="s">
        <v>2190</v>
      </c>
      <c r="I452" s="32">
        <v>1</v>
      </c>
      <c r="J452" s="32">
        <v>0</v>
      </c>
      <c r="K452" s="32">
        <v>0</v>
      </c>
      <c r="L452" s="32">
        <v>0</v>
      </c>
      <c r="M452" s="32">
        <v>0</v>
      </c>
      <c r="N452" s="32">
        <v>0</v>
      </c>
      <c r="O452" s="216" t="s">
        <v>1353</v>
      </c>
      <c r="P452" s="217"/>
      <c r="Q452" s="217"/>
      <c r="R452" s="218"/>
      <c r="S452" s="28" t="s">
        <v>1555</v>
      </c>
      <c r="T452" s="20">
        <v>41</v>
      </c>
    </row>
    <row r="453" spans="1:20" ht="141.75" customHeight="1" x14ac:dyDescent="0.25">
      <c r="A453" s="30">
        <v>440</v>
      </c>
      <c r="B453" s="24" t="s">
        <v>2192</v>
      </c>
      <c r="C453" s="213" t="s">
        <v>1885</v>
      </c>
      <c r="D453" s="214"/>
      <c r="E453" s="214"/>
      <c r="F453" s="215"/>
      <c r="G453" s="31" t="s">
        <v>2194</v>
      </c>
      <c r="H453" s="24" t="s">
        <v>2193</v>
      </c>
      <c r="I453" s="32">
        <v>1</v>
      </c>
      <c r="J453" s="32">
        <v>0</v>
      </c>
      <c r="K453" s="32">
        <v>0</v>
      </c>
      <c r="L453" s="32">
        <v>0</v>
      </c>
      <c r="M453" s="32">
        <v>0</v>
      </c>
      <c r="N453" s="32">
        <v>0</v>
      </c>
      <c r="O453" s="216" t="s">
        <v>1674</v>
      </c>
      <c r="P453" s="217"/>
      <c r="Q453" s="217"/>
      <c r="R453" s="218"/>
      <c r="S453" s="28" t="s">
        <v>374</v>
      </c>
      <c r="T453" s="20">
        <v>42</v>
      </c>
    </row>
    <row r="454" spans="1:20" ht="161.25" customHeight="1" x14ac:dyDescent="0.25">
      <c r="A454" s="21">
        <v>441</v>
      </c>
      <c r="B454" s="24" t="s">
        <v>2192</v>
      </c>
      <c r="C454" s="213" t="s">
        <v>2195</v>
      </c>
      <c r="D454" s="214"/>
      <c r="E454" s="214"/>
      <c r="F454" s="215"/>
      <c r="G454" s="31" t="s">
        <v>2197</v>
      </c>
      <c r="H454" s="24" t="s">
        <v>2196</v>
      </c>
      <c r="I454" s="32">
        <v>0</v>
      </c>
      <c r="J454" s="32">
        <v>1</v>
      </c>
      <c r="K454" s="32">
        <v>0</v>
      </c>
      <c r="L454" s="32">
        <v>0</v>
      </c>
      <c r="M454" s="32">
        <v>0</v>
      </c>
      <c r="N454" s="32">
        <v>0</v>
      </c>
      <c r="O454" s="216" t="s">
        <v>2198</v>
      </c>
      <c r="P454" s="217"/>
      <c r="Q454" s="217"/>
      <c r="R454" s="218"/>
      <c r="S454" s="28" t="s">
        <v>384</v>
      </c>
      <c r="T454" s="20">
        <v>43</v>
      </c>
    </row>
    <row r="455" spans="1:20" ht="147" customHeight="1" x14ac:dyDescent="0.25">
      <c r="A455" s="30">
        <v>442</v>
      </c>
      <c r="B455" s="24" t="s">
        <v>2199</v>
      </c>
      <c r="C455" s="213" t="s">
        <v>2200</v>
      </c>
      <c r="D455" s="214"/>
      <c r="E455" s="214"/>
      <c r="F455" s="215"/>
      <c r="G455" s="31" t="s">
        <v>2202</v>
      </c>
      <c r="H455" s="24" t="s">
        <v>2201</v>
      </c>
      <c r="I455" s="32">
        <v>1</v>
      </c>
      <c r="J455" s="32">
        <v>0</v>
      </c>
      <c r="K455" s="32">
        <v>0</v>
      </c>
      <c r="L455" s="32">
        <v>0</v>
      </c>
      <c r="M455" s="32">
        <v>0</v>
      </c>
      <c r="N455" s="32">
        <v>0</v>
      </c>
      <c r="O455" s="216" t="s">
        <v>2203</v>
      </c>
      <c r="P455" s="217"/>
      <c r="Q455" s="217"/>
      <c r="R455" s="218"/>
      <c r="S455" s="28" t="s">
        <v>380</v>
      </c>
      <c r="T455" s="20">
        <v>44</v>
      </c>
    </row>
    <row r="456" spans="1:20" ht="164.25" customHeight="1" x14ac:dyDescent="0.25">
      <c r="A456" s="21">
        <v>443</v>
      </c>
      <c r="B456" s="24" t="s">
        <v>2199</v>
      </c>
      <c r="C456" s="213" t="s">
        <v>2204</v>
      </c>
      <c r="D456" s="214"/>
      <c r="E456" s="214"/>
      <c r="F456" s="215"/>
      <c r="G456" s="31" t="s">
        <v>2206</v>
      </c>
      <c r="H456" s="24" t="s">
        <v>2205</v>
      </c>
      <c r="I456" s="32">
        <v>1</v>
      </c>
      <c r="J456" s="32">
        <v>0</v>
      </c>
      <c r="K456" s="32">
        <v>0</v>
      </c>
      <c r="L456" s="32">
        <v>0</v>
      </c>
      <c r="M456" s="32">
        <v>0</v>
      </c>
      <c r="N456" s="32">
        <v>0</v>
      </c>
      <c r="O456" s="216" t="s">
        <v>1517</v>
      </c>
      <c r="P456" s="217"/>
      <c r="Q456" s="217"/>
      <c r="R456" s="218"/>
      <c r="S456" s="28" t="s">
        <v>1555</v>
      </c>
      <c r="T456" s="20">
        <v>45</v>
      </c>
    </row>
    <row r="457" spans="1:20" ht="144" x14ac:dyDescent="0.25">
      <c r="A457" s="30">
        <v>444</v>
      </c>
      <c r="B457" s="24" t="s">
        <v>2207</v>
      </c>
      <c r="C457" s="213" t="s">
        <v>2208</v>
      </c>
      <c r="D457" s="214"/>
      <c r="E457" s="214"/>
      <c r="F457" s="215"/>
      <c r="G457" s="31" t="s">
        <v>2210</v>
      </c>
      <c r="H457" s="24" t="s">
        <v>2209</v>
      </c>
      <c r="I457" s="32">
        <v>1</v>
      </c>
      <c r="J457" s="32">
        <v>0</v>
      </c>
      <c r="K457" s="32">
        <v>0</v>
      </c>
      <c r="L457" s="32">
        <v>0</v>
      </c>
      <c r="M457" s="32">
        <v>0</v>
      </c>
      <c r="N457" s="32">
        <v>0</v>
      </c>
      <c r="O457" s="216" t="s">
        <v>2211</v>
      </c>
      <c r="P457" s="217"/>
      <c r="Q457" s="217"/>
      <c r="R457" s="218"/>
      <c r="S457" s="28" t="s">
        <v>374</v>
      </c>
      <c r="T457" s="20">
        <v>46</v>
      </c>
    </row>
    <row r="458" spans="1:20" ht="120" x14ac:dyDescent="0.25">
      <c r="A458" s="21">
        <v>445</v>
      </c>
      <c r="B458" s="24" t="s">
        <v>2207</v>
      </c>
      <c r="C458" s="213" t="s">
        <v>2212</v>
      </c>
      <c r="D458" s="214"/>
      <c r="E458" s="214"/>
      <c r="F458" s="215"/>
      <c r="G458" s="31" t="s">
        <v>2214</v>
      </c>
      <c r="H458" s="24" t="s">
        <v>2213</v>
      </c>
      <c r="I458" s="32">
        <v>0</v>
      </c>
      <c r="J458" s="32">
        <v>1</v>
      </c>
      <c r="K458" s="32">
        <v>0</v>
      </c>
      <c r="L458" s="32">
        <v>0</v>
      </c>
      <c r="M458" s="32">
        <v>0</v>
      </c>
      <c r="N458" s="32">
        <v>0</v>
      </c>
      <c r="O458" s="216" t="s">
        <v>2215</v>
      </c>
      <c r="P458" s="217"/>
      <c r="Q458" s="217"/>
      <c r="R458" s="218"/>
      <c r="S458" s="28" t="s">
        <v>384</v>
      </c>
      <c r="T458" s="20">
        <v>47</v>
      </c>
    </row>
    <row r="459" spans="1:20" ht="132" x14ac:dyDescent="0.25">
      <c r="A459" s="30">
        <v>446</v>
      </c>
      <c r="B459" s="24" t="s">
        <v>2216</v>
      </c>
      <c r="C459" s="213" t="s">
        <v>2217</v>
      </c>
      <c r="D459" s="214"/>
      <c r="E459" s="214"/>
      <c r="F459" s="215"/>
      <c r="G459" s="31" t="s">
        <v>2218</v>
      </c>
      <c r="H459" s="24" t="s">
        <v>2219</v>
      </c>
      <c r="I459" s="32">
        <v>0</v>
      </c>
      <c r="J459" s="32">
        <v>1</v>
      </c>
      <c r="K459" s="32">
        <v>0</v>
      </c>
      <c r="L459" s="32">
        <v>0</v>
      </c>
      <c r="M459" s="32">
        <v>0</v>
      </c>
      <c r="N459" s="32">
        <v>0</v>
      </c>
      <c r="O459" s="216" t="s">
        <v>2220</v>
      </c>
      <c r="P459" s="217"/>
      <c r="Q459" s="217"/>
      <c r="R459" s="218"/>
      <c r="S459" s="28" t="s">
        <v>384</v>
      </c>
      <c r="T459" s="20">
        <v>48</v>
      </c>
    </row>
    <row r="460" spans="1:20" ht="120" x14ac:dyDescent="0.25">
      <c r="A460" s="21">
        <v>447</v>
      </c>
      <c r="B460" s="24" t="s">
        <v>2221</v>
      </c>
      <c r="C460" s="213" t="s">
        <v>2222</v>
      </c>
      <c r="D460" s="214"/>
      <c r="E460" s="214"/>
      <c r="F460" s="215"/>
      <c r="G460" s="31" t="s">
        <v>2224</v>
      </c>
      <c r="H460" s="24" t="s">
        <v>2223</v>
      </c>
      <c r="I460" s="32">
        <v>1</v>
      </c>
      <c r="J460" s="32">
        <v>0</v>
      </c>
      <c r="K460" s="32">
        <v>0</v>
      </c>
      <c r="L460" s="32">
        <v>0</v>
      </c>
      <c r="M460" s="32">
        <v>0</v>
      </c>
      <c r="N460" s="32">
        <v>0</v>
      </c>
      <c r="O460" s="216" t="s">
        <v>884</v>
      </c>
      <c r="P460" s="217"/>
      <c r="Q460" s="217"/>
      <c r="R460" s="218"/>
      <c r="S460" s="28" t="s">
        <v>374</v>
      </c>
      <c r="T460" s="20">
        <v>49</v>
      </c>
    </row>
    <row r="461" spans="1:20" ht="192" x14ac:dyDescent="0.25">
      <c r="A461" s="30">
        <v>448</v>
      </c>
      <c r="B461" s="24" t="s">
        <v>2225</v>
      </c>
      <c r="C461" s="213" t="s">
        <v>2226</v>
      </c>
      <c r="D461" s="214"/>
      <c r="E461" s="214"/>
      <c r="F461" s="215"/>
      <c r="G461" s="31" t="s">
        <v>2228</v>
      </c>
      <c r="H461" s="24" t="s">
        <v>2227</v>
      </c>
      <c r="I461" s="32">
        <v>0</v>
      </c>
      <c r="J461" s="32">
        <v>1</v>
      </c>
      <c r="K461" s="32">
        <v>0</v>
      </c>
      <c r="L461" s="32">
        <v>0</v>
      </c>
      <c r="M461" s="32">
        <v>0</v>
      </c>
      <c r="N461" s="32">
        <v>0</v>
      </c>
      <c r="O461" s="216" t="s">
        <v>2230</v>
      </c>
      <c r="P461" s="217"/>
      <c r="Q461" s="217"/>
      <c r="R461" s="218"/>
      <c r="S461" s="28" t="s">
        <v>2229</v>
      </c>
      <c r="T461" s="20">
        <v>50</v>
      </c>
    </row>
    <row r="462" spans="1:20" ht="132" x14ac:dyDescent="0.25">
      <c r="A462" s="21">
        <v>449</v>
      </c>
      <c r="B462" s="24" t="s">
        <v>2231</v>
      </c>
      <c r="C462" s="213" t="s">
        <v>1272</v>
      </c>
      <c r="D462" s="214"/>
      <c r="E462" s="214"/>
      <c r="F462" s="215"/>
      <c r="G462" s="31" t="s">
        <v>2233</v>
      </c>
      <c r="H462" s="24" t="s">
        <v>2232</v>
      </c>
      <c r="I462" s="32">
        <v>0</v>
      </c>
      <c r="J462" s="32">
        <v>1</v>
      </c>
      <c r="K462" s="32">
        <v>0</v>
      </c>
      <c r="L462" s="32">
        <v>0</v>
      </c>
      <c r="M462" s="32">
        <v>0</v>
      </c>
      <c r="N462" s="32">
        <v>0</v>
      </c>
      <c r="O462" s="216" t="s">
        <v>2234</v>
      </c>
      <c r="P462" s="217"/>
      <c r="Q462" s="217"/>
      <c r="R462" s="218"/>
      <c r="S462" s="28" t="s">
        <v>384</v>
      </c>
      <c r="T462" s="20">
        <v>51</v>
      </c>
    </row>
    <row r="463" spans="1:20" ht="120" x14ac:dyDescent="0.25">
      <c r="A463" s="30">
        <v>450</v>
      </c>
      <c r="B463" s="24" t="s">
        <v>2231</v>
      </c>
      <c r="C463" s="213" t="s">
        <v>2235</v>
      </c>
      <c r="D463" s="214"/>
      <c r="E463" s="214"/>
      <c r="F463" s="215"/>
      <c r="G463" s="31" t="s">
        <v>2237</v>
      </c>
      <c r="H463" s="24" t="s">
        <v>2236</v>
      </c>
      <c r="I463" s="32">
        <v>1</v>
      </c>
      <c r="J463" s="32">
        <v>0</v>
      </c>
      <c r="K463" s="32">
        <v>0</v>
      </c>
      <c r="L463" s="32">
        <v>0</v>
      </c>
      <c r="M463" s="32">
        <v>0</v>
      </c>
      <c r="N463" s="32">
        <v>0</v>
      </c>
      <c r="O463" s="216" t="s">
        <v>2239</v>
      </c>
      <c r="P463" s="217"/>
      <c r="Q463" s="217"/>
      <c r="R463" s="218"/>
      <c r="S463" s="28" t="s">
        <v>2238</v>
      </c>
      <c r="T463" s="20">
        <v>52</v>
      </c>
    </row>
    <row r="464" spans="1:20" ht="144" x14ac:dyDescent="0.25">
      <c r="A464" s="21">
        <v>451</v>
      </c>
      <c r="B464" s="24" t="s">
        <v>2240</v>
      </c>
      <c r="C464" s="213" t="s">
        <v>2241</v>
      </c>
      <c r="D464" s="214"/>
      <c r="E464" s="214"/>
      <c r="F464" s="215"/>
      <c r="G464" s="31" t="s">
        <v>2243</v>
      </c>
      <c r="H464" s="24" t="s">
        <v>2242</v>
      </c>
      <c r="I464" s="32">
        <v>0</v>
      </c>
      <c r="J464" s="32">
        <v>1</v>
      </c>
      <c r="K464" s="32">
        <v>0</v>
      </c>
      <c r="L464" s="32">
        <v>0</v>
      </c>
      <c r="M464" s="32">
        <v>0</v>
      </c>
      <c r="N464" s="32">
        <v>0</v>
      </c>
      <c r="O464" s="216" t="s">
        <v>2244</v>
      </c>
      <c r="P464" s="217"/>
      <c r="Q464" s="217"/>
      <c r="R464" s="218"/>
      <c r="S464" s="28" t="s">
        <v>382</v>
      </c>
      <c r="T464" s="20">
        <v>1</v>
      </c>
    </row>
    <row r="465" spans="1:20" ht="144" x14ac:dyDescent="0.25">
      <c r="A465" s="30">
        <v>452</v>
      </c>
      <c r="B465" s="24" t="s">
        <v>2245</v>
      </c>
      <c r="C465" s="213" t="s">
        <v>2246</v>
      </c>
      <c r="D465" s="214"/>
      <c r="E465" s="214"/>
      <c r="F465" s="215"/>
      <c r="G465" s="31" t="s">
        <v>2248</v>
      </c>
      <c r="H465" s="24" t="s">
        <v>2247</v>
      </c>
      <c r="I465" s="32">
        <v>0</v>
      </c>
      <c r="J465" s="32">
        <v>1</v>
      </c>
      <c r="K465" s="32">
        <v>0</v>
      </c>
      <c r="L465" s="32">
        <v>0</v>
      </c>
      <c r="M465" s="32">
        <v>0</v>
      </c>
      <c r="N465" s="32">
        <v>0</v>
      </c>
      <c r="O465" s="216" t="s">
        <v>2250</v>
      </c>
      <c r="P465" s="217"/>
      <c r="Q465" s="217"/>
      <c r="R465" s="218"/>
      <c r="S465" s="28" t="s">
        <v>2249</v>
      </c>
      <c r="T465" s="20">
        <v>2</v>
      </c>
    </row>
    <row r="466" spans="1:20" ht="144" x14ac:dyDescent="0.25">
      <c r="A466" s="21">
        <v>453</v>
      </c>
      <c r="B466" s="24" t="s">
        <v>2245</v>
      </c>
      <c r="C466" s="213" t="s">
        <v>2251</v>
      </c>
      <c r="D466" s="214"/>
      <c r="E466" s="214"/>
      <c r="F466" s="215"/>
      <c r="G466" s="31" t="s">
        <v>2253</v>
      </c>
      <c r="H466" s="24" t="s">
        <v>2252</v>
      </c>
      <c r="I466" s="32">
        <v>1</v>
      </c>
      <c r="J466" s="32">
        <v>0</v>
      </c>
      <c r="K466" s="32">
        <v>0</v>
      </c>
      <c r="L466" s="32">
        <v>0</v>
      </c>
      <c r="M466" s="32">
        <v>0</v>
      </c>
      <c r="N466" s="32">
        <v>0</v>
      </c>
      <c r="O466" s="216" t="s">
        <v>2254</v>
      </c>
      <c r="P466" s="217"/>
      <c r="Q466" s="217"/>
      <c r="R466" s="218"/>
      <c r="S466" s="28" t="s">
        <v>374</v>
      </c>
      <c r="T466" s="20">
        <v>3</v>
      </c>
    </row>
    <row r="467" spans="1:20" ht="144" x14ac:dyDescent="0.25">
      <c r="A467" s="30">
        <v>454</v>
      </c>
      <c r="B467" s="24" t="s">
        <v>2255</v>
      </c>
      <c r="C467" s="213" t="s">
        <v>2256</v>
      </c>
      <c r="D467" s="214"/>
      <c r="E467" s="214"/>
      <c r="F467" s="215"/>
      <c r="G467" s="31" t="s">
        <v>2258</v>
      </c>
      <c r="H467" s="24" t="s">
        <v>2257</v>
      </c>
      <c r="I467" s="32">
        <v>1</v>
      </c>
      <c r="J467" s="32">
        <v>0</v>
      </c>
      <c r="K467" s="32">
        <v>0</v>
      </c>
      <c r="L467" s="32">
        <v>0</v>
      </c>
      <c r="M467" s="32">
        <v>0</v>
      </c>
      <c r="N467" s="32">
        <v>0</v>
      </c>
      <c r="O467" s="216" t="s">
        <v>2259</v>
      </c>
      <c r="P467" s="217"/>
      <c r="Q467" s="217"/>
      <c r="R467" s="218"/>
      <c r="S467" s="28" t="s">
        <v>375</v>
      </c>
      <c r="T467" s="20">
        <v>4</v>
      </c>
    </row>
    <row r="468" spans="1:20" ht="168" x14ac:dyDescent="0.25">
      <c r="A468" s="21">
        <v>455</v>
      </c>
      <c r="B468" s="24" t="s">
        <v>2255</v>
      </c>
      <c r="C468" s="213" t="s">
        <v>2260</v>
      </c>
      <c r="D468" s="214"/>
      <c r="E468" s="214"/>
      <c r="F468" s="215"/>
      <c r="G468" s="31" t="s">
        <v>2262</v>
      </c>
      <c r="H468" s="24" t="s">
        <v>2261</v>
      </c>
      <c r="I468" s="32">
        <v>0</v>
      </c>
      <c r="J468" s="32">
        <v>1</v>
      </c>
      <c r="K468" s="32">
        <v>0</v>
      </c>
      <c r="L468" s="32">
        <v>0</v>
      </c>
      <c r="M468" s="32">
        <v>0</v>
      </c>
      <c r="N468" s="32">
        <v>0</v>
      </c>
      <c r="O468" s="216" t="s">
        <v>2264</v>
      </c>
      <c r="P468" s="217"/>
      <c r="Q468" s="217"/>
      <c r="R468" s="218"/>
      <c r="S468" s="28" t="s">
        <v>2263</v>
      </c>
      <c r="T468" s="20">
        <v>5</v>
      </c>
    </row>
    <row r="469" spans="1:20" ht="156" x14ac:dyDescent="0.25">
      <c r="A469" s="30">
        <v>456</v>
      </c>
      <c r="B469" s="24" t="s">
        <v>2265</v>
      </c>
      <c r="C469" s="213" t="s">
        <v>2266</v>
      </c>
      <c r="D469" s="214"/>
      <c r="E469" s="214"/>
      <c r="F469" s="215"/>
      <c r="G469" s="31" t="s">
        <v>2268</v>
      </c>
      <c r="H469" s="24" t="s">
        <v>2267</v>
      </c>
      <c r="I469" s="32">
        <v>1</v>
      </c>
      <c r="J469" s="32">
        <v>0</v>
      </c>
      <c r="K469" s="32">
        <v>0</v>
      </c>
      <c r="L469" s="32">
        <v>0</v>
      </c>
      <c r="M469" s="32">
        <v>0</v>
      </c>
      <c r="N469" s="32">
        <v>0</v>
      </c>
      <c r="O469" s="216" t="s">
        <v>2269</v>
      </c>
      <c r="P469" s="217"/>
      <c r="Q469" s="217"/>
      <c r="R469" s="218"/>
      <c r="S469" s="28" t="s">
        <v>374</v>
      </c>
      <c r="T469" s="20">
        <v>6</v>
      </c>
    </row>
    <row r="470" spans="1:20" ht="156" x14ac:dyDescent="0.25">
      <c r="A470" s="21">
        <v>457</v>
      </c>
      <c r="B470" s="24" t="s">
        <v>2265</v>
      </c>
      <c r="C470" s="213" t="s">
        <v>2270</v>
      </c>
      <c r="D470" s="214"/>
      <c r="E470" s="214"/>
      <c r="F470" s="215"/>
      <c r="G470" s="31" t="s">
        <v>2272</v>
      </c>
      <c r="H470" s="24" t="s">
        <v>2271</v>
      </c>
      <c r="I470" s="32">
        <v>1</v>
      </c>
      <c r="J470" s="32">
        <v>0</v>
      </c>
      <c r="K470" s="32">
        <v>0</v>
      </c>
      <c r="L470" s="32">
        <v>0</v>
      </c>
      <c r="M470" s="32">
        <v>0</v>
      </c>
      <c r="N470" s="32">
        <v>0</v>
      </c>
      <c r="O470" s="216" t="s">
        <v>2273</v>
      </c>
      <c r="P470" s="217"/>
      <c r="Q470" s="217"/>
      <c r="R470" s="218"/>
      <c r="S470" s="28" t="s">
        <v>374</v>
      </c>
      <c r="T470" s="20">
        <v>7</v>
      </c>
    </row>
    <row r="471" spans="1:20" ht="132" x14ac:dyDescent="0.25">
      <c r="A471" s="30">
        <v>458</v>
      </c>
      <c r="B471" s="24" t="s">
        <v>2274</v>
      </c>
      <c r="C471" s="213" t="s">
        <v>2275</v>
      </c>
      <c r="D471" s="214"/>
      <c r="E471" s="214"/>
      <c r="F471" s="215"/>
      <c r="G471" s="31" t="s">
        <v>2277</v>
      </c>
      <c r="H471" s="24" t="s">
        <v>2276</v>
      </c>
      <c r="I471" s="32">
        <v>1</v>
      </c>
      <c r="J471" s="32">
        <v>0</v>
      </c>
      <c r="K471" s="32">
        <v>0</v>
      </c>
      <c r="L471" s="32">
        <v>0</v>
      </c>
      <c r="M471" s="32">
        <v>0</v>
      </c>
      <c r="N471" s="32">
        <v>0</v>
      </c>
      <c r="O471" s="216" t="s">
        <v>2278</v>
      </c>
      <c r="P471" s="217"/>
      <c r="Q471" s="217"/>
      <c r="R471" s="218"/>
      <c r="S471" s="28" t="s">
        <v>375</v>
      </c>
      <c r="T471" s="20">
        <v>8</v>
      </c>
    </row>
    <row r="472" spans="1:20" ht="156" x14ac:dyDescent="0.25">
      <c r="A472" s="21">
        <v>459</v>
      </c>
      <c r="B472" s="24" t="s">
        <v>2274</v>
      </c>
      <c r="C472" s="213" t="s">
        <v>2279</v>
      </c>
      <c r="D472" s="214"/>
      <c r="E472" s="214"/>
      <c r="F472" s="215"/>
      <c r="G472" s="31" t="s">
        <v>2281</v>
      </c>
      <c r="H472" s="24" t="s">
        <v>2280</v>
      </c>
      <c r="I472" s="32">
        <v>1</v>
      </c>
      <c r="J472" s="32">
        <v>0</v>
      </c>
      <c r="K472" s="32">
        <v>0</v>
      </c>
      <c r="L472" s="32">
        <v>0</v>
      </c>
      <c r="M472" s="32">
        <v>0</v>
      </c>
      <c r="N472" s="32">
        <v>0</v>
      </c>
      <c r="O472" s="216" t="s">
        <v>2282</v>
      </c>
      <c r="P472" s="217"/>
      <c r="Q472" s="217"/>
      <c r="R472" s="218"/>
      <c r="S472" s="28" t="s">
        <v>374</v>
      </c>
      <c r="T472" s="20">
        <v>9</v>
      </c>
    </row>
    <row r="473" spans="1:20" ht="144" x14ac:dyDescent="0.25">
      <c r="A473" s="30">
        <v>460</v>
      </c>
      <c r="B473" s="24" t="s">
        <v>2283</v>
      </c>
      <c r="C473" s="213" t="s">
        <v>2284</v>
      </c>
      <c r="D473" s="214"/>
      <c r="E473" s="214"/>
      <c r="F473" s="215"/>
      <c r="G473" s="31" t="s">
        <v>2285</v>
      </c>
      <c r="H473" s="24" t="s">
        <v>2286</v>
      </c>
      <c r="I473" s="32">
        <v>1</v>
      </c>
      <c r="J473" s="32">
        <v>0</v>
      </c>
      <c r="K473" s="32">
        <v>0</v>
      </c>
      <c r="L473" s="32">
        <v>0</v>
      </c>
      <c r="M473" s="32">
        <v>0</v>
      </c>
      <c r="N473" s="32">
        <v>0</v>
      </c>
      <c r="O473" s="216" t="s">
        <v>2287</v>
      </c>
      <c r="P473" s="217"/>
      <c r="Q473" s="217"/>
      <c r="R473" s="218"/>
      <c r="S473" s="28" t="s">
        <v>374</v>
      </c>
      <c r="T473" s="20">
        <v>10</v>
      </c>
    </row>
    <row r="474" spans="1:20" ht="144" x14ac:dyDescent="0.25">
      <c r="A474" s="21">
        <v>461</v>
      </c>
      <c r="B474" s="24" t="s">
        <v>2283</v>
      </c>
      <c r="C474" s="213" t="s">
        <v>2288</v>
      </c>
      <c r="D474" s="214"/>
      <c r="E474" s="214"/>
      <c r="F474" s="215"/>
      <c r="G474" s="31" t="s">
        <v>2290</v>
      </c>
      <c r="H474" s="24" t="s">
        <v>2289</v>
      </c>
      <c r="I474" s="32">
        <v>1</v>
      </c>
      <c r="J474" s="32">
        <v>0</v>
      </c>
      <c r="K474" s="32">
        <v>0</v>
      </c>
      <c r="L474" s="32">
        <v>0</v>
      </c>
      <c r="M474" s="32">
        <v>0</v>
      </c>
      <c r="N474" s="32">
        <v>0</v>
      </c>
      <c r="O474" s="216" t="s">
        <v>2291</v>
      </c>
      <c r="P474" s="217"/>
      <c r="Q474" s="217"/>
      <c r="R474" s="218"/>
      <c r="S474" s="28" t="s">
        <v>379</v>
      </c>
      <c r="T474" s="20">
        <v>11</v>
      </c>
    </row>
    <row r="475" spans="1:20" ht="132" x14ac:dyDescent="0.25">
      <c r="A475" s="30">
        <v>462</v>
      </c>
      <c r="B475" s="24" t="s">
        <v>2292</v>
      </c>
      <c r="C475" s="213" t="s">
        <v>2293</v>
      </c>
      <c r="D475" s="214"/>
      <c r="E475" s="214"/>
      <c r="F475" s="215"/>
      <c r="G475" s="31" t="s">
        <v>2295</v>
      </c>
      <c r="H475" s="24" t="s">
        <v>2294</v>
      </c>
      <c r="I475" s="32">
        <v>1</v>
      </c>
      <c r="J475" s="32">
        <v>0</v>
      </c>
      <c r="K475" s="32">
        <v>0</v>
      </c>
      <c r="L475" s="32">
        <v>0</v>
      </c>
      <c r="M475" s="32">
        <v>0</v>
      </c>
      <c r="N475" s="32">
        <v>0</v>
      </c>
      <c r="O475" s="216" t="s">
        <v>2296</v>
      </c>
      <c r="P475" s="217"/>
      <c r="Q475" s="217"/>
      <c r="R475" s="218"/>
      <c r="S475" s="28" t="s">
        <v>376</v>
      </c>
      <c r="T475" s="20">
        <v>12</v>
      </c>
    </row>
    <row r="476" spans="1:20" ht="144" x14ac:dyDescent="0.25">
      <c r="A476" s="21">
        <v>463</v>
      </c>
      <c r="B476" s="24" t="s">
        <v>2297</v>
      </c>
      <c r="C476" s="213" t="s">
        <v>2298</v>
      </c>
      <c r="D476" s="214"/>
      <c r="E476" s="214"/>
      <c r="F476" s="215"/>
      <c r="G476" s="31" t="s">
        <v>2300</v>
      </c>
      <c r="H476" s="24" t="s">
        <v>2299</v>
      </c>
      <c r="I476" s="32">
        <v>1</v>
      </c>
      <c r="J476" s="32">
        <v>0</v>
      </c>
      <c r="K476" s="32">
        <v>0</v>
      </c>
      <c r="L476" s="32">
        <v>0</v>
      </c>
      <c r="M476" s="32">
        <v>0</v>
      </c>
      <c r="N476" s="32">
        <v>0</v>
      </c>
      <c r="O476" s="216" t="s">
        <v>2301</v>
      </c>
      <c r="P476" s="217"/>
      <c r="Q476" s="217"/>
      <c r="R476" s="218"/>
      <c r="S476" s="28" t="s">
        <v>374</v>
      </c>
      <c r="T476" s="20">
        <v>13</v>
      </c>
    </row>
    <row r="477" spans="1:20" ht="144" x14ac:dyDescent="0.25">
      <c r="A477" s="30">
        <v>464</v>
      </c>
      <c r="B477" s="24" t="s">
        <v>2302</v>
      </c>
      <c r="C477" s="213" t="s">
        <v>2303</v>
      </c>
      <c r="D477" s="214"/>
      <c r="E477" s="214"/>
      <c r="F477" s="215"/>
      <c r="G477" s="31" t="s">
        <v>2305</v>
      </c>
      <c r="H477" s="24" t="s">
        <v>2304</v>
      </c>
      <c r="I477" s="32">
        <v>1</v>
      </c>
      <c r="J477" s="32">
        <v>0</v>
      </c>
      <c r="K477" s="32">
        <v>0</v>
      </c>
      <c r="L477" s="32">
        <v>0</v>
      </c>
      <c r="M477" s="32">
        <v>0</v>
      </c>
      <c r="N477" s="32">
        <v>0</v>
      </c>
      <c r="O477" s="216" t="s">
        <v>2306</v>
      </c>
      <c r="P477" s="217"/>
      <c r="Q477" s="217"/>
      <c r="R477" s="218"/>
      <c r="S477" s="28" t="s">
        <v>376</v>
      </c>
      <c r="T477" s="20">
        <v>14</v>
      </c>
    </row>
    <row r="478" spans="1:20" ht="132" x14ac:dyDescent="0.25">
      <c r="A478" s="21">
        <v>465</v>
      </c>
      <c r="B478" s="24" t="s">
        <v>2302</v>
      </c>
      <c r="C478" s="213" t="s">
        <v>2307</v>
      </c>
      <c r="D478" s="214"/>
      <c r="E478" s="214"/>
      <c r="F478" s="215"/>
      <c r="G478" s="31" t="s">
        <v>2309</v>
      </c>
      <c r="H478" s="24" t="s">
        <v>2308</v>
      </c>
      <c r="I478" s="32">
        <v>0</v>
      </c>
      <c r="J478" s="32">
        <v>1</v>
      </c>
      <c r="K478" s="32">
        <v>0</v>
      </c>
      <c r="L478" s="32">
        <v>0</v>
      </c>
      <c r="M478" s="32">
        <v>0</v>
      </c>
      <c r="N478" s="32">
        <v>0</v>
      </c>
      <c r="O478" s="216" t="s">
        <v>2311</v>
      </c>
      <c r="P478" s="217"/>
      <c r="Q478" s="217"/>
      <c r="R478" s="218"/>
      <c r="S478" s="28" t="s">
        <v>2310</v>
      </c>
      <c r="T478" s="20">
        <v>15</v>
      </c>
    </row>
    <row r="479" spans="1:20" ht="144" x14ac:dyDescent="0.25">
      <c r="A479" s="30">
        <v>466</v>
      </c>
      <c r="B479" s="24" t="s">
        <v>2312</v>
      </c>
      <c r="C479" s="213" t="s">
        <v>2313</v>
      </c>
      <c r="D479" s="214"/>
      <c r="E479" s="214"/>
      <c r="F479" s="215"/>
      <c r="G479" s="31" t="s">
        <v>2315</v>
      </c>
      <c r="H479" s="24" t="s">
        <v>2314</v>
      </c>
      <c r="I479" s="32">
        <v>1</v>
      </c>
      <c r="J479" s="32">
        <v>0</v>
      </c>
      <c r="K479" s="32">
        <v>0</v>
      </c>
      <c r="L479" s="32">
        <v>0</v>
      </c>
      <c r="M479" s="32">
        <v>0</v>
      </c>
      <c r="N479" s="32">
        <v>0</v>
      </c>
      <c r="O479" s="216" t="s">
        <v>2316</v>
      </c>
      <c r="P479" s="217"/>
      <c r="Q479" s="217"/>
      <c r="R479" s="218"/>
      <c r="S479" s="28" t="s">
        <v>374</v>
      </c>
      <c r="T479" s="20">
        <v>16</v>
      </c>
    </row>
    <row r="480" spans="1:20" ht="156" x14ac:dyDescent="0.25">
      <c r="A480" s="21">
        <v>467</v>
      </c>
      <c r="B480" s="24" t="s">
        <v>2312</v>
      </c>
      <c r="C480" s="213" t="s">
        <v>2317</v>
      </c>
      <c r="D480" s="214"/>
      <c r="E480" s="214"/>
      <c r="F480" s="215"/>
      <c r="G480" s="31" t="s">
        <v>2319</v>
      </c>
      <c r="H480" s="24" t="s">
        <v>2318</v>
      </c>
      <c r="I480" s="32">
        <v>0</v>
      </c>
      <c r="J480" s="32">
        <v>1</v>
      </c>
      <c r="K480" s="32">
        <v>0</v>
      </c>
      <c r="L480" s="32">
        <v>0</v>
      </c>
      <c r="M480" s="32">
        <v>0</v>
      </c>
      <c r="N480" s="32">
        <v>0</v>
      </c>
      <c r="O480" s="216" t="s">
        <v>2296</v>
      </c>
      <c r="P480" s="217"/>
      <c r="Q480" s="217"/>
      <c r="R480" s="218"/>
      <c r="S480" s="28" t="s">
        <v>382</v>
      </c>
      <c r="T480" s="20">
        <v>17</v>
      </c>
    </row>
    <row r="481" spans="1:20" ht="132" x14ac:dyDescent="0.25">
      <c r="A481" s="30">
        <v>468</v>
      </c>
      <c r="B481" s="24" t="s">
        <v>2320</v>
      </c>
      <c r="C481" s="213" t="s">
        <v>2321</v>
      </c>
      <c r="D481" s="214"/>
      <c r="E481" s="214"/>
      <c r="F481" s="215"/>
      <c r="G481" s="31" t="s">
        <v>2323</v>
      </c>
      <c r="H481" s="24" t="s">
        <v>2322</v>
      </c>
      <c r="I481" s="32">
        <v>1</v>
      </c>
      <c r="J481" s="32">
        <v>0</v>
      </c>
      <c r="K481" s="32">
        <v>0</v>
      </c>
      <c r="L481" s="32">
        <v>0</v>
      </c>
      <c r="M481" s="32">
        <v>0</v>
      </c>
      <c r="N481" s="32">
        <v>0</v>
      </c>
      <c r="O481" s="216" t="s">
        <v>2301</v>
      </c>
      <c r="P481" s="217"/>
      <c r="Q481" s="217"/>
      <c r="R481" s="218"/>
      <c r="S481" s="28" t="s">
        <v>374</v>
      </c>
      <c r="T481" s="20">
        <v>18</v>
      </c>
    </row>
    <row r="482" spans="1:20" ht="144" x14ac:dyDescent="0.25">
      <c r="A482" s="21">
        <v>469</v>
      </c>
      <c r="B482" s="24" t="s">
        <v>2320</v>
      </c>
      <c r="C482" s="213" t="s">
        <v>2324</v>
      </c>
      <c r="D482" s="214"/>
      <c r="E482" s="214"/>
      <c r="F482" s="215"/>
      <c r="G482" s="31" t="s">
        <v>2326</v>
      </c>
      <c r="H482" s="24" t="s">
        <v>2325</v>
      </c>
      <c r="I482" s="32">
        <v>0</v>
      </c>
      <c r="J482" s="32">
        <v>1</v>
      </c>
      <c r="K482" s="32">
        <v>0</v>
      </c>
      <c r="L482" s="32">
        <v>0</v>
      </c>
      <c r="M482" s="32">
        <v>0</v>
      </c>
      <c r="N482" s="32">
        <v>0</v>
      </c>
      <c r="O482" s="216" t="s">
        <v>2327</v>
      </c>
      <c r="P482" s="217"/>
      <c r="Q482" s="217"/>
      <c r="R482" s="218"/>
      <c r="S482" s="28" t="s">
        <v>384</v>
      </c>
      <c r="T482" s="20">
        <v>19</v>
      </c>
    </row>
    <row r="483" spans="1:20" ht="132" x14ac:dyDescent="0.25">
      <c r="A483" s="30">
        <v>470</v>
      </c>
      <c r="B483" s="24" t="s">
        <v>2328</v>
      </c>
      <c r="C483" s="213" t="s">
        <v>707</v>
      </c>
      <c r="D483" s="214"/>
      <c r="E483" s="214"/>
      <c r="F483" s="215"/>
      <c r="G483" s="31" t="s">
        <v>2330</v>
      </c>
      <c r="H483" s="24" t="s">
        <v>2329</v>
      </c>
      <c r="I483" s="32">
        <v>0</v>
      </c>
      <c r="J483" s="32">
        <v>1</v>
      </c>
      <c r="K483" s="32">
        <v>0</v>
      </c>
      <c r="L483" s="32">
        <v>0</v>
      </c>
      <c r="M483" s="32">
        <v>0</v>
      </c>
      <c r="N483" s="32">
        <v>0</v>
      </c>
      <c r="O483" s="216" t="s">
        <v>2306</v>
      </c>
      <c r="P483" s="217"/>
      <c r="Q483" s="217"/>
      <c r="R483" s="218"/>
      <c r="S483" s="28" t="s">
        <v>1752</v>
      </c>
      <c r="T483" s="20">
        <v>20</v>
      </c>
    </row>
    <row r="484" spans="1:20" ht="156" x14ac:dyDescent="0.25">
      <c r="A484" s="21">
        <v>471</v>
      </c>
      <c r="B484" s="24" t="s">
        <v>2328</v>
      </c>
      <c r="C484" s="213" t="s">
        <v>2331</v>
      </c>
      <c r="D484" s="214"/>
      <c r="E484" s="214"/>
      <c r="F484" s="215"/>
      <c r="G484" s="31" t="s">
        <v>2333</v>
      </c>
      <c r="H484" s="24" t="s">
        <v>2332</v>
      </c>
      <c r="I484" s="32">
        <v>1</v>
      </c>
      <c r="J484" s="32">
        <v>0</v>
      </c>
      <c r="K484" s="32">
        <v>0</v>
      </c>
      <c r="L484" s="32">
        <v>0</v>
      </c>
      <c r="M484" s="32">
        <v>0</v>
      </c>
      <c r="N484" s="32">
        <v>0</v>
      </c>
      <c r="O484" s="216" t="s">
        <v>2334</v>
      </c>
      <c r="P484" s="217"/>
      <c r="Q484" s="217"/>
      <c r="R484" s="218"/>
      <c r="S484" s="28" t="s">
        <v>374</v>
      </c>
      <c r="T484" s="20">
        <v>21</v>
      </c>
    </row>
    <row r="485" spans="1:20" ht="144" x14ac:dyDescent="0.25">
      <c r="A485" s="30">
        <v>472</v>
      </c>
      <c r="B485" s="24" t="s">
        <v>2335</v>
      </c>
      <c r="C485" s="213" t="s">
        <v>357</v>
      </c>
      <c r="D485" s="214"/>
      <c r="E485" s="214"/>
      <c r="F485" s="215"/>
      <c r="G485" s="31" t="s">
        <v>2337</v>
      </c>
      <c r="H485" s="24" t="s">
        <v>2336</v>
      </c>
      <c r="I485" s="32">
        <v>1</v>
      </c>
      <c r="J485" s="32">
        <v>0</v>
      </c>
      <c r="K485" s="32">
        <v>0</v>
      </c>
      <c r="L485" s="32">
        <v>0</v>
      </c>
      <c r="M485" s="32">
        <v>0</v>
      </c>
      <c r="N485" s="32">
        <v>0</v>
      </c>
      <c r="O485" s="216" t="s">
        <v>2338</v>
      </c>
      <c r="P485" s="217"/>
      <c r="Q485" s="217"/>
      <c r="R485" s="218"/>
      <c r="S485" s="28" t="s">
        <v>374</v>
      </c>
      <c r="T485" s="20">
        <v>22</v>
      </c>
    </row>
    <row r="486" spans="1:20" ht="144" x14ac:dyDescent="0.25">
      <c r="A486" s="21">
        <v>473</v>
      </c>
      <c r="B486" s="24" t="s">
        <v>2339</v>
      </c>
      <c r="C486" s="213" t="s">
        <v>2340</v>
      </c>
      <c r="D486" s="214"/>
      <c r="E486" s="214"/>
      <c r="F486" s="215"/>
      <c r="G486" s="31" t="s">
        <v>2342</v>
      </c>
      <c r="H486" s="24" t="s">
        <v>2341</v>
      </c>
      <c r="I486" s="32">
        <v>1</v>
      </c>
      <c r="J486" s="32">
        <v>0</v>
      </c>
      <c r="K486" s="32">
        <v>0</v>
      </c>
      <c r="L486" s="32">
        <v>0</v>
      </c>
      <c r="M486" s="32">
        <v>0</v>
      </c>
      <c r="N486" s="32">
        <v>0</v>
      </c>
      <c r="O486" s="216" t="s">
        <v>2301</v>
      </c>
      <c r="P486" s="217"/>
      <c r="Q486" s="217"/>
      <c r="R486" s="218"/>
      <c r="S486" s="28" t="s">
        <v>374</v>
      </c>
      <c r="T486" s="20">
        <v>23</v>
      </c>
    </row>
    <row r="487" spans="1:20" ht="144" x14ac:dyDescent="0.25">
      <c r="A487" s="30">
        <v>474</v>
      </c>
      <c r="B487" s="24" t="s">
        <v>2343</v>
      </c>
      <c r="C487" s="213" t="s">
        <v>2344</v>
      </c>
      <c r="D487" s="214"/>
      <c r="E487" s="214"/>
      <c r="F487" s="215"/>
      <c r="G487" s="31" t="s">
        <v>2346</v>
      </c>
      <c r="H487" s="24" t="s">
        <v>2345</v>
      </c>
      <c r="I487" s="32">
        <v>1</v>
      </c>
      <c r="J487" s="32">
        <v>0</v>
      </c>
      <c r="K487" s="32">
        <v>0</v>
      </c>
      <c r="L487" s="32">
        <v>0</v>
      </c>
      <c r="M487" s="32">
        <v>0</v>
      </c>
      <c r="N487" s="32">
        <v>0</v>
      </c>
      <c r="O487" s="216" t="s">
        <v>2306</v>
      </c>
      <c r="P487" s="217"/>
      <c r="Q487" s="217"/>
      <c r="R487" s="218"/>
      <c r="S487" s="28" t="s">
        <v>374</v>
      </c>
      <c r="T487" s="20">
        <v>24</v>
      </c>
    </row>
    <row r="488" spans="1:20" ht="144" x14ac:dyDescent="0.25">
      <c r="A488" s="21">
        <v>475</v>
      </c>
      <c r="B488" s="24" t="s">
        <v>2343</v>
      </c>
      <c r="C488" s="213" t="s">
        <v>2347</v>
      </c>
      <c r="D488" s="214"/>
      <c r="E488" s="214"/>
      <c r="F488" s="215"/>
      <c r="G488" s="31" t="s">
        <v>2349</v>
      </c>
      <c r="H488" s="24" t="s">
        <v>2348</v>
      </c>
      <c r="I488" s="32">
        <v>1</v>
      </c>
      <c r="J488" s="32">
        <v>0</v>
      </c>
      <c r="K488" s="32">
        <v>0</v>
      </c>
      <c r="L488" s="32">
        <v>0</v>
      </c>
      <c r="M488" s="32">
        <v>0</v>
      </c>
      <c r="N488" s="32">
        <v>0</v>
      </c>
      <c r="O488" s="216" t="s">
        <v>2350</v>
      </c>
      <c r="P488" s="217"/>
      <c r="Q488" s="217"/>
      <c r="R488" s="218"/>
      <c r="S488" s="28" t="s">
        <v>374</v>
      </c>
      <c r="T488" s="20">
        <v>25</v>
      </c>
    </row>
    <row r="489" spans="1:20" ht="144" x14ac:dyDescent="0.25">
      <c r="A489" s="30">
        <v>476</v>
      </c>
      <c r="B489" s="24" t="s">
        <v>2351</v>
      </c>
      <c r="C489" s="213" t="s">
        <v>2352</v>
      </c>
      <c r="D489" s="214"/>
      <c r="E489" s="214"/>
      <c r="F489" s="215"/>
      <c r="G489" s="31" t="s">
        <v>2354</v>
      </c>
      <c r="H489" s="24" t="s">
        <v>2353</v>
      </c>
      <c r="I489" s="32">
        <v>1</v>
      </c>
      <c r="J489" s="32">
        <v>0</v>
      </c>
      <c r="K489" s="32">
        <v>0</v>
      </c>
      <c r="L489" s="32">
        <v>0</v>
      </c>
      <c r="M489" s="32">
        <v>0</v>
      </c>
      <c r="N489" s="32">
        <v>0</v>
      </c>
      <c r="O489" s="216" t="s">
        <v>2355</v>
      </c>
      <c r="P489" s="217"/>
      <c r="Q489" s="217"/>
      <c r="R489" s="218"/>
      <c r="S489" s="28" t="s">
        <v>375</v>
      </c>
      <c r="T489" s="20">
        <v>26</v>
      </c>
    </row>
    <row r="490" spans="1:20" ht="168" x14ac:dyDescent="0.25">
      <c r="A490" s="21">
        <v>477</v>
      </c>
      <c r="B490" s="24" t="s">
        <v>2351</v>
      </c>
      <c r="C490" s="213" t="s">
        <v>2356</v>
      </c>
      <c r="D490" s="214"/>
      <c r="E490" s="214"/>
      <c r="F490" s="215"/>
      <c r="G490" s="31" t="s">
        <v>2358</v>
      </c>
      <c r="H490" s="24" t="s">
        <v>2357</v>
      </c>
      <c r="I490" s="32">
        <v>0</v>
      </c>
      <c r="J490" s="32">
        <v>1</v>
      </c>
      <c r="K490" s="32">
        <v>0</v>
      </c>
      <c r="L490" s="32">
        <v>0</v>
      </c>
      <c r="M490" s="32">
        <v>0</v>
      </c>
      <c r="N490" s="32">
        <v>0</v>
      </c>
      <c r="O490" s="216" t="s">
        <v>2167</v>
      </c>
      <c r="P490" s="217"/>
      <c r="Q490" s="217"/>
      <c r="R490" s="218"/>
      <c r="S490" s="28" t="s">
        <v>2263</v>
      </c>
      <c r="T490" s="20">
        <v>27</v>
      </c>
    </row>
    <row r="491" spans="1:20" ht="156" x14ac:dyDescent="0.25">
      <c r="A491" s="30">
        <v>478</v>
      </c>
      <c r="B491" s="24" t="s">
        <v>2359</v>
      </c>
      <c r="C491" s="213" t="s">
        <v>2360</v>
      </c>
      <c r="D491" s="214"/>
      <c r="E491" s="214"/>
      <c r="F491" s="215"/>
      <c r="G491" s="31" t="s">
        <v>2362</v>
      </c>
      <c r="H491" s="24" t="s">
        <v>2361</v>
      </c>
      <c r="I491" s="32">
        <v>1</v>
      </c>
      <c r="J491" s="32">
        <v>0</v>
      </c>
      <c r="K491" s="32">
        <v>0</v>
      </c>
      <c r="L491" s="32">
        <v>0</v>
      </c>
      <c r="M491" s="32">
        <v>0</v>
      </c>
      <c r="N491" s="32">
        <v>0</v>
      </c>
      <c r="O491" s="216" t="s">
        <v>2363</v>
      </c>
      <c r="P491" s="217"/>
      <c r="Q491" s="217"/>
      <c r="R491" s="218"/>
      <c r="S491" s="28" t="s">
        <v>374</v>
      </c>
      <c r="T491" s="20">
        <v>28</v>
      </c>
    </row>
    <row r="492" spans="1:20" ht="144" x14ac:dyDescent="0.25">
      <c r="A492" s="21">
        <v>479</v>
      </c>
      <c r="B492" s="24" t="s">
        <v>2359</v>
      </c>
      <c r="C492" s="213" t="s">
        <v>2364</v>
      </c>
      <c r="D492" s="214"/>
      <c r="E492" s="214"/>
      <c r="F492" s="215"/>
      <c r="G492" s="31" t="s">
        <v>2366</v>
      </c>
      <c r="H492" s="24" t="s">
        <v>2365</v>
      </c>
      <c r="I492" s="32">
        <v>1</v>
      </c>
      <c r="J492" s="32">
        <v>0</v>
      </c>
      <c r="K492" s="32">
        <v>0</v>
      </c>
      <c r="L492" s="32">
        <v>0</v>
      </c>
      <c r="M492" s="32">
        <v>0</v>
      </c>
      <c r="N492" s="32">
        <v>0</v>
      </c>
      <c r="O492" s="216" t="s">
        <v>2367</v>
      </c>
      <c r="P492" s="217"/>
      <c r="Q492" s="217"/>
      <c r="R492" s="218"/>
      <c r="S492" s="28" t="s">
        <v>374</v>
      </c>
      <c r="T492" s="20">
        <v>29</v>
      </c>
    </row>
    <row r="493" spans="1:20" ht="144" x14ac:dyDescent="0.25">
      <c r="A493" s="30">
        <v>480</v>
      </c>
      <c r="B493" s="24" t="s">
        <v>2368</v>
      </c>
      <c r="C493" s="213" t="s">
        <v>2186</v>
      </c>
      <c r="D493" s="214"/>
      <c r="E493" s="214"/>
      <c r="F493" s="215"/>
      <c r="G493" s="31" t="s">
        <v>2370</v>
      </c>
      <c r="H493" s="24" t="s">
        <v>2369</v>
      </c>
      <c r="I493" s="32">
        <v>1</v>
      </c>
      <c r="J493" s="32">
        <v>0</v>
      </c>
      <c r="K493" s="32">
        <v>0</v>
      </c>
      <c r="L493" s="32">
        <v>0</v>
      </c>
      <c r="M493" s="32">
        <v>0</v>
      </c>
      <c r="N493" s="32">
        <v>0</v>
      </c>
      <c r="O493" s="216" t="s">
        <v>2306</v>
      </c>
      <c r="P493" s="217"/>
      <c r="Q493" s="217"/>
      <c r="R493" s="218"/>
      <c r="S493" s="28" t="s">
        <v>374</v>
      </c>
      <c r="T493" s="20">
        <v>30</v>
      </c>
    </row>
    <row r="494" spans="1:20" ht="156" x14ac:dyDescent="0.25">
      <c r="A494" s="21">
        <v>481</v>
      </c>
      <c r="B494" s="24" t="s">
        <v>2368</v>
      </c>
      <c r="C494" s="213" t="s">
        <v>2371</v>
      </c>
      <c r="D494" s="214"/>
      <c r="E494" s="214"/>
      <c r="F494" s="215"/>
      <c r="G494" s="31" t="s">
        <v>2373</v>
      </c>
      <c r="H494" s="24" t="s">
        <v>2372</v>
      </c>
      <c r="I494" s="32">
        <v>1</v>
      </c>
      <c r="J494" s="32">
        <v>0</v>
      </c>
      <c r="K494" s="32">
        <v>0</v>
      </c>
      <c r="L494" s="32">
        <v>0</v>
      </c>
      <c r="M494" s="32">
        <v>0</v>
      </c>
      <c r="N494" s="32">
        <v>0</v>
      </c>
      <c r="O494" s="216" t="s">
        <v>2374</v>
      </c>
      <c r="P494" s="217"/>
      <c r="Q494" s="217"/>
      <c r="R494" s="218"/>
      <c r="S494" s="28" t="s">
        <v>374</v>
      </c>
      <c r="T494" s="20">
        <v>31</v>
      </c>
    </row>
    <row r="495" spans="1:20" ht="156" x14ac:dyDescent="0.25">
      <c r="A495" s="30">
        <v>482</v>
      </c>
      <c r="B495" s="24" t="s">
        <v>2375</v>
      </c>
      <c r="C495" s="213" t="s">
        <v>2376</v>
      </c>
      <c r="D495" s="214"/>
      <c r="E495" s="214"/>
      <c r="F495" s="215"/>
      <c r="G495" s="31" t="s">
        <v>2378</v>
      </c>
      <c r="H495" s="24" t="s">
        <v>2377</v>
      </c>
      <c r="I495" s="32">
        <v>1</v>
      </c>
      <c r="J495" s="32">
        <v>0</v>
      </c>
      <c r="K495" s="32">
        <v>0</v>
      </c>
      <c r="L495" s="32">
        <v>0</v>
      </c>
      <c r="M495" s="32">
        <v>0</v>
      </c>
      <c r="N495" s="32">
        <v>0</v>
      </c>
      <c r="O495" s="216" t="s">
        <v>2379</v>
      </c>
      <c r="P495" s="217"/>
      <c r="Q495" s="217"/>
      <c r="R495" s="218"/>
      <c r="S495" s="28" t="s">
        <v>374</v>
      </c>
      <c r="T495" s="20">
        <v>32</v>
      </c>
    </row>
    <row r="496" spans="1:20" ht="156" x14ac:dyDescent="0.25">
      <c r="A496" s="21">
        <v>483</v>
      </c>
      <c r="B496" s="24" t="s">
        <v>2375</v>
      </c>
      <c r="C496" s="213" t="s">
        <v>2380</v>
      </c>
      <c r="D496" s="214"/>
      <c r="E496" s="214"/>
      <c r="F496" s="215"/>
      <c r="G496" s="31" t="s">
        <v>2382</v>
      </c>
      <c r="H496" s="24" t="s">
        <v>2381</v>
      </c>
      <c r="I496" s="32">
        <v>1</v>
      </c>
      <c r="J496" s="32">
        <v>0</v>
      </c>
      <c r="K496" s="32">
        <v>0</v>
      </c>
      <c r="L496" s="32">
        <v>0</v>
      </c>
      <c r="M496" s="32">
        <v>0</v>
      </c>
      <c r="N496" s="32">
        <v>0</v>
      </c>
      <c r="O496" s="216" t="s">
        <v>2383</v>
      </c>
      <c r="P496" s="217"/>
      <c r="Q496" s="217"/>
      <c r="R496" s="218"/>
      <c r="S496" s="28" t="s">
        <v>1555</v>
      </c>
      <c r="T496" s="20">
        <v>33</v>
      </c>
    </row>
    <row r="497" spans="1:20" ht="132" x14ac:dyDescent="0.25">
      <c r="A497" s="30">
        <v>484</v>
      </c>
      <c r="B497" s="24" t="s">
        <v>2384</v>
      </c>
      <c r="C497" s="213" t="s">
        <v>2385</v>
      </c>
      <c r="D497" s="214"/>
      <c r="E497" s="214"/>
      <c r="F497" s="215"/>
      <c r="G497" s="31" t="s">
        <v>2387</v>
      </c>
      <c r="H497" s="24" t="s">
        <v>2386</v>
      </c>
      <c r="I497" s="32">
        <v>0</v>
      </c>
      <c r="J497" s="32">
        <v>1</v>
      </c>
      <c r="K497" s="32">
        <v>0</v>
      </c>
      <c r="L497" s="32">
        <v>0</v>
      </c>
      <c r="M497" s="32">
        <v>0</v>
      </c>
      <c r="N497" s="32">
        <v>0</v>
      </c>
      <c r="O497" s="216" t="s">
        <v>2301</v>
      </c>
      <c r="P497" s="217"/>
      <c r="Q497" s="217"/>
      <c r="R497" s="218"/>
      <c r="S497" s="28" t="s">
        <v>384</v>
      </c>
      <c r="T497" s="20">
        <v>34</v>
      </c>
    </row>
    <row r="498" spans="1:20" ht="144" x14ac:dyDescent="0.25">
      <c r="A498" s="21">
        <v>485</v>
      </c>
      <c r="B498" s="24" t="s">
        <v>2384</v>
      </c>
      <c r="C498" s="213" t="s">
        <v>2388</v>
      </c>
      <c r="D498" s="214"/>
      <c r="E498" s="214"/>
      <c r="F498" s="215"/>
      <c r="G498" s="31" t="s">
        <v>2390</v>
      </c>
      <c r="H498" s="24" t="s">
        <v>2389</v>
      </c>
      <c r="I498" s="32">
        <v>1</v>
      </c>
      <c r="J498" s="32">
        <v>0</v>
      </c>
      <c r="K498" s="32">
        <v>0</v>
      </c>
      <c r="L498" s="32">
        <v>0</v>
      </c>
      <c r="M498" s="32">
        <v>0</v>
      </c>
      <c r="N498" s="32">
        <v>0</v>
      </c>
      <c r="O498" s="216" t="s">
        <v>2306</v>
      </c>
      <c r="P498" s="217"/>
      <c r="Q498" s="217"/>
      <c r="R498" s="218"/>
      <c r="S498" s="28" t="s">
        <v>1555</v>
      </c>
      <c r="T498" s="20">
        <v>35</v>
      </c>
    </row>
    <row r="499" spans="1:20" ht="132" customHeight="1" x14ac:dyDescent="0.25">
      <c r="A499" s="30">
        <v>486</v>
      </c>
      <c r="B499" s="24" t="s">
        <v>2391</v>
      </c>
      <c r="C499" s="213" t="s">
        <v>2392</v>
      </c>
      <c r="D499" s="214"/>
      <c r="E499" s="214"/>
      <c r="F499" s="215"/>
      <c r="G499" s="31" t="s">
        <v>2394</v>
      </c>
      <c r="H499" s="24" t="s">
        <v>2393</v>
      </c>
      <c r="I499" s="32">
        <v>1</v>
      </c>
      <c r="J499" s="32">
        <v>0</v>
      </c>
      <c r="K499" s="32">
        <v>0</v>
      </c>
      <c r="L499" s="32">
        <v>0</v>
      </c>
      <c r="M499" s="32">
        <v>0</v>
      </c>
      <c r="N499" s="32">
        <v>0</v>
      </c>
      <c r="O499" s="216" t="s">
        <v>2306</v>
      </c>
      <c r="P499" s="217"/>
      <c r="Q499" s="217"/>
      <c r="R499" s="218"/>
      <c r="S499" s="28" t="s">
        <v>374</v>
      </c>
      <c r="T499" s="20">
        <v>36</v>
      </c>
    </row>
    <row r="500" spans="1:20" ht="132" x14ac:dyDescent="0.25">
      <c r="A500" s="21">
        <v>487</v>
      </c>
      <c r="B500" s="24" t="s">
        <v>2391</v>
      </c>
      <c r="C500" s="213" t="s">
        <v>2395</v>
      </c>
      <c r="D500" s="214"/>
      <c r="E500" s="214"/>
      <c r="F500" s="215"/>
      <c r="G500" s="31" t="s">
        <v>2397</v>
      </c>
      <c r="H500" s="24" t="s">
        <v>2396</v>
      </c>
      <c r="I500" s="32">
        <v>0</v>
      </c>
      <c r="J500" s="32">
        <v>1</v>
      </c>
      <c r="K500" s="32">
        <v>0</v>
      </c>
      <c r="L500" s="32">
        <v>0</v>
      </c>
      <c r="M500" s="32">
        <v>0</v>
      </c>
      <c r="N500" s="32">
        <v>0</v>
      </c>
      <c r="O500" s="216" t="s">
        <v>2398</v>
      </c>
      <c r="P500" s="217"/>
      <c r="Q500" s="217"/>
      <c r="R500" s="218"/>
      <c r="S500" s="28" t="s">
        <v>1766</v>
      </c>
      <c r="T500" s="20">
        <v>37</v>
      </c>
    </row>
    <row r="501" spans="1:20" ht="156" x14ac:dyDescent="0.25">
      <c r="A501" s="30">
        <v>488</v>
      </c>
      <c r="B501" s="24" t="s">
        <v>2399</v>
      </c>
      <c r="C501" s="213" t="s">
        <v>361</v>
      </c>
      <c r="D501" s="214"/>
      <c r="E501" s="214"/>
      <c r="F501" s="215"/>
      <c r="G501" s="31" t="s">
        <v>2401</v>
      </c>
      <c r="H501" s="24" t="s">
        <v>2400</v>
      </c>
      <c r="I501" s="32">
        <v>1</v>
      </c>
      <c r="J501" s="32">
        <v>0</v>
      </c>
      <c r="K501" s="32">
        <v>0</v>
      </c>
      <c r="L501" s="32">
        <v>0</v>
      </c>
      <c r="M501" s="32">
        <v>0</v>
      </c>
      <c r="N501" s="32">
        <v>0</v>
      </c>
      <c r="O501" s="216" t="s">
        <v>2379</v>
      </c>
      <c r="P501" s="217"/>
      <c r="Q501" s="217"/>
      <c r="R501" s="218"/>
      <c r="S501" s="28" t="s">
        <v>374</v>
      </c>
      <c r="T501" s="20">
        <v>38</v>
      </c>
    </row>
    <row r="502" spans="1:20" ht="156" x14ac:dyDescent="0.25">
      <c r="A502" s="21">
        <v>489</v>
      </c>
      <c r="B502" s="24" t="s">
        <v>2399</v>
      </c>
      <c r="C502" s="213" t="s">
        <v>2402</v>
      </c>
      <c r="D502" s="214"/>
      <c r="E502" s="214"/>
      <c r="F502" s="215"/>
      <c r="G502" s="31" t="s">
        <v>2404</v>
      </c>
      <c r="H502" s="24" t="s">
        <v>2403</v>
      </c>
      <c r="I502" s="32">
        <v>1</v>
      </c>
      <c r="J502" s="32">
        <v>0</v>
      </c>
      <c r="K502" s="32">
        <v>0</v>
      </c>
      <c r="L502" s="32">
        <v>0</v>
      </c>
      <c r="M502" s="32">
        <v>0</v>
      </c>
      <c r="N502" s="32">
        <v>0</v>
      </c>
      <c r="O502" s="216" t="s">
        <v>2405</v>
      </c>
      <c r="P502" s="217"/>
      <c r="Q502" s="217"/>
      <c r="R502" s="218"/>
      <c r="S502" s="28" t="s">
        <v>374</v>
      </c>
      <c r="T502" s="20">
        <v>39</v>
      </c>
    </row>
    <row r="503" spans="1:20" ht="144" x14ac:dyDescent="0.25">
      <c r="A503" s="30">
        <v>490</v>
      </c>
      <c r="B503" s="24" t="s">
        <v>2406</v>
      </c>
      <c r="C503" s="213" t="s">
        <v>629</v>
      </c>
      <c r="D503" s="214"/>
      <c r="E503" s="214"/>
      <c r="F503" s="215"/>
      <c r="G503" s="31" t="s">
        <v>2408</v>
      </c>
      <c r="H503" s="24" t="s">
        <v>2407</v>
      </c>
      <c r="I503" s="32">
        <v>1</v>
      </c>
      <c r="J503" s="32">
        <v>0</v>
      </c>
      <c r="K503" s="32">
        <v>0</v>
      </c>
      <c r="L503" s="32">
        <v>0</v>
      </c>
      <c r="M503" s="32">
        <v>0</v>
      </c>
      <c r="N503" s="32">
        <v>0</v>
      </c>
      <c r="O503" s="216" t="s">
        <v>2301</v>
      </c>
      <c r="P503" s="217"/>
      <c r="Q503" s="217"/>
      <c r="R503" s="218"/>
      <c r="S503" s="28" t="s">
        <v>378</v>
      </c>
      <c r="T503" s="20">
        <v>40</v>
      </c>
    </row>
    <row r="504" spans="1:20" ht="132" x14ac:dyDescent="0.25">
      <c r="A504" s="21">
        <v>491</v>
      </c>
      <c r="B504" s="24" t="s">
        <v>2406</v>
      </c>
      <c r="C504" s="213" t="s">
        <v>2409</v>
      </c>
      <c r="D504" s="214"/>
      <c r="E504" s="214"/>
      <c r="F504" s="215"/>
      <c r="G504" s="31" t="s">
        <v>2411</v>
      </c>
      <c r="H504" s="24" t="s">
        <v>2410</v>
      </c>
      <c r="I504" s="32">
        <v>0</v>
      </c>
      <c r="J504" s="32">
        <v>1</v>
      </c>
      <c r="K504" s="32">
        <v>0</v>
      </c>
      <c r="L504" s="32">
        <v>0</v>
      </c>
      <c r="M504" s="32">
        <v>0</v>
      </c>
      <c r="N504" s="32">
        <v>0</v>
      </c>
      <c r="O504" s="216" t="s">
        <v>2412</v>
      </c>
      <c r="P504" s="217"/>
      <c r="Q504" s="217"/>
      <c r="R504" s="218"/>
      <c r="S504" s="28" t="s">
        <v>384</v>
      </c>
      <c r="T504" s="20">
        <v>41</v>
      </c>
    </row>
    <row r="505" spans="1:20" ht="156" x14ac:dyDescent="0.25">
      <c r="A505" s="30">
        <v>492</v>
      </c>
      <c r="B505" s="24" t="s">
        <v>2413</v>
      </c>
      <c r="C505" s="213" t="s">
        <v>2414</v>
      </c>
      <c r="D505" s="214"/>
      <c r="E505" s="214"/>
      <c r="F505" s="215"/>
      <c r="G505" s="31" t="s">
        <v>2416</v>
      </c>
      <c r="H505" s="24" t="s">
        <v>2415</v>
      </c>
      <c r="I505" s="32">
        <v>1</v>
      </c>
      <c r="J505" s="32">
        <v>0</v>
      </c>
      <c r="K505" s="32">
        <v>0</v>
      </c>
      <c r="L505" s="32">
        <v>0</v>
      </c>
      <c r="M505" s="32">
        <v>0</v>
      </c>
      <c r="N505" s="32">
        <v>0</v>
      </c>
      <c r="O505" s="216" t="s">
        <v>2417</v>
      </c>
      <c r="P505" s="217"/>
      <c r="Q505" s="217"/>
      <c r="R505" s="218"/>
      <c r="S505" s="28" t="s">
        <v>374</v>
      </c>
      <c r="T505" s="20">
        <v>42</v>
      </c>
    </row>
    <row r="506" spans="1:20" ht="144" x14ac:dyDescent="0.25">
      <c r="A506" s="21">
        <v>493</v>
      </c>
      <c r="B506" s="24" t="s">
        <v>2413</v>
      </c>
      <c r="C506" s="213" t="s">
        <v>2418</v>
      </c>
      <c r="D506" s="214"/>
      <c r="E506" s="214"/>
      <c r="F506" s="215"/>
      <c r="G506" s="31" t="s">
        <v>2420</v>
      </c>
      <c r="H506" s="24" t="s">
        <v>2419</v>
      </c>
      <c r="I506" s="32">
        <v>1</v>
      </c>
      <c r="J506" s="32">
        <v>0</v>
      </c>
      <c r="K506" s="32">
        <v>0</v>
      </c>
      <c r="L506" s="32">
        <v>0</v>
      </c>
      <c r="M506" s="32">
        <v>0</v>
      </c>
      <c r="N506" s="32">
        <v>0</v>
      </c>
      <c r="O506" s="216" t="s">
        <v>2421</v>
      </c>
      <c r="P506" s="217"/>
      <c r="Q506" s="217"/>
      <c r="R506" s="218"/>
      <c r="S506" s="28" t="s">
        <v>374</v>
      </c>
      <c r="T506" s="20">
        <v>43</v>
      </c>
    </row>
    <row r="507" spans="1:20" ht="156" x14ac:dyDescent="0.25">
      <c r="A507" s="30">
        <v>494</v>
      </c>
      <c r="B507" s="24" t="s">
        <v>2422</v>
      </c>
      <c r="C507" s="213" t="s">
        <v>2423</v>
      </c>
      <c r="D507" s="214"/>
      <c r="E507" s="214"/>
      <c r="F507" s="215"/>
      <c r="G507" s="31" t="s">
        <v>2425</v>
      </c>
      <c r="H507" s="24" t="s">
        <v>2424</v>
      </c>
      <c r="I507" s="32">
        <v>0</v>
      </c>
      <c r="J507" s="32">
        <v>1</v>
      </c>
      <c r="K507" s="32">
        <v>0</v>
      </c>
      <c r="L507" s="32">
        <v>0</v>
      </c>
      <c r="M507" s="32">
        <v>0</v>
      </c>
      <c r="N507" s="32">
        <v>0</v>
      </c>
      <c r="O507" s="216" t="s">
        <v>2379</v>
      </c>
      <c r="P507" s="217"/>
      <c r="Q507" s="217"/>
      <c r="R507" s="218"/>
      <c r="S507" s="28" t="s">
        <v>2426</v>
      </c>
      <c r="T507" s="20">
        <v>44</v>
      </c>
    </row>
    <row r="508" spans="1:20" ht="156" x14ac:dyDescent="0.25">
      <c r="A508" s="21">
        <v>495</v>
      </c>
      <c r="B508" s="24" t="s">
        <v>2422</v>
      </c>
      <c r="C508" s="213" t="s">
        <v>2427</v>
      </c>
      <c r="D508" s="214"/>
      <c r="E508" s="214"/>
      <c r="F508" s="215"/>
      <c r="G508" s="31" t="s">
        <v>2429</v>
      </c>
      <c r="H508" s="24" t="s">
        <v>2428</v>
      </c>
      <c r="I508" s="32">
        <v>1</v>
      </c>
      <c r="J508" s="32">
        <v>0</v>
      </c>
      <c r="K508" s="32">
        <v>0</v>
      </c>
      <c r="L508" s="32">
        <v>0</v>
      </c>
      <c r="M508" s="32">
        <v>0</v>
      </c>
      <c r="N508" s="32">
        <v>0</v>
      </c>
      <c r="O508" s="216" t="s">
        <v>2430</v>
      </c>
      <c r="P508" s="217"/>
      <c r="Q508" s="217"/>
      <c r="R508" s="218"/>
      <c r="S508" s="28" t="s">
        <v>374</v>
      </c>
      <c r="T508" s="20">
        <v>45</v>
      </c>
    </row>
    <row r="509" spans="1:20" ht="144" x14ac:dyDescent="0.25">
      <c r="A509" s="30">
        <v>496</v>
      </c>
      <c r="B509" s="24" t="s">
        <v>2431</v>
      </c>
      <c r="C509" s="213" t="s">
        <v>2432</v>
      </c>
      <c r="D509" s="214"/>
      <c r="E509" s="214"/>
      <c r="F509" s="215"/>
      <c r="G509" s="31" t="s">
        <v>2434</v>
      </c>
      <c r="H509" s="24" t="s">
        <v>2433</v>
      </c>
      <c r="I509" s="32">
        <v>1</v>
      </c>
      <c r="J509" s="32">
        <v>0</v>
      </c>
      <c r="K509" s="32">
        <v>0</v>
      </c>
      <c r="L509" s="32">
        <v>0</v>
      </c>
      <c r="M509" s="32">
        <v>0</v>
      </c>
      <c r="N509" s="32">
        <v>0</v>
      </c>
      <c r="O509" s="216" t="s">
        <v>2301</v>
      </c>
      <c r="P509" s="217"/>
      <c r="Q509" s="217"/>
      <c r="R509" s="218"/>
      <c r="S509" s="28" t="s">
        <v>374</v>
      </c>
      <c r="T509" s="20">
        <v>46</v>
      </c>
    </row>
    <row r="510" spans="1:20" ht="132" x14ac:dyDescent="0.25">
      <c r="A510" s="21">
        <v>497</v>
      </c>
      <c r="B510" s="24" t="s">
        <v>2431</v>
      </c>
      <c r="C510" s="213" t="s">
        <v>2435</v>
      </c>
      <c r="D510" s="214"/>
      <c r="E510" s="214"/>
      <c r="F510" s="215"/>
      <c r="G510" s="31" t="s">
        <v>2438</v>
      </c>
      <c r="H510" s="24" t="s">
        <v>2437</v>
      </c>
      <c r="I510" s="32">
        <v>0</v>
      </c>
      <c r="J510" s="32">
        <v>1</v>
      </c>
      <c r="K510" s="32">
        <v>0</v>
      </c>
      <c r="L510" s="32">
        <v>0</v>
      </c>
      <c r="M510" s="32">
        <v>0</v>
      </c>
      <c r="N510" s="32">
        <v>0</v>
      </c>
      <c r="O510" s="216" t="s">
        <v>2436</v>
      </c>
      <c r="P510" s="217"/>
      <c r="Q510" s="217"/>
      <c r="R510" s="218"/>
      <c r="S510" s="28" t="s">
        <v>1752</v>
      </c>
      <c r="T510" s="20">
        <v>47</v>
      </c>
    </row>
    <row r="511" spans="1:20" ht="144" x14ac:dyDescent="0.25">
      <c r="A511" s="30">
        <v>498</v>
      </c>
      <c r="B511" s="24" t="s">
        <v>2439</v>
      </c>
      <c r="C511" s="213" t="s">
        <v>2440</v>
      </c>
      <c r="D511" s="214"/>
      <c r="E511" s="214"/>
      <c r="F511" s="215"/>
      <c r="G511" s="31" t="s">
        <v>2442</v>
      </c>
      <c r="H511" s="24" t="s">
        <v>2441</v>
      </c>
      <c r="I511" s="32">
        <v>1</v>
      </c>
      <c r="J511" s="32">
        <v>0</v>
      </c>
      <c r="K511" s="32">
        <v>0</v>
      </c>
      <c r="L511" s="32">
        <v>0</v>
      </c>
      <c r="M511" s="32">
        <v>0</v>
      </c>
      <c r="N511" s="32">
        <v>0</v>
      </c>
      <c r="O511" s="216" t="s">
        <v>2306</v>
      </c>
      <c r="P511" s="217"/>
      <c r="Q511" s="217"/>
      <c r="R511" s="218"/>
      <c r="S511" s="28" t="s">
        <v>46</v>
      </c>
      <c r="T511" s="20">
        <v>48</v>
      </c>
    </row>
    <row r="512" spans="1:20" ht="132" x14ac:dyDescent="0.25">
      <c r="A512" s="21">
        <v>499</v>
      </c>
      <c r="B512" s="24" t="s">
        <v>2439</v>
      </c>
      <c r="C512" s="213" t="s">
        <v>2443</v>
      </c>
      <c r="D512" s="214"/>
      <c r="E512" s="214"/>
      <c r="F512" s="215"/>
      <c r="G512" s="31" t="s">
        <v>2445</v>
      </c>
      <c r="H512" s="24" t="s">
        <v>2444</v>
      </c>
      <c r="I512" s="32">
        <v>1</v>
      </c>
      <c r="J512" s="32">
        <v>0</v>
      </c>
      <c r="K512" s="32">
        <v>0</v>
      </c>
      <c r="L512" s="32">
        <v>0</v>
      </c>
      <c r="M512" s="32">
        <v>0</v>
      </c>
      <c r="N512" s="32">
        <v>0</v>
      </c>
      <c r="O512" s="216" t="s">
        <v>2291</v>
      </c>
      <c r="P512" s="217"/>
      <c r="Q512" s="217"/>
      <c r="R512" s="218"/>
      <c r="S512" s="28" t="s">
        <v>375</v>
      </c>
      <c r="T512" s="20">
        <v>49</v>
      </c>
    </row>
    <row r="513" spans="1:20" ht="144" x14ac:dyDescent="0.25">
      <c r="A513" s="30">
        <v>500</v>
      </c>
      <c r="B513" s="24" t="s">
        <v>2446</v>
      </c>
      <c r="C513" s="213" t="s">
        <v>2447</v>
      </c>
      <c r="D513" s="214"/>
      <c r="E513" s="214"/>
      <c r="F513" s="215"/>
      <c r="G513" s="31" t="s">
        <v>2449</v>
      </c>
      <c r="H513" s="24" t="s">
        <v>2448</v>
      </c>
      <c r="I513" s="32">
        <v>1</v>
      </c>
      <c r="J513" s="32">
        <v>0</v>
      </c>
      <c r="K513" s="32">
        <v>0</v>
      </c>
      <c r="L513" s="32">
        <v>0</v>
      </c>
      <c r="M513" s="32">
        <v>0</v>
      </c>
      <c r="N513" s="32">
        <v>0</v>
      </c>
      <c r="O513" s="216" t="s">
        <v>2450</v>
      </c>
      <c r="P513" s="217"/>
      <c r="Q513" s="217"/>
      <c r="R513" s="218"/>
      <c r="S513" s="28" t="s">
        <v>46</v>
      </c>
      <c r="T513" s="20">
        <v>50</v>
      </c>
    </row>
    <row r="514" spans="1:20" ht="132" x14ac:dyDescent="0.25">
      <c r="A514" s="21">
        <v>501</v>
      </c>
      <c r="B514" s="24" t="s">
        <v>2446</v>
      </c>
      <c r="C514" s="213" t="s">
        <v>2451</v>
      </c>
      <c r="D514" s="214"/>
      <c r="E514" s="214"/>
      <c r="F514" s="215"/>
      <c r="G514" s="31" t="s">
        <v>2453</v>
      </c>
      <c r="H514" s="24" t="s">
        <v>2452</v>
      </c>
      <c r="I514" s="32">
        <v>0</v>
      </c>
      <c r="J514" s="32">
        <v>1</v>
      </c>
      <c r="K514" s="32">
        <v>0</v>
      </c>
      <c r="L514" s="32">
        <v>0</v>
      </c>
      <c r="M514" s="32">
        <v>0</v>
      </c>
      <c r="N514" s="32">
        <v>0</v>
      </c>
      <c r="O514" s="216" t="s">
        <v>2296</v>
      </c>
      <c r="P514" s="217"/>
      <c r="Q514" s="217"/>
      <c r="R514" s="218"/>
      <c r="S514" s="28" t="s">
        <v>384</v>
      </c>
      <c r="T514" s="20">
        <v>51</v>
      </c>
    </row>
    <row r="515" spans="1:20" ht="156" x14ac:dyDescent="0.25">
      <c r="A515" s="30">
        <v>502</v>
      </c>
      <c r="B515" s="24" t="s">
        <v>2454</v>
      </c>
      <c r="C515" s="213" t="s">
        <v>2455</v>
      </c>
      <c r="D515" s="214"/>
      <c r="E515" s="214"/>
      <c r="F515" s="215"/>
      <c r="G515" s="31" t="s">
        <v>2457</v>
      </c>
      <c r="H515" s="24" t="s">
        <v>2456</v>
      </c>
      <c r="I515" s="32">
        <v>1</v>
      </c>
      <c r="J515" s="32">
        <v>0</v>
      </c>
      <c r="K515" s="32">
        <v>0</v>
      </c>
      <c r="L515" s="32">
        <v>0</v>
      </c>
      <c r="M515" s="32">
        <v>0</v>
      </c>
      <c r="N515" s="32">
        <v>0</v>
      </c>
      <c r="O515" s="216" t="s">
        <v>2458</v>
      </c>
      <c r="P515" s="217"/>
      <c r="Q515" s="217"/>
      <c r="R515" s="218"/>
      <c r="S515" s="28" t="s">
        <v>375</v>
      </c>
      <c r="T515" s="20">
        <v>52</v>
      </c>
    </row>
    <row r="516" spans="1:20" ht="156" x14ac:dyDescent="0.25">
      <c r="A516" s="21">
        <v>503</v>
      </c>
      <c r="B516" s="24" t="s">
        <v>2459</v>
      </c>
      <c r="C516" s="213" t="s">
        <v>2460</v>
      </c>
      <c r="D516" s="214"/>
      <c r="E516" s="214"/>
      <c r="F516" s="215"/>
      <c r="G516" s="31" t="s">
        <v>2462</v>
      </c>
      <c r="H516" s="24" t="s">
        <v>2461</v>
      </c>
      <c r="I516" s="32">
        <v>1</v>
      </c>
      <c r="J516" s="32">
        <v>0</v>
      </c>
      <c r="K516" s="32">
        <v>0</v>
      </c>
      <c r="L516" s="32">
        <v>0</v>
      </c>
      <c r="M516" s="32">
        <v>0</v>
      </c>
      <c r="N516" s="32">
        <v>0</v>
      </c>
      <c r="O516" s="216" t="s">
        <v>2306</v>
      </c>
      <c r="P516" s="217"/>
      <c r="Q516" s="217"/>
      <c r="R516" s="218"/>
      <c r="S516" s="28" t="s">
        <v>46</v>
      </c>
      <c r="T516" s="20">
        <v>53</v>
      </c>
    </row>
    <row r="517" spans="1:20" ht="144" x14ac:dyDescent="0.25">
      <c r="A517" s="30">
        <v>504</v>
      </c>
      <c r="B517" s="24" t="s">
        <v>2459</v>
      </c>
      <c r="C517" s="213" t="s">
        <v>2463</v>
      </c>
      <c r="D517" s="214"/>
      <c r="E517" s="214"/>
      <c r="F517" s="215"/>
      <c r="G517" s="31" t="s">
        <v>2465</v>
      </c>
      <c r="H517" s="24" t="s">
        <v>2464</v>
      </c>
      <c r="I517" s="32">
        <v>1</v>
      </c>
      <c r="J517" s="32">
        <v>0</v>
      </c>
      <c r="K517" s="32">
        <v>0</v>
      </c>
      <c r="L517" s="32">
        <v>0</v>
      </c>
      <c r="M517" s="32">
        <v>0</v>
      </c>
      <c r="N517" s="32">
        <v>0</v>
      </c>
      <c r="O517" s="216" t="s">
        <v>2466</v>
      </c>
      <c r="P517" s="217"/>
      <c r="Q517" s="217"/>
      <c r="R517" s="218"/>
      <c r="S517" s="28" t="s">
        <v>1555</v>
      </c>
      <c r="T517" s="20">
        <v>54</v>
      </c>
    </row>
    <row r="518" spans="1:20" ht="144" x14ac:dyDescent="0.25">
      <c r="A518" s="21">
        <v>505</v>
      </c>
      <c r="B518" s="24" t="s">
        <v>2467</v>
      </c>
      <c r="C518" s="213" t="s">
        <v>2468</v>
      </c>
      <c r="D518" s="214"/>
      <c r="E518" s="214"/>
      <c r="F518" s="215"/>
      <c r="G518" s="31" t="s">
        <v>2470</v>
      </c>
      <c r="H518" s="24" t="s">
        <v>2469</v>
      </c>
      <c r="I518" s="32">
        <v>0</v>
      </c>
      <c r="J518" s="32">
        <v>1</v>
      </c>
      <c r="K518" s="32">
        <v>0</v>
      </c>
      <c r="L518" s="32">
        <v>0</v>
      </c>
      <c r="M518" s="32">
        <v>0</v>
      </c>
      <c r="N518" s="32">
        <v>0</v>
      </c>
      <c r="O518" s="216" t="s">
        <v>2471</v>
      </c>
      <c r="P518" s="217"/>
      <c r="Q518" s="217"/>
      <c r="R518" s="218"/>
      <c r="S518" s="28" t="s">
        <v>384</v>
      </c>
      <c r="T518" s="20">
        <v>1</v>
      </c>
    </row>
    <row r="519" spans="1:20" ht="168" x14ac:dyDescent="0.25">
      <c r="A519" s="30">
        <v>506</v>
      </c>
      <c r="B519" s="24" t="s">
        <v>2467</v>
      </c>
      <c r="C519" s="213" t="s">
        <v>2472</v>
      </c>
      <c r="D519" s="214"/>
      <c r="E519" s="214"/>
      <c r="F519" s="215"/>
      <c r="G519" s="31" t="s">
        <v>2474</v>
      </c>
      <c r="H519" s="24" t="s">
        <v>2473</v>
      </c>
      <c r="I519" s="32">
        <v>1</v>
      </c>
      <c r="J519" s="32">
        <v>0</v>
      </c>
      <c r="K519" s="32">
        <v>0</v>
      </c>
      <c r="L519" s="32">
        <v>0</v>
      </c>
      <c r="M519" s="32">
        <v>0</v>
      </c>
      <c r="N519" s="32">
        <v>0</v>
      </c>
      <c r="O519" s="216" t="s">
        <v>2475</v>
      </c>
      <c r="P519" s="217"/>
      <c r="Q519" s="217"/>
      <c r="R519" s="218"/>
      <c r="S519" s="28" t="s">
        <v>1555</v>
      </c>
      <c r="T519" s="20">
        <v>2</v>
      </c>
    </row>
    <row r="520" spans="1:20" ht="156" x14ac:dyDescent="0.25">
      <c r="A520" s="21">
        <v>507</v>
      </c>
      <c r="B520" s="24" t="s">
        <v>2476</v>
      </c>
      <c r="C520" s="213" t="s">
        <v>2477</v>
      </c>
      <c r="D520" s="214"/>
      <c r="E520" s="214"/>
      <c r="F520" s="215"/>
      <c r="G520" s="31" t="s">
        <v>2479</v>
      </c>
      <c r="H520" s="24" t="s">
        <v>2478</v>
      </c>
      <c r="I520" s="32">
        <v>1</v>
      </c>
      <c r="J520" s="32">
        <v>0</v>
      </c>
      <c r="K520" s="32">
        <v>0</v>
      </c>
      <c r="L520" s="32">
        <v>0</v>
      </c>
      <c r="M520" s="32">
        <v>0</v>
      </c>
      <c r="N520" s="32">
        <v>0</v>
      </c>
      <c r="O520" s="216" t="s">
        <v>2480</v>
      </c>
      <c r="P520" s="217"/>
      <c r="Q520" s="217"/>
      <c r="R520" s="218"/>
      <c r="S520" s="28" t="s">
        <v>378</v>
      </c>
      <c r="T520" s="20">
        <v>3</v>
      </c>
    </row>
    <row r="521" spans="1:20" ht="144" x14ac:dyDescent="0.25">
      <c r="A521" s="30">
        <v>508</v>
      </c>
      <c r="B521" s="24" t="s">
        <v>2476</v>
      </c>
      <c r="C521" s="213" t="s">
        <v>2481</v>
      </c>
      <c r="D521" s="214"/>
      <c r="E521" s="214"/>
      <c r="F521" s="215"/>
      <c r="G521" s="31" t="s">
        <v>2483</v>
      </c>
      <c r="H521" s="24" t="s">
        <v>2482</v>
      </c>
      <c r="I521" s="32">
        <v>1</v>
      </c>
      <c r="J521" s="32">
        <v>0</v>
      </c>
      <c r="K521" s="32">
        <v>0</v>
      </c>
      <c r="L521" s="32">
        <v>0</v>
      </c>
      <c r="M521" s="32">
        <v>0</v>
      </c>
      <c r="N521" s="32">
        <v>0</v>
      </c>
      <c r="O521" s="216" t="s">
        <v>2484</v>
      </c>
      <c r="P521" s="217"/>
      <c r="Q521" s="217"/>
      <c r="R521" s="218"/>
      <c r="S521" s="28" t="s">
        <v>46</v>
      </c>
      <c r="T521" s="20">
        <v>4</v>
      </c>
    </row>
    <row r="522" spans="1:20" ht="132" x14ac:dyDescent="0.25">
      <c r="A522" s="21">
        <v>509</v>
      </c>
      <c r="B522" s="24" t="s">
        <v>2485</v>
      </c>
      <c r="C522" s="213" t="s">
        <v>2486</v>
      </c>
      <c r="D522" s="214"/>
      <c r="E522" s="214"/>
      <c r="F522" s="215"/>
      <c r="G522" s="31" t="s">
        <v>2488</v>
      </c>
      <c r="H522" s="24" t="s">
        <v>2487</v>
      </c>
      <c r="I522" s="32">
        <v>1</v>
      </c>
      <c r="J522" s="32">
        <v>0</v>
      </c>
      <c r="K522" s="32">
        <v>0</v>
      </c>
      <c r="L522" s="32">
        <v>0</v>
      </c>
      <c r="M522" s="32">
        <v>0</v>
      </c>
      <c r="N522" s="32">
        <v>0</v>
      </c>
      <c r="O522" s="216" t="s">
        <v>2489</v>
      </c>
      <c r="P522" s="217"/>
      <c r="Q522" s="217"/>
      <c r="R522" s="218"/>
      <c r="S522" s="28" t="s">
        <v>46</v>
      </c>
      <c r="T522" s="20">
        <v>5</v>
      </c>
    </row>
    <row r="523" spans="1:20" ht="144" x14ac:dyDescent="0.25">
      <c r="A523" s="30">
        <v>510</v>
      </c>
      <c r="B523" s="24" t="s">
        <v>2485</v>
      </c>
      <c r="C523" s="213" t="s">
        <v>2490</v>
      </c>
      <c r="D523" s="214"/>
      <c r="E523" s="214"/>
      <c r="F523" s="215"/>
      <c r="G523" s="31" t="s">
        <v>2492</v>
      </c>
      <c r="H523" s="24" t="s">
        <v>2491</v>
      </c>
      <c r="I523" s="32">
        <v>1</v>
      </c>
      <c r="J523" s="32">
        <v>0</v>
      </c>
      <c r="K523" s="32">
        <v>0</v>
      </c>
      <c r="L523" s="32">
        <v>0</v>
      </c>
      <c r="M523" s="32">
        <v>0</v>
      </c>
      <c r="N523" s="32">
        <v>0</v>
      </c>
      <c r="O523" s="216" t="s">
        <v>2493</v>
      </c>
      <c r="P523" s="217"/>
      <c r="Q523" s="217"/>
      <c r="R523" s="218"/>
      <c r="S523" s="28" t="s">
        <v>46</v>
      </c>
      <c r="T523" s="20">
        <v>6</v>
      </c>
    </row>
    <row r="524" spans="1:20" ht="132" x14ac:dyDescent="0.25">
      <c r="A524" s="21">
        <v>511</v>
      </c>
      <c r="B524" s="24" t="s">
        <v>2494</v>
      </c>
      <c r="C524" s="213" t="s">
        <v>2495</v>
      </c>
      <c r="D524" s="214"/>
      <c r="E524" s="214"/>
      <c r="F524" s="215"/>
      <c r="G524" s="31" t="s">
        <v>2497</v>
      </c>
      <c r="H524" s="24" t="s">
        <v>2496</v>
      </c>
      <c r="I524" s="32">
        <v>1</v>
      </c>
      <c r="J524" s="32">
        <v>0</v>
      </c>
      <c r="K524" s="32">
        <v>0</v>
      </c>
      <c r="L524" s="32">
        <v>0</v>
      </c>
      <c r="M524" s="32">
        <v>0</v>
      </c>
      <c r="N524" s="32">
        <v>0</v>
      </c>
      <c r="O524" s="216" t="s">
        <v>2498</v>
      </c>
      <c r="P524" s="217"/>
      <c r="Q524" s="217"/>
      <c r="R524" s="218"/>
      <c r="S524" s="28" t="s">
        <v>375</v>
      </c>
      <c r="T524" s="20">
        <v>7</v>
      </c>
    </row>
    <row r="525" spans="1:20" ht="144" x14ac:dyDescent="0.25">
      <c r="A525" s="30">
        <v>512</v>
      </c>
      <c r="B525" s="24" t="s">
        <v>2499</v>
      </c>
      <c r="C525" s="213" t="s">
        <v>2500</v>
      </c>
      <c r="D525" s="214"/>
      <c r="E525" s="214"/>
      <c r="F525" s="215"/>
      <c r="G525" s="31" t="s">
        <v>2501</v>
      </c>
      <c r="H525" s="24" t="s">
        <v>2502</v>
      </c>
      <c r="I525" s="32">
        <v>1</v>
      </c>
      <c r="J525" s="32">
        <v>0</v>
      </c>
      <c r="K525" s="32">
        <v>0</v>
      </c>
      <c r="L525" s="32">
        <v>0</v>
      </c>
      <c r="M525" s="32">
        <v>0</v>
      </c>
      <c r="N525" s="32">
        <v>0</v>
      </c>
      <c r="O525" s="216" t="s">
        <v>2503</v>
      </c>
      <c r="P525" s="217"/>
      <c r="Q525" s="217"/>
      <c r="R525" s="218"/>
      <c r="S525" s="28" t="s">
        <v>1555</v>
      </c>
      <c r="T525" s="20">
        <v>8</v>
      </c>
    </row>
    <row r="526" spans="1:20" ht="156" x14ac:dyDescent="0.25">
      <c r="A526" s="21">
        <v>513</v>
      </c>
      <c r="B526" s="24" t="s">
        <v>2504</v>
      </c>
      <c r="C526" s="213" t="s">
        <v>2321</v>
      </c>
      <c r="D526" s="214"/>
      <c r="E526" s="214"/>
      <c r="F526" s="215"/>
      <c r="G526" s="31" t="s">
        <v>2506</v>
      </c>
      <c r="H526" s="24" t="s">
        <v>2505</v>
      </c>
      <c r="I526" s="32">
        <v>1</v>
      </c>
      <c r="J526" s="32">
        <v>0</v>
      </c>
      <c r="K526" s="32">
        <v>0</v>
      </c>
      <c r="L526" s="32">
        <v>0</v>
      </c>
      <c r="M526" s="32">
        <v>0</v>
      </c>
      <c r="N526" s="32">
        <v>0</v>
      </c>
      <c r="O526" s="216" t="s">
        <v>2507</v>
      </c>
      <c r="P526" s="217"/>
      <c r="Q526" s="217"/>
      <c r="R526" s="218"/>
      <c r="S526" s="28" t="s">
        <v>46</v>
      </c>
      <c r="T526" s="20">
        <v>9</v>
      </c>
    </row>
    <row r="527" spans="1:20" ht="156" x14ac:dyDescent="0.25">
      <c r="A527" s="30">
        <v>514</v>
      </c>
      <c r="B527" s="24" t="s">
        <v>2504</v>
      </c>
      <c r="C527" s="213" t="s">
        <v>2508</v>
      </c>
      <c r="D527" s="214"/>
      <c r="E527" s="214"/>
      <c r="F527" s="215"/>
      <c r="G527" s="31" t="s">
        <v>2510</v>
      </c>
      <c r="H527" s="24" t="s">
        <v>2509</v>
      </c>
      <c r="I527" s="32">
        <v>1</v>
      </c>
      <c r="J527" s="32">
        <v>0</v>
      </c>
      <c r="K527" s="32">
        <v>0</v>
      </c>
      <c r="L527" s="32">
        <v>0</v>
      </c>
      <c r="M527" s="32">
        <v>0</v>
      </c>
      <c r="N527" s="32">
        <v>0</v>
      </c>
      <c r="O527" s="216" t="s">
        <v>2436</v>
      </c>
      <c r="P527" s="217"/>
      <c r="Q527" s="217"/>
      <c r="R527" s="218"/>
      <c r="S527" s="28" t="s">
        <v>46</v>
      </c>
      <c r="T527" s="20">
        <v>10</v>
      </c>
    </row>
    <row r="528" spans="1:20" ht="132" x14ac:dyDescent="0.25">
      <c r="A528" s="21">
        <v>515</v>
      </c>
      <c r="B528" s="24" t="s">
        <v>2511</v>
      </c>
      <c r="C528" s="213" t="s">
        <v>2512</v>
      </c>
      <c r="D528" s="214"/>
      <c r="E528" s="214"/>
      <c r="F528" s="215"/>
      <c r="G528" s="31" t="s">
        <v>2514</v>
      </c>
      <c r="H528" s="24" t="s">
        <v>2513</v>
      </c>
      <c r="I528" s="32">
        <v>0</v>
      </c>
      <c r="J528" s="32">
        <v>1</v>
      </c>
      <c r="K528" s="32">
        <v>0</v>
      </c>
      <c r="L528" s="32">
        <v>0</v>
      </c>
      <c r="M528" s="32">
        <v>0</v>
      </c>
      <c r="N528" s="32">
        <v>0</v>
      </c>
      <c r="O528" s="216" t="s">
        <v>2515</v>
      </c>
      <c r="P528" s="217"/>
      <c r="Q528" s="217"/>
      <c r="R528" s="218"/>
      <c r="S528" s="28" t="s">
        <v>384</v>
      </c>
      <c r="T528" s="20">
        <v>11</v>
      </c>
    </row>
    <row r="529" spans="1:20" ht="144" x14ac:dyDescent="0.25">
      <c r="A529" s="30">
        <v>516</v>
      </c>
      <c r="B529" s="24" t="s">
        <v>2511</v>
      </c>
      <c r="C529" s="213" t="s">
        <v>2516</v>
      </c>
      <c r="D529" s="214"/>
      <c r="E529" s="214"/>
      <c r="F529" s="215"/>
      <c r="G529" s="31" t="s">
        <v>2518</v>
      </c>
      <c r="H529" s="24" t="s">
        <v>2517</v>
      </c>
      <c r="I529" s="32">
        <v>1</v>
      </c>
      <c r="J529" s="32">
        <v>0</v>
      </c>
      <c r="K529" s="32">
        <v>0</v>
      </c>
      <c r="L529" s="32">
        <v>0</v>
      </c>
      <c r="M529" s="32">
        <v>0</v>
      </c>
      <c r="N529" s="32">
        <v>0</v>
      </c>
      <c r="O529" s="216" t="s">
        <v>2519</v>
      </c>
      <c r="P529" s="217"/>
      <c r="Q529" s="217"/>
      <c r="R529" s="218"/>
      <c r="S529" s="28" t="s">
        <v>46</v>
      </c>
      <c r="T529" s="20">
        <v>12</v>
      </c>
    </row>
    <row r="530" spans="1:20" ht="264" x14ac:dyDescent="0.25">
      <c r="A530" s="21">
        <v>517</v>
      </c>
      <c r="B530" s="24" t="s">
        <v>2520</v>
      </c>
      <c r="C530" s="213" t="s">
        <v>858</v>
      </c>
      <c r="D530" s="214"/>
      <c r="E530" s="214"/>
      <c r="F530" s="215"/>
      <c r="G530" s="31" t="s">
        <v>2522</v>
      </c>
      <c r="H530" s="24" t="s">
        <v>2521</v>
      </c>
      <c r="I530" s="32">
        <v>1</v>
      </c>
      <c r="J530" s="32">
        <v>0</v>
      </c>
      <c r="K530" s="32">
        <v>0</v>
      </c>
      <c r="L530" s="32">
        <v>0</v>
      </c>
      <c r="M530" s="32">
        <v>0</v>
      </c>
      <c r="N530" s="32">
        <v>0</v>
      </c>
      <c r="O530" s="216" t="s">
        <v>2498</v>
      </c>
      <c r="P530" s="217"/>
      <c r="Q530" s="217"/>
      <c r="R530" s="218"/>
      <c r="S530" s="28" t="s">
        <v>46</v>
      </c>
      <c r="T530" s="20">
        <v>13</v>
      </c>
    </row>
    <row r="531" spans="1:20" ht="144" x14ac:dyDescent="0.25">
      <c r="A531" s="30">
        <v>518</v>
      </c>
      <c r="B531" s="24" t="s">
        <v>2520</v>
      </c>
      <c r="C531" s="213" t="s">
        <v>2523</v>
      </c>
      <c r="D531" s="214"/>
      <c r="E531" s="214"/>
      <c r="F531" s="215"/>
      <c r="G531" s="31" t="s">
        <v>2525</v>
      </c>
      <c r="H531" s="24" t="s">
        <v>2524</v>
      </c>
      <c r="I531" s="32">
        <v>1</v>
      </c>
      <c r="J531" s="32">
        <v>0</v>
      </c>
      <c r="K531" s="32">
        <v>0</v>
      </c>
      <c r="L531" s="32">
        <v>0</v>
      </c>
      <c r="M531" s="32">
        <v>0</v>
      </c>
      <c r="N531" s="32">
        <v>0</v>
      </c>
      <c r="O531" s="216" t="s">
        <v>2296</v>
      </c>
      <c r="P531" s="217"/>
      <c r="Q531" s="217"/>
      <c r="R531" s="218"/>
      <c r="S531" s="28" t="s">
        <v>46</v>
      </c>
      <c r="T531" s="20">
        <v>14</v>
      </c>
    </row>
    <row r="532" spans="1:20" ht="132" x14ac:dyDescent="0.25">
      <c r="A532" s="21">
        <v>519</v>
      </c>
      <c r="B532" s="24" t="s">
        <v>2526</v>
      </c>
      <c r="C532" s="213" t="s">
        <v>2527</v>
      </c>
      <c r="D532" s="214"/>
      <c r="E532" s="214"/>
      <c r="F532" s="215"/>
      <c r="G532" s="31" t="s">
        <v>2529</v>
      </c>
      <c r="H532" s="24" t="s">
        <v>2528</v>
      </c>
      <c r="I532" s="32">
        <v>1</v>
      </c>
      <c r="J532" s="32">
        <v>0</v>
      </c>
      <c r="K532" s="32">
        <v>0</v>
      </c>
      <c r="L532" s="32">
        <v>0</v>
      </c>
      <c r="M532" s="32">
        <v>0</v>
      </c>
      <c r="N532" s="32">
        <v>0</v>
      </c>
      <c r="O532" s="216" t="s">
        <v>2530</v>
      </c>
      <c r="P532" s="217"/>
      <c r="Q532" s="217"/>
      <c r="R532" s="218"/>
      <c r="S532" s="28" t="s">
        <v>46</v>
      </c>
      <c r="T532" s="20">
        <v>15</v>
      </c>
    </row>
    <row r="533" spans="1:20" ht="240" x14ac:dyDescent="0.25">
      <c r="A533" s="30">
        <v>520</v>
      </c>
      <c r="B533" s="24" t="s">
        <v>2526</v>
      </c>
      <c r="C533" s="213" t="s">
        <v>2531</v>
      </c>
      <c r="D533" s="214"/>
      <c r="E533" s="214"/>
      <c r="F533" s="215"/>
      <c r="G533" s="31" t="s">
        <v>2533</v>
      </c>
      <c r="H533" s="24" t="s">
        <v>2532</v>
      </c>
      <c r="I533" s="32">
        <v>0</v>
      </c>
      <c r="J533" s="32">
        <v>1</v>
      </c>
      <c r="K533" s="32">
        <v>0</v>
      </c>
      <c r="L533" s="32">
        <v>0</v>
      </c>
      <c r="M533" s="32">
        <v>0</v>
      </c>
      <c r="N533" s="32">
        <v>0</v>
      </c>
      <c r="O533" s="216" t="s">
        <v>2436</v>
      </c>
      <c r="P533" s="217"/>
      <c r="Q533" s="217"/>
      <c r="R533" s="218"/>
      <c r="S533" s="28" t="s">
        <v>384</v>
      </c>
      <c r="T533" s="20">
        <v>16</v>
      </c>
    </row>
    <row r="534" spans="1:20" ht="144" x14ac:dyDescent="0.25">
      <c r="A534" s="21">
        <v>521</v>
      </c>
      <c r="B534" s="24" t="s">
        <v>2534</v>
      </c>
      <c r="C534" s="213" t="s">
        <v>2535</v>
      </c>
      <c r="D534" s="214"/>
      <c r="E534" s="214"/>
      <c r="F534" s="215"/>
      <c r="G534" s="31" t="s">
        <v>2537</v>
      </c>
      <c r="H534" s="24" t="s">
        <v>2536</v>
      </c>
      <c r="I534" s="32">
        <v>1</v>
      </c>
      <c r="J534" s="32">
        <v>0</v>
      </c>
      <c r="K534" s="32">
        <v>0</v>
      </c>
      <c r="L534" s="32">
        <v>0</v>
      </c>
      <c r="M534" s="32">
        <v>0</v>
      </c>
      <c r="N534" s="32">
        <v>0</v>
      </c>
      <c r="O534" s="216" t="s">
        <v>2489</v>
      </c>
      <c r="P534" s="217"/>
      <c r="Q534" s="217"/>
      <c r="R534" s="218"/>
      <c r="S534" s="28" t="s">
        <v>46</v>
      </c>
      <c r="T534" s="20">
        <v>17</v>
      </c>
    </row>
    <row r="535" spans="1:20" ht="120" x14ac:dyDescent="0.25">
      <c r="A535" s="30">
        <v>522</v>
      </c>
      <c r="B535" s="24" t="s">
        <v>2534</v>
      </c>
      <c r="C535" s="213" t="s">
        <v>2538</v>
      </c>
      <c r="D535" s="214"/>
      <c r="E535" s="214"/>
      <c r="F535" s="215"/>
      <c r="G535" s="31" t="s">
        <v>2540</v>
      </c>
      <c r="H535" s="24" t="s">
        <v>2539</v>
      </c>
      <c r="I535" s="32">
        <v>0</v>
      </c>
      <c r="J535" s="32">
        <v>1</v>
      </c>
      <c r="K535" s="32">
        <v>0</v>
      </c>
      <c r="L535" s="32">
        <v>0</v>
      </c>
      <c r="M535" s="32">
        <v>0</v>
      </c>
      <c r="N535" s="32">
        <v>0</v>
      </c>
      <c r="O535" s="216" t="s">
        <v>2541</v>
      </c>
      <c r="P535" s="217"/>
      <c r="Q535" s="217"/>
      <c r="R535" s="218"/>
      <c r="S535" s="28" t="s">
        <v>384</v>
      </c>
      <c r="T535" s="20">
        <v>18</v>
      </c>
    </row>
    <row r="536" spans="1:20" ht="132" x14ac:dyDescent="0.25">
      <c r="A536" s="21">
        <v>523</v>
      </c>
      <c r="B536" s="24" t="s">
        <v>2542</v>
      </c>
      <c r="C536" s="213" t="s">
        <v>2543</v>
      </c>
      <c r="D536" s="214"/>
      <c r="E536" s="214"/>
      <c r="F536" s="215"/>
      <c r="G536" s="31" t="s">
        <v>2545</v>
      </c>
      <c r="H536" s="24" t="s">
        <v>2544</v>
      </c>
      <c r="I536" s="32">
        <v>0</v>
      </c>
      <c r="J536" s="32">
        <v>1</v>
      </c>
      <c r="K536" s="32">
        <v>0</v>
      </c>
      <c r="L536" s="32">
        <v>0</v>
      </c>
      <c r="M536" s="32">
        <v>0</v>
      </c>
      <c r="N536" s="32">
        <v>0</v>
      </c>
      <c r="O536" s="216" t="s">
        <v>2546</v>
      </c>
      <c r="P536" s="217"/>
      <c r="Q536" s="217"/>
      <c r="R536" s="218"/>
      <c r="S536" s="28" t="s">
        <v>384</v>
      </c>
      <c r="T536" s="20">
        <v>19</v>
      </c>
    </row>
    <row r="537" spans="1:20" ht="132" x14ac:dyDescent="0.25">
      <c r="A537" s="30">
        <v>524</v>
      </c>
      <c r="B537" s="24" t="s">
        <v>2542</v>
      </c>
      <c r="C537" s="213" t="s">
        <v>2547</v>
      </c>
      <c r="D537" s="214"/>
      <c r="E537" s="214"/>
      <c r="F537" s="215"/>
      <c r="G537" s="31" t="s">
        <v>2549</v>
      </c>
      <c r="H537" s="24" t="s">
        <v>2548</v>
      </c>
      <c r="I537" s="32">
        <v>0</v>
      </c>
      <c r="J537" s="32">
        <v>1</v>
      </c>
      <c r="K537" s="32">
        <v>0</v>
      </c>
      <c r="L537" s="32">
        <v>0</v>
      </c>
      <c r="M537" s="32">
        <v>0</v>
      </c>
      <c r="N537" s="32">
        <v>0</v>
      </c>
      <c r="O537" s="216" t="s">
        <v>2550</v>
      </c>
      <c r="P537" s="217"/>
      <c r="Q537" s="217"/>
      <c r="R537" s="218"/>
      <c r="S537" s="28" t="s">
        <v>1733</v>
      </c>
      <c r="T537" s="20">
        <v>20</v>
      </c>
    </row>
    <row r="538" spans="1:20" ht="144" x14ac:dyDescent="0.25">
      <c r="A538" s="21">
        <v>525</v>
      </c>
      <c r="B538" s="24" t="s">
        <v>2551</v>
      </c>
      <c r="C538" s="213" t="s">
        <v>629</v>
      </c>
      <c r="D538" s="214"/>
      <c r="E538" s="214"/>
      <c r="F538" s="215"/>
      <c r="G538" s="31" t="s">
        <v>2553</v>
      </c>
      <c r="H538" s="24" t="s">
        <v>2552</v>
      </c>
      <c r="I538" s="32">
        <v>1</v>
      </c>
      <c r="J538" s="32">
        <v>0</v>
      </c>
      <c r="K538" s="32">
        <v>0</v>
      </c>
      <c r="L538" s="32">
        <v>0</v>
      </c>
      <c r="M538" s="32">
        <v>0</v>
      </c>
      <c r="N538" s="32">
        <v>0</v>
      </c>
      <c r="O538" s="216" t="s">
        <v>2554</v>
      </c>
      <c r="P538" s="217"/>
      <c r="Q538" s="217"/>
      <c r="R538" s="218"/>
      <c r="S538" s="28" t="s">
        <v>46</v>
      </c>
      <c r="T538" s="20">
        <v>21</v>
      </c>
    </row>
    <row r="539" spans="1:20" ht="132" x14ac:dyDescent="0.25">
      <c r="A539" s="30">
        <v>526</v>
      </c>
      <c r="B539" s="24" t="s">
        <v>2551</v>
      </c>
      <c r="C539" s="213" t="s">
        <v>2555</v>
      </c>
      <c r="D539" s="214"/>
      <c r="E539" s="214"/>
      <c r="F539" s="215"/>
      <c r="G539" s="31" t="s">
        <v>2557</v>
      </c>
      <c r="H539" s="24" t="s">
        <v>2556</v>
      </c>
      <c r="I539" s="32">
        <v>1</v>
      </c>
      <c r="J539" s="32">
        <v>0</v>
      </c>
      <c r="K539" s="32">
        <v>0</v>
      </c>
      <c r="L539" s="32">
        <v>0</v>
      </c>
      <c r="M539" s="32">
        <v>0</v>
      </c>
      <c r="N539" s="32">
        <v>0</v>
      </c>
      <c r="O539" s="216" t="s">
        <v>2558</v>
      </c>
      <c r="P539" s="217"/>
      <c r="Q539" s="217"/>
      <c r="R539" s="218"/>
      <c r="S539" s="28" t="s">
        <v>46</v>
      </c>
      <c r="T539" s="20">
        <v>22</v>
      </c>
    </row>
    <row r="540" spans="1:20" ht="132" x14ac:dyDescent="0.25">
      <c r="A540" s="21">
        <v>527</v>
      </c>
      <c r="B540" s="24" t="s">
        <v>2559</v>
      </c>
      <c r="C540" s="213" t="s">
        <v>2560</v>
      </c>
      <c r="D540" s="214"/>
      <c r="E540" s="214"/>
      <c r="F540" s="215"/>
      <c r="G540" s="31" t="s">
        <v>2562</v>
      </c>
      <c r="H540" s="24" t="s">
        <v>2561</v>
      </c>
      <c r="I540" s="32">
        <v>1</v>
      </c>
      <c r="J540" s="32">
        <v>0</v>
      </c>
      <c r="K540" s="32">
        <v>0</v>
      </c>
      <c r="L540" s="32">
        <v>0</v>
      </c>
      <c r="M540" s="32">
        <v>0</v>
      </c>
      <c r="N540" s="32">
        <v>0</v>
      </c>
      <c r="O540" s="216" t="s">
        <v>2563</v>
      </c>
      <c r="P540" s="217"/>
      <c r="Q540" s="217"/>
      <c r="R540" s="218"/>
      <c r="S540" s="28" t="s">
        <v>46</v>
      </c>
      <c r="T540" s="20">
        <v>23</v>
      </c>
    </row>
    <row r="541" spans="1:20" ht="144" x14ac:dyDescent="0.25">
      <c r="A541" s="30">
        <v>528</v>
      </c>
      <c r="B541" s="24" t="s">
        <v>2559</v>
      </c>
      <c r="C541" s="213" t="s">
        <v>2564</v>
      </c>
      <c r="D541" s="214"/>
      <c r="E541" s="214"/>
      <c r="F541" s="215"/>
      <c r="G541" s="31" t="s">
        <v>2566</v>
      </c>
      <c r="H541" s="24" t="s">
        <v>2565</v>
      </c>
      <c r="I541" s="32">
        <v>1</v>
      </c>
      <c r="J541" s="32">
        <v>0</v>
      </c>
      <c r="K541" s="32">
        <v>0</v>
      </c>
      <c r="L541" s="32">
        <v>0</v>
      </c>
      <c r="M541" s="32">
        <v>0</v>
      </c>
      <c r="N541" s="32">
        <v>0</v>
      </c>
      <c r="O541" s="216" t="s">
        <v>2567</v>
      </c>
      <c r="P541" s="217"/>
      <c r="Q541" s="217"/>
      <c r="R541" s="218"/>
      <c r="S541" s="28" t="s">
        <v>46</v>
      </c>
      <c r="T541" s="20">
        <v>24</v>
      </c>
    </row>
    <row r="542" spans="1:20" ht="132" x14ac:dyDescent="0.25">
      <c r="A542" s="21">
        <v>529</v>
      </c>
      <c r="B542" s="24" t="s">
        <v>2568</v>
      </c>
      <c r="C542" s="213" t="s">
        <v>2569</v>
      </c>
      <c r="D542" s="214"/>
      <c r="E542" s="214"/>
      <c r="F542" s="215"/>
      <c r="G542" s="31" t="s">
        <v>2571</v>
      </c>
      <c r="H542" s="24" t="s">
        <v>2570</v>
      </c>
      <c r="I542" s="32">
        <v>1</v>
      </c>
      <c r="J542" s="32">
        <v>0</v>
      </c>
      <c r="K542" s="32">
        <v>0</v>
      </c>
      <c r="L542" s="32">
        <v>0</v>
      </c>
      <c r="M542" s="32">
        <v>0</v>
      </c>
      <c r="N542" s="32">
        <v>0</v>
      </c>
      <c r="O542" s="216" t="s">
        <v>2572</v>
      </c>
      <c r="P542" s="217"/>
      <c r="Q542" s="217"/>
      <c r="R542" s="218"/>
      <c r="S542" s="28" t="s">
        <v>46</v>
      </c>
      <c r="T542" s="20">
        <v>25</v>
      </c>
    </row>
    <row r="543" spans="1:20" ht="156" x14ac:dyDescent="0.25">
      <c r="A543" s="30">
        <v>530</v>
      </c>
      <c r="B543" s="24" t="s">
        <v>2568</v>
      </c>
      <c r="C543" s="213" t="s">
        <v>2573</v>
      </c>
      <c r="D543" s="214"/>
      <c r="E543" s="214"/>
      <c r="F543" s="215"/>
      <c r="G543" s="31" t="s">
        <v>2575</v>
      </c>
      <c r="H543" s="24" t="s">
        <v>2574</v>
      </c>
      <c r="I543" s="32">
        <v>1</v>
      </c>
      <c r="J543" s="32">
        <v>0</v>
      </c>
      <c r="K543" s="32">
        <v>0</v>
      </c>
      <c r="L543" s="32">
        <v>0</v>
      </c>
      <c r="M543" s="32">
        <v>0</v>
      </c>
      <c r="N543" s="32">
        <v>0</v>
      </c>
      <c r="O543" s="216" t="s">
        <v>2296</v>
      </c>
      <c r="P543" s="217"/>
      <c r="Q543" s="217"/>
      <c r="R543" s="218"/>
      <c r="S543" s="28" t="s">
        <v>46</v>
      </c>
      <c r="T543" s="20">
        <v>26</v>
      </c>
    </row>
    <row r="544" spans="1:20" ht="156" x14ac:dyDescent="0.25">
      <c r="A544" s="21">
        <v>531</v>
      </c>
      <c r="B544" s="24" t="s">
        <v>2576</v>
      </c>
      <c r="C544" s="213" t="s">
        <v>2577</v>
      </c>
      <c r="D544" s="214"/>
      <c r="E544" s="214"/>
      <c r="F544" s="215"/>
      <c r="G544" s="31" t="s">
        <v>2579</v>
      </c>
      <c r="H544" s="24" t="s">
        <v>2578</v>
      </c>
      <c r="I544" s="32">
        <v>0</v>
      </c>
      <c r="J544" s="32">
        <v>1</v>
      </c>
      <c r="K544" s="32">
        <v>0</v>
      </c>
      <c r="L544" s="32">
        <v>0</v>
      </c>
      <c r="M544" s="32">
        <v>0</v>
      </c>
      <c r="N544" s="32">
        <v>0</v>
      </c>
      <c r="O544" s="216" t="s">
        <v>2580</v>
      </c>
      <c r="P544" s="217"/>
      <c r="Q544" s="217"/>
      <c r="R544" s="218"/>
      <c r="S544" s="28" t="s">
        <v>1733</v>
      </c>
      <c r="T544" s="20">
        <v>27</v>
      </c>
    </row>
    <row r="545" spans="1:20" ht="132" x14ac:dyDescent="0.25">
      <c r="A545" s="30">
        <v>532</v>
      </c>
      <c r="B545" s="24" t="s">
        <v>2576</v>
      </c>
      <c r="C545" s="213" t="s">
        <v>2581</v>
      </c>
      <c r="D545" s="214"/>
      <c r="E545" s="214"/>
      <c r="F545" s="215"/>
      <c r="G545" s="31" t="s">
        <v>2583</v>
      </c>
      <c r="H545" s="24" t="s">
        <v>2582</v>
      </c>
      <c r="I545" s="32">
        <v>1</v>
      </c>
      <c r="J545" s="32">
        <v>0</v>
      </c>
      <c r="K545" s="32">
        <v>0</v>
      </c>
      <c r="L545" s="32">
        <v>0</v>
      </c>
      <c r="M545" s="32">
        <v>0</v>
      </c>
      <c r="N545" s="32">
        <v>0</v>
      </c>
      <c r="O545" s="216" t="s">
        <v>2412</v>
      </c>
      <c r="P545" s="217"/>
      <c r="Q545" s="217"/>
      <c r="R545" s="218"/>
      <c r="S545" s="28" t="s">
        <v>46</v>
      </c>
      <c r="T545" s="20">
        <v>28</v>
      </c>
    </row>
    <row r="546" spans="1:20" ht="144" x14ac:dyDescent="0.25">
      <c r="A546" s="21">
        <v>533</v>
      </c>
      <c r="B546" s="24" t="s">
        <v>2584</v>
      </c>
      <c r="C546" s="213" t="s">
        <v>2585</v>
      </c>
      <c r="D546" s="214"/>
      <c r="E546" s="214"/>
      <c r="F546" s="215"/>
      <c r="G546" s="31" t="s">
        <v>2587</v>
      </c>
      <c r="H546" s="24" t="s">
        <v>2586</v>
      </c>
      <c r="I546" s="32">
        <v>1</v>
      </c>
      <c r="J546" s="32">
        <v>0</v>
      </c>
      <c r="K546" s="32">
        <v>0</v>
      </c>
      <c r="L546" s="32">
        <v>0</v>
      </c>
      <c r="M546" s="32">
        <v>0</v>
      </c>
      <c r="N546" s="32">
        <v>0</v>
      </c>
      <c r="O546" s="216" t="s">
        <v>2588</v>
      </c>
      <c r="P546" s="217"/>
      <c r="Q546" s="217"/>
      <c r="R546" s="218"/>
      <c r="S546" s="28" t="s">
        <v>46</v>
      </c>
      <c r="T546" s="20">
        <v>29</v>
      </c>
    </row>
    <row r="547" spans="1:20" ht="132" x14ac:dyDescent="0.25">
      <c r="A547" s="30">
        <v>534</v>
      </c>
      <c r="B547" s="24" t="s">
        <v>2584</v>
      </c>
      <c r="C547" s="213" t="s">
        <v>2589</v>
      </c>
      <c r="D547" s="214"/>
      <c r="E547" s="214"/>
      <c r="F547" s="215"/>
      <c r="G547" s="31" t="s">
        <v>2591</v>
      </c>
      <c r="H547" s="24" t="s">
        <v>2590</v>
      </c>
      <c r="I547" s="32">
        <v>0</v>
      </c>
      <c r="J547" s="32">
        <v>1</v>
      </c>
      <c r="K547" s="32">
        <v>0</v>
      </c>
      <c r="L547" s="32">
        <v>0</v>
      </c>
      <c r="M547" s="32">
        <v>0</v>
      </c>
      <c r="N547" s="32">
        <v>0</v>
      </c>
      <c r="O547" s="216" t="s">
        <v>2592</v>
      </c>
      <c r="P547" s="217"/>
      <c r="Q547" s="217"/>
      <c r="R547" s="218"/>
      <c r="S547" s="28" t="s">
        <v>384</v>
      </c>
      <c r="T547" s="20">
        <v>30</v>
      </c>
    </row>
    <row r="548" spans="1:20" ht="156" x14ac:dyDescent="0.25">
      <c r="A548" s="21">
        <v>535</v>
      </c>
      <c r="B548" s="24" t="s">
        <v>2593</v>
      </c>
      <c r="C548" s="213" t="s">
        <v>2423</v>
      </c>
      <c r="D548" s="214"/>
      <c r="E548" s="214"/>
      <c r="F548" s="215"/>
      <c r="G548" s="31" t="s">
        <v>2595</v>
      </c>
      <c r="H548" s="24" t="s">
        <v>2594</v>
      </c>
      <c r="I548" s="32">
        <v>1</v>
      </c>
      <c r="J548" s="32">
        <v>0</v>
      </c>
      <c r="K548" s="32">
        <v>0</v>
      </c>
      <c r="L548" s="32">
        <v>0</v>
      </c>
      <c r="M548" s="32">
        <v>0</v>
      </c>
      <c r="N548" s="32">
        <v>0</v>
      </c>
      <c r="O548" s="216" t="s">
        <v>2596</v>
      </c>
      <c r="P548" s="217"/>
      <c r="Q548" s="217"/>
      <c r="R548" s="218"/>
      <c r="S548" s="28" t="s">
        <v>46</v>
      </c>
      <c r="T548" s="20">
        <v>31</v>
      </c>
    </row>
    <row r="549" spans="1:20" ht="156" x14ac:dyDescent="0.25">
      <c r="A549" s="30">
        <v>536</v>
      </c>
      <c r="B549" s="24" t="s">
        <v>2593</v>
      </c>
      <c r="C549" s="213" t="s">
        <v>2597</v>
      </c>
      <c r="D549" s="214"/>
      <c r="E549" s="214"/>
      <c r="F549" s="215"/>
      <c r="G549" s="31" t="s">
        <v>2599</v>
      </c>
      <c r="H549" s="24" t="s">
        <v>2598</v>
      </c>
      <c r="I549" s="32">
        <v>0</v>
      </c>
      <c r="J549" s="32">
        <v>1</v>
      </c>
      <c r="K549" s="32">
        <v>0</v>
      </c>
      <c r="L549" s="32">
        <v>0</v>
      </c>
      <c r="M549" s="32">
        <v>0</v>
      </c>
      <c r="N549" s="32">
        <v>0</v>
      </c>
      <c r="O549" s="216" t="s">
        <v>2600</v>
      </c>
      <c r="P549" s="217"/>
      <c r="Q549" s="217"/>
      <c r="R549" s="218"/>
      <c r="S549" s="28" t="s">
        <v>384</v>
      </c>
      <c r="T549" s="20">
        <v>32</v>
      </c>
    </row>
    <row r="550" spans="1:20" ht="132" x14ac:dyDescent="0.25">
      <c r="A550" s="21">
        <v>537</v>
      </c>
      <c r="B550" s="24" t="s">
        <v>2601</v>
      </c>
      <c r="C550" s="213" t="s">
        <v>2602</v>
      </c>
      <c r="D550" s="214"/>
      <c r="E550" s="214"/>
      <c r="F550" s="215"/>
      <c r="G550" s="31" t="s">
        <v>2604</v>
      </c>
      <c r="H550" s="24" t="s">
        <v>2603</v>
      </c>
      <c r="I550" s="32">
        <v>1</v>
      </c>
      <c r="J550" s="32">
        <v>0</v>
      </c>
      <c r="K550" s="32">
        <v>0</v>
      </c>
      <c r="L550" s="32">
        <v>0</v>
      </c>
      <c r="M550" s="32">
        <v>0</v>
      </c>
      <c r="N550" s="32">
        <v>0</v>
      </c>
      <c r="O550" s="216" t="s">
        <v>2605</v>
      </c>
      <c r="P550" s="217"/>
      <c r="Q550" s="217"/>
      <c r="R550" s="218"/>
      <c r="S550" s="28" t="s">
        <v>375</v>
      </c>
      <c r="T550" s="20">
        <v>33</v>
      </c>
    </row>
    <row r="551" spans="1:20" ht="132" x14ac:dyDescent="0.25">
      <c r="A551" s="30">
        <v>538</v>
      </c>
      <c r="B551" s="24" t="s">
        <v>2601</v>
      </c>
      <c r="C551" s="213" t="s">
        <v>2606</v>
      </c>
      <c r="D551" s="214"/>
      <c r="E551" s="214"/>
      <c r="F551" s="215"/>
      <c r="G551" s="31" t="s">
        <v>2608</v>
      </c>
      <c r="H551" s="24" t="s">
        <v>2607</v>
      </c>
      <c r="I551" s="32">
        <v>1</v>
      </c>
      <c r="J551" s="32">
        <v>0</v>
      </c>
      <c r="K551" s="32">
        <v>0</v>
      </c>
      <c r="L551" s="32">
        <v>0</v>
      </c>
      <c r="M551" s="32">
        <v>0</v>
      </c>
      <c r="N551" s="32">
        <v>0</v>
      </c>
      <c r="O551" s="216" t="s">
        <v>2609</v>
      </c>
      <c r="P551" s="217"/>
      <c r="Q551" s="217"/>
      <c r="R551" s="218"/>
      <c r="S551" s="28" t="s">
        <v>46</v>
      </c>
      <c r="T551" s="20">
        <v>34</v>
      </c>
    </row>
    <row r="552" spans="1:20" ht="132" x14ac:dyDescent="0.25">
      <c r="A552" s="21">
        <v>539</v>
      </c>
      <c r="B552" s="24" t="s">
        <v>2610</v>
      </c>
      <c r="C552" s="213" t="s">
        <v>2611</v>
      </c>
      <c r="D552" s="214"/>
      <c r="E552" s="214"/>
      <c r="F552" s="215"/>
      <c r="G552" s="31" t="s">
        <v>555</v>
      </c>
      <c r="H552" s="24" t="s">
        <v>2612</v>
      </c>
      <c r="I552" s="32">
        <v>1</v>
      </c>
      <c r="J552" s="32">
        <v>0</v>
      </c>
      <c r="K552" s="32">
        <v>0</v>
      </c>
      <c r="L552" s="32">
        <v>0</v>
      </c>
      <c r="M552" s="32">
        <v>0</v>
      </c>
      <c r="N552" s="32">
        <v>0</v>
      </c>
      <c r="O552" s="216" t="s">
        <v>2613</v>
      </c>
      <c r="P552" s="217"/>
      <c r="Q552" s="217"/>
      <c r="R552" s="218"/>
      <c r="S552" s="28" t="s">
        <v>46</v>
      </c>
      <c r="T552" s="20">
        <v>35</v>
      </c>
    </row>
    <row r="553" spans="1:20" ht="132" x14ac:dyDescent="0.25">
      <c r="A553" s="30">
        <v>540</v>
      </c>
      <c r="B553" s="24" t="s">
        <v>2610</v>
      </c>
      <c r="C553" s="213" t="s">
        <v>368</v>
      </c>
      <c r="D553" s="214"/>
      <c r="E553" s="214"/>
      <c r="F553" s="215"/>
      <c r="G553" s="31" t="s">
        <v>2615</v>
      </c>
      <c r="H553" s="24" t="s">
        <v>2614</v>
      </c>
      <c r="I553" s="32">
        <v>1</v>
      </c>
      <c r="J553" s="32">
        <v>0</v>
      </c>
      <c r="K553" s="32">
        <v>0</v>
      </c>
      <c r="L553" s="32">
        <v>0</v>
      </c>
      <c r="M553" s="32">
        <v>0</v>
      </c>
      <c r="N553" s="32">
        <v>0</v>
      </c>
      <c r="O553" s="216" t="s">
        <v>2616</v>
      </c>
      <c r="P553" s="217"/>
      <c r="Q553" s="217"/>
      <c r="R553" s="218"/>
      <c r="S553" s="28" t="s">
        <v>46</v>
      </c>
      <c r="T553" s="20">
        <v>36</v>
      </c>
    </row>
    <row r="554" spans="1:20" ht="168" x14ac:dyDescent="0.25">
      <c r="A554" s="21">
        <v>541</v>
      </c>
      <c r="B554" s="24" t="s">
        <v>2617</v>
      </c>
      <c r="C554" s="213" t="s">
        <v>2618</v>
      </c>
      <c r="D554" s="214"/>
      <c r="E554" s="214"/>
      <c r="F554" s="215"/>
      <c r="G554" s="31" t="s">
        <v>2620</v>
      </c>
      <c r="H554" s="24" t="s">
        <v>2619</v>
      </c>
      <c r="I554" s="32">
        <v>0</v>
      </c>
      <c r="J554" s="32">
        <v>1</v>
      </c>
      <c r="K554" s="32">
        <v>0</v>
      </c>
      <c r="L554" s="32">
        <v>0</v>
      </c>
      <c r="M554" s="32">
        <v>0</v>
      </c>
      <c r="N554" s="32">
        <v>0</v>
      </c>
      <c r="O554" s="216" t="s">
        <v>2621</v>
      </c>
      <c r="P554" s="217"/>
      <c r="Q554" s="217"/>
      <c r="R554" s="218"/>
      <c r="S554" s="28" t="s">
        <v>1752</v>
      </c>
      <c r="T554" s="20">
        <v>37</v>
      </c>
    </row>
    <row r="555" spans="1:20" ht="144" x14ac:dyDescent="0.25">
      <c r="A555" s="30">
        <v>542</v>
      </c>
      <c r="B555" s="24" t="s">
        <v>2617</v>
      </c>
      <c r="C555" s="213" t="s">
        <v>2622</v>
      </c>
      <c r="D555" s="214"/>
      <c r="E555" s="214"/>
      <c r="F555" s="215"/>
      <c r="G555" s="31" t="s">
        <v>2624</v>
      </c>
      <c r="H555" s="24" t="s">
        <v>2623</v>
      </c>
      <c r="I555" s="32">
        <v>0</v>
      </c>
      <c r="J555" s="32">
        <v>1</v>
      </c>
      <c r="K555" s="32">
        <v>0</v>
      </c>
      <c r="L555" s="32">
        <v>0</v>
      </c>
      <c r="M555" s="32">
        <v>0</v>
      </c>
      <c r="N555" s="32">
        <v>0</v>
      </c>
      <c r="O555" s="216" t="s">
        <v>2625</v>
      </c>
      <c r="P555" s="217"/>
      <c r="Q555" s="217"/>
      <c r="R555" s="218"/>
      <c r="S555" s="28" t="s">
        <v>1733</v>
      </c>
      <c r="T555" s="20">
        <v>38</v>
      </c>
    </row>
    <row r="556" spans="1:20" x14ac:dyDescent="0.25">
      <c r="A556" s="94"/>
      <c r="B556" s="95"/>
      <c r="C556" s="96"/>
      <c r="D556" s="96"/>
      <c r="E556" s="96"/>
      <c r="F556" s="96"/>
      <c r="G556" s="97"/>
      <c r="H556" s="93"/>
      <c r="I556" s="94"/>
      <c r="J556" s="94"/>
      <c r="K556" s="94"/>
      <c r="L556" s="94"/>
      <c r="M556" s="94"/>
      <c r="N556" s="94"/>
      <c r="O556" s="98"/>
      <c r="P556" s="98"/>
      <c r="Q556" s="98"/>
      <c r="R556" s="98"/>
      <c r="S556" s="99"/>
    </row>
    <row r="557" spans="1:20" x14ac:dyDescent="0.25">
      <c r="A557" s="94"/>
      <c r="B557" s="95"/>
      <c r="C557" s="96"/>
      <c r="D557" s="96"/>
      <c r="E557" s="96"/>
      <c r="F557" s="96"/>
      <c r="G557" s="97"/>
      <c r="H557" s="93"/>
      <c r="I557" s="94"/>
      <c r="J557" s="94"/>
      <c r="K557" s="94"/>
      <c r="L557" s="94"/>
      <c r="M557" s="94"/>
      <c r="N557" s="94"/>
      <c r="O557" s="98"/>
      <c r="P557" s="98"/>
      <c r="Q557" s="98"/>
      <c r="R557" s="98"/>
      <c r="S557" s="99"/>
    </row>
    <row r="558" spans="1:20" x14ac:dyDescent="0.25">
      <c r="A558" s="94"/>
      <c r="B558" s="95"/>
      <c r="C558" s="96"/>
      <c r="D558" s="96"/>
      <c r="E558" s="96"/>
      <c r="F558" s="96"/>
      <c r="G558" s="97"/>
      <c r="H558" s="93"/>
      <c r="I558" s="94"/>
      <c r="J558" s="94"/>
      <c r="K558" s="94"/>
      <c r="L558" s="94"/>
      <c r="M558" s="94"/>
      <c r="N558" s="94"/>
      <c r="O558" s="98"/>
      <c r="P558" s="98"/>
      <c r="Q558" s="98"/>
      <c r="R558" s="98"/>
      <c r="S558" s="99"/>
    </row>
    <row r="559" spans="1:20" x14ac:dyDescent="0.25">
      <c r="A559" s="94"/>
      <c r="B559" s="95"/>
      <c r="C559" s="96"/>
      <c r="D559" s="96"/>
      <c r="E559" s="96"/>
      <c r="F559" s="96"/>
      <c r="G559" s="94"/>
      <c r="H559" s="190" t="s">
        <v>1232</v>
      </c>
      <c r="I559" s="190"/>
      <c r="J559" s="190"/>
      <c r="K559" s="190"/>
      <c r="L559" s="190"/>
      <c r="M559" s="190"/>
      <c r="Q559" s="20"/>
      <c r="S559" s="20"/>
    </row>
    <row r="560" spans="1:20" x14ac:dyDescent="0.25">
      <c r="A560" s="94"/>
      <c r="B560" s="95"/>
      <c r="C560" s="96"/>
      <c r="D560" s="96"/>
      <c r="E560" s="96"/>
      <c r="F560" s="96"/>
      <c r="G560" s="94"/>
      <c r="H560" s="190" t="s">
        <v>29</v>
      </c>
      <c r="I560" s="190"/>
      <c r="J560" s="190"/>
      <c r="K560" s="190"/>
      <c r="L560" s="190"/>
      <c r="M560" s="190"/>
      <c r="Q560" s="20"/>
      <c r="S560" s="20"/>
    </row>
    <row r="561" spans="1:19" x14ac:dyDescent="0.25">
      <c r="A561" s="94"/>
      <c r="B561" s="95"/>
      <c r="C561" s="96"/>
      <c r="D561" s="96"/>
      <c r="E561" s="96"/>
      <c r="F561" s="96"/>
      <c r="G561" s="94"/>
      <c r="H561" s="16"/>
      <c r="I561" s="16"/>
      <c r="J561" s="16"/>
      <c r="K561" s="16"/>
      <c r="L561" s="16"/>
      <c r="M561" s="16"/>
      <c r="Q561" s="20"/>
      <c r="S561" s="20"/>
    </row>
    <row r="562" spans="1:19" x14ac:dyDescent="0.25">
      <c r="H562" s="16"/>
      <c r="I562" s="16"/>
      <c r="J562" s="16"/>
      <c r="K562" s="16"/>
      <c r="L562" s="16"/>
      <c r="M562" s="16"/>
    </row>
    <row r="563" spans="1:19" x14ac:dyDescent="0.25">
      <c r="H563" s="16"/>
      <c r="I563" s="16"/>
      <c r="J563" s="16"/>
      <c r="K563" s="16"/>
      <c r="L563" s="16"/>
      <c r="M563" s="16"/>
    </row>
    <row r="564" spans="1:19" x14ac:dyDescent="0.25">
      <c r="H564" s="197" t="s">
        <v>1233</v>
      </c>
      <c r="I564" s="197"/>
      <c r="J564" s="197"/>
      <c r="K564" s="197"/>
      <c r="L564" s="197"/>
      <c r="M564" s="197"/>
    </row>
    <row r="565" spans="1:19" x14ac:dyDescent="0.25">
      <c r="H565" s="190" t="s">
        <v>30</v>
      </c>
      <c r="I565" s="190"/>
      <c r="J565" s="190"/>
      <c r="K565" s="190"/>
      <c r="L565" s="190"/>
      <c r="M565" s="190"/>
    </row>
    <row r="566" spans="1:19" x14ac:dyDescent="0.25">
      <c r="H566" s="190" t="s">
        <v>1234</v>
      </c>
      <c r="I566" s="190"/>
      <c r="J566" s="190"/>
      <c r="K566" s="190"/>
      <c r="L566" s="190"/>
      <c r="M566" s="190"/>
    </row>
  </sheetData>
  <mergeCells count="1106">
    <mergeCell ref="O444:R444"/>
    <mergeCell ref="O445:R445"/>
    <mergeCell ref="O512:R512"/>
    <mergeCell ref="C366:F366"/>
    <mergeCell ref="C439:F439"/>
    <mergeCell ref="C440:F440"/>
    <mergeCell ref="C441:F441"/>
    <mergeCell ref="C442:F442"/>
    <mergeCell ref="C443:F443"/>
    <mergeCell ref="C444:F444"/>
    <mergeCell ref="C445:F445"/>
    <mergeCell ref="C512:F512"/>
    <mergeCell ref="C372:F372"/>
    <mergeCell ref="C373:F373"/>
    <mergeCell ref="C374:F374"/>
    <mergeCell ref="C375:F375"/>
    <mergeCell ref="C376:F376"/>
    <mergeCell ref="C377:F377"/>
    <mergeCell ref="C378:F378"/>
    <mergeCell ref="C379:F379"/>
    <mergeCell ref="C380:F380"/>
    <mergeCell ref="C381:F381"/>
    <mergeCell ref="C382:F382"/>
    <mergeCell ref="C383:F383"/>
    <mergeCell ref="C384:F384"/>
    <mergeCell ref="C385:F385"/>
    <mergeCell ref="C386:F386"/>
    <mergeCell ref="O368:R368"/>
    <mergeCell ref="O369:R369"/>
    <mergeCell ref="O370:R370"/>
    <mergeCell ref="O371:R371"/>
    <mergeCell ref="O439:R439"/>
    <mergeCell ref="O440:R440"/>
    <mergeCell ref="O441:R441"/>
    <mergeCell ref="O442:R442"/>
    <mergeCell ref="O443:R443"/>
    <mergeCell ref="C368:F368"/>
    <mergeCell ref="C369:F369"/>
    <mergeCell ref="C370:F370"/>
    <mergeCell ref="C371:F371"/>
    <mergeCell ref="O349:R349"/>
    <mergeCell ref="O350:R350"/>
    <mergeCell ref="O351:R351"/>
    <mergeCell ref="O352:R352"/>
    <mergeCell ref="O353:R353"/>
    <mergeCell ref="O354:R354"/>
    <mergeCell ref="O355:R355"/>
    <mergeCell ref="O366:R366"/>
    <mergeCell ref="O367:R367"/>
    <mergeCell ref="O356:R356"/>
    <mergeCell ref="O357:R357"/>
    <mergeCell ref="O358:R358"/>
    <mergeCell ref="O359:R359"/>
    <mergeCell ref="O360:R360"/>
    <mergeCell ref="O361:R361"/>
    <mergeCell ref="O362:R362"/>
    <mergeCell ref="O363:R363"/>
    <mergeCell ref="O364:R364"/>
    <mergeCell ref="O365:R365"/>
    <mergeCell ref="C359:F359"/>
    <mergeCell ref="C360:F360"/>
    <mergeCell ref="C361:F361"/>
    <mergeCell ref="C362:F362"/>
    <mergeCell ref="C363:F363"/>
    <mergeCell ref="C364:F364"/>
    <mergeCell ref="C365:F365"/>
    <mergeCell ref="C349:F349"/>
    <mergeCell ref="C350:F350"/>
    <mergeCell ref="C351:F351"/>
    <mergeCell ref="C352:F352"/>
    <mergeCell ref="C353:F353"/>
    <mergeCell ref="C354:F354"/>
    <mergeCell ref="C355:F355"/>
    <mergeCell ref="C356:F356"/>
    <mergeCell ref="C357:F357"/>
    <mergeCell ref="C367:F367"/>
    <mergeCell ref="O341:R341"/>
    <mergeCell ref="O342:R342"/>
    <mergeCell ref="O343:R343"/>
    <mergeCell ref="O344:R344"/>
    <mergeCell ref="O345:R345"/>
    <mergeCell ref="O346:R346"/>
    <mergeCell ref="C347:F347"/>
    <mergeCell ref="C348:F348"/>
    <mergeCell ref="C346:F346"/>
    <mergeCell ref="C341:F341"/>
    <mergeCell ref="C342:F342"/>
    <mergeCell ref="C343:F343"/>
    <mergeCell ref="C344:F344"/>
    <mergeCell ref="C345:F345"/>
    <mergeCell ref="O347:R347"/>
    <mergeCell ref="O348:R348"/>
    <mergeCell ref="C358:F358"/>
    <mergeCell ref="O324:R324"/>
    <mergeCell ref="O325:R325"/>
    <mergeCell ref="O326:R326"/>
    <mergeCell ref="O327:R327"/>
    <mergeCell ref="O328:R328"/>
    <mergeCell ref="O329:R329"/>
    <mergeCell ref="O330:R330"/>
    <mergeCell ref="O331:R331"/>
    <mergeCell ref="O332:R332"/>
    <mergeCell ref="O333:R333"/>
    <mergeCell ref="O334:R334"/>
    <mergeCell ref="O335:R335"/>
    <mergeCell ref="O336:R336"/>
    <mergeCell ref="O337:R337"/>
    <mergeCell ref="O338:R338"/>
    <mergeCell ref="O339:R339"/>
    <mergeCell ref="O340:R340"/>
    <mergeCell ref="O300:R300"/>
    <mergeCell ref="O301:R301"/>
    <mergeCell ref="O302:R302"/>
    <mergeCell ref="O304:R304"/>
    <mergeCell ref="O305:R305"/>
    <mergeCell ref="O306:R306"/>
    <mergeCell ref="O307:R307"/>
    <mergeCell ref="O322:R322"/>
    <mergeCell ref="O323:R323"/>
    <mergeCell ref="O308:R308"/>
    <mergeCell ref="O309:R309"/>
    <mergeCell ref="O310:R310"/>
    <mergeCell ref="O311:R311"/>
    <mergeCell ref="O312:R312"/>
    <mergeCell ref="O313:R313"/>
    <mergeCell ref="O314:R314"/>
    <mergeCell ref="O315:R315"/>
    <mergeCell ref="O316:R316"/>
    <mergeCell ref="O317:R317"/>
    <mergeCell ref="O318:R318"/>
    <mergeCell ref="O319:R319"/>
    <mergeCell ref="O320:R320"/>
    <mergeCell ref="O321:R321"/>
    <mergeCell ref="O303:R303"/>
    <mergeCell ref="C317:F317"/>
    <mergeCell ref="C318:F318"/>
    <mergeCell ref="C319:F319"/>
    <mergeCell ref="C320:F320"/>
    <mergeCell ref="C321:F321"/>
    <mergeCell ref="C322:F322"/>
    <mergeCell ref="C323:F323"/>
    <mergeCell ref="C324:F324"/>
    <mergeCell ref="C325:F325"/>
    <mergeCell ref="C326:F326"/>
    <mergeCell ref="C327:F327"/>
    <mergeCell ref="C337:F337"/>
    <mergeCell ref="C338:F338"/>
    <mergeCell ref="C339:F339"/>
    <mergeCell ref="C340:F340"/>
    <mergeCell ref="C328:F328"/>
    <mergeCell ref="C329:F329"/>
    <mergeCell ref="C330:F330"/>
    <mergeCell ref="C331:F331"/>
    <mergeCell ref="C332:F332"/>
    <mergeCell ref="C333:F333"/>
    <mergeCell ref="C334:F334"/>
    <mergeCell ref="C335:F335"/>
    <mergeCell ref="C336:F336"/>
    <mergeCell ref="C300:F300"/>
    <mergeCell ref="C301:F301"/>
    <mergeCell ref="C302:F302"/>
    <mergeCell ref="C304:F304"/>
    <mergeCell ref="C305:F305"/>
    <mergeCell ref="C306:F306"/>
    <mergeCell ref="C307:F307"/>
    <mergeCell ref="C308:F308"/>
    <mergeCell ref="C309:F309"/>
    <mergeCell ref="C303:F303"/>
    <mergeCell ref="C310:F310"/>
    <mergeCell ref="C311:F311"/>
    <mergeCell ref="C312:F312"/>
    <mergeCell ref="C313:F313"/>
    <mergeCell ref="C314:F314"/>
    <mergeCell ref="C315:F315"/>
    <mergeCell ref="C316:F316"/>
    <mergeCell ref="O273:R273"/>
    <mergeCell ref="O274:R274"/>
    <mergeCell ref="O275:R275"/>
    <mergeCell ref="O276:R276"/>
    <mergeCell ref="O277:R277"/>
    <mergeCell ref="O292:R292"/>
    <mergeCell ref="O293:R293"/>
    <mergeCell ref="O294:R294"/>
    <mergeCell ref="O295:R295"/>
    <mergeCell ref="O296:R296"/>
    <mergeCell ref="O297:R297"/>
    <mergeCell ref="C298:F298"/>
    <mergeCell ref="C299:F299"/>
    <mergeCell ref="C296:F296"/>
    <mergeCell ref="C297:F297"/>
    <mergeCell ref="C292:F292"/>
    <mergeCell ref="C293:F293"/>
    <mergeCell ref="C294:F294"/>
    <mergeCell ref="C295:F295"/>
    <mergeCell ref="O298:R298"/>
    <mergeCell ref="O299:R299"/>
    <mergeCell ref="C286:F286"/>
    <mergeCell ref="O287:R287"/>
    <mergeCell ref="O288:R288"/>
    <mergeCell ref="O289:R289"/>
    <mergeCell ref="O290:R290"/>
    <mergeCell ref="C287:F287"/>
    <mergeCell ref="C288:F288"/>
    <mergeCell ref="C289:F289"/>
    <mergeCell ref="C290:F290"/>
    <mergeCell ref="C291:F291"/>
    <mergeCell ref="O291:R291"/>
    <mergeCell ref="O278:R278"/>
    <mergeCell ref="O279:R279"/>
    <mergeCell ref="O280:R280"/>
    <mergeCell ref="O281:R281"/>
    <mergeCell ref="O282:R282"/>
    <mergeCell ref="O283:R283"/>
    <mergeCell ref="O284:R284"/>
    <mergeCell ref="O285:R285"/>
    <mergeCell ref="O286:R286"/>
    <mergeCell ref="C269:F269"/>
    <mergeCell ref="C270:F270"/>
    <mergeCell ref="C271:F271"/>
    <mergeCell ref="C272:F272"/>
    <mergeCell ref="C273:F273"/>
    <mergeCell ref="C274:F274"/>
    <mergeCell ref="C275:F275"/>
    <mergeCell ref="C276:F276"/>
    <mergeCell ref="C277:F277"/>
    <mergeCell ref="C278:F278"/>
    <mergeCell ref="C279:F279"/>
    <mergeCell ref="C280:F280"/>
    <mergeCell ref="C281:F281"/>
    <mergeCell ref="C282:F282"/>
    <mergeCell ref="C283:F283"/>
    <mergeCell ref="C284:F284"/>
    <mergeCell ref="C285:F285"/>
    <mergeCell ref="O269:R269"/>
    <mergeCell ref="O270:R270"/>
    <mergeCell ref="O271:R271"/>
    <mergeCell ref="O272:R272"/>
    <mergeCell ref="C257:F257"/>
    <mergeCell ref="O257:R257"/>
    <mergeCell ref="C258:F258"/>
    <mergeCell ref="C259:F259"/>
    <mergeCell ref="C260:F260"/>
    <mergeCell ref="C261:F261"/>
    <mergeCell ref="C262:F262"/>
    <mergeCell ref="C263:F263"/>
    <mergeCell ref="C264:F264"/>
    <mergeCell ref="C265:F265"/>
    <mergeCell ref="C266:F266"/>
    <mergeCell ref="C267:F267"/>
    <mergeCell ref="C268:F268"/>
    <mergeCell ref="O258:R258"/>
    <mergeCell ref="O259:R259"/>
    <mergeCell ref="O260:R260"/>
    <mergeCell ref="O261:R261"/>
    <mergeCell ref="O262:R262"/>
    <mergeCell ref="O263:R263"/>
    <mergeCell ref="O264:R264"/>
    <mergeCell ref="O265:R265"/>
    <mergeCell ref="O266:R266"/>
    <mergeCell ref="O267:R267"/>
    <mergeCell ref="O268:R268"/>
    <mergeCell ref="C255:F255"/>
    <mergeCell ref="O206:R206"/>
    <mergeCell ref="O207:R207"/>
    <mergeCell ref="O208:R208"/>
    <mergeCell ref="O209:R209"/>
    <mergeCell ref="O210:R210"/>
    <mergeCell ref="O211:R211"/>
    <mergeCell ref="O236:R236"/>
    <mergeCell ref="O237:R237"/>
    <mergeCell ref="O255:R255"/>
    <mergeCell ref="O225:R225"/>
    <mergeCell ref="O226:R226"/>
    <mergeCell ref="O227:R227"/>
    <mergeCell ref="O228:R228"/>
    <mergeCell ref="O229:R229"/>
    <mergeCell ref="O230:R230"/>
    <mergeCell ref="O231:R231"/>
    <mergeCell ref="O232:R232"/>
    <mergeCell ref="O233:R233"/>
    <mergeCell ref="O234:R234"/>
    <mergeCell ref="O235:R235"/>
    <mergeCell ref="O214:R214"/>
    <mergeCell ref="O215:R215"/>
    <mergeCell ref="O216:R216"/>
    <mergeCell ref="O238:R238"/>
    <mergeCell ref="O239:R239"/>
    <mergeCell ref="O240:R240"/>
    <mergeCell ref="O241:R241"/>
    <mergeCell ref="O242:R242"/>
    <mergeCell ref="O243:R243"/>
    <mergeCell ref="O244:R244"/>
    <mergeCell ref="O245:R245"/>
    <mergeCell ref="O197:R197"/>
    <mergeCell ref="O198:R198"/>
    <mergeCell ref="O199:R199"/>
    <mergeCell ref="O200:R200"/>
    <mergeCell ref="O201:R201"/>
    <mergeCell ref="O202:R202"/>
    <mergeCell ref="O203:R203"/>
    <mergeCell ref="O204:R204"/>
    <mergeCell ref="O205:R205"/>
    <mergeCell ref="O224:R224"/>
    <mergeCell ref="C233:F233"/>
    <mergeCell ref="C234:F234"/>
    <mergeCell ref="C235:F235"/>
    <mergeCell ref="C236:F236"/>
    <mergeCell ref="C237:F237"/>
    <mergeCell ref="C228:F228"/>
    <mergeCell ref="C229:F229"/>
    <mergeCell ref="C230:F230"/>
    <mergeCell ref="C231:F231"/>
    <mergeCell ref="C232:F232"/>
    <mergeCell ref="C216:F216"/>
    <mergeCell ref="C217:F217"/>
    <mergeCell ref="C218:F218"/>
    <mergeCell ref="C219:F219"/>
    <mergeCell ref="C220:F220"/>
    <mergeCell ref="C221:F221"/>
    <mergeCell ref="C222:F222"/>
    <mergeCell ref="C223:F223"/>
    <mergeCell ref="C224:F224"/>
    <mergeCell ref="C225:F225"/>
    <mergeCell ref="C226:F226"/>
    <mergeCell ref="C227:F227"/>
    <mergeCell ref="C194:F194"/>
    <mergeCell ref="C195:F195"/>
    <mergeCell ref="C196:F196"/>
    <mergeCell ref="C212:F212"/>
    <mergeCell ref="C213:F213"/>
    <mergeCell ref="C214:F214"/>
    <mergeCell ref="C215:F215"/>
    <mergeCell ref="C206:F206"/>
    <mergeCell ref="C207:F207"/>
    <mergeCell ref="C208:F208"/>
    <mergeCell ref="C209:F209"/>
    <mergeCell ref="C210:F210"/>
    <mergeCell ref="C211:F211"/>
    <mergeCell ref="C197:F197"/>
    <mergeCell ref="C198:F198"/>
    <mergeCell ref="C199:F199"/>
    <mergeCell ref="C200:F200"/>
    <mergeCell ref="C201:F201"/>
    <mergeCell ref="C202:F202"/>
    <mergeCell ref="C203:F203"/>
    <mergeCell ref="C204:F204"/>
    <mergeCell ref="C205:F205"/>
    <mergeCell ref="C177:F177"/>
    <mergeCell ref="C178:F178"/>
    <mergeCell ref="C179:F179"/>
    <mergeCell ref="C180:F180"/>
    <mergeCell ref="C181:F181"/>
    <mergeCell ref="C182:F182"/>
    <mergeCell ref="C183:F183"/>
    <mergeCell ref="C184:F184"/>
    <mergeCell ref="C185:F185"/>
    <mergeCell ref="C186:F186"/>
    <mergeCell ref="C187:F187"/>
    <mergeCell ref="C188:F188"/>
    <mergeCell ref="C189:F189"/>
    <mergeCell ref="C190:F190"/>
    <mergeCell ref="C191:F191"/>
    <mergeCell ref="C192:F192"/>
    <mergeCell ref="C193:F193"/>
    <mergeCell ref="C160:F160"/>
    <mergeCell ref="C161:F161"/>
    <mergeCell ref="C162:F162"/>
    <mergeCell ref="C163:F163"/>
    <mergeCell ref="C164:F164"/>
    <mergeCell ref="C165:F165"/>
    <mergeCell ref="C166:F166"/>
    <mergeCell ref="C167:F167"/>
    <mergeCell ref="C168:F168"/>
    <mergeCell ref="C169:F169"/>
    <mergeCell ref="C170:F170"/>
    <mergeCell ref="C171:F171"/>
    <mergeCell ref="C172:F172"/>
    <mergeCell ref="C173:F173"/>
    <mergeCell ref="C174:F174"/>
    <mergeCell ref="C175:F175"/>
    <mergeCell ref="C176:F176"/>
    <mergeCell ref="C143:F143"/>
    <mergeCell ref="C144:F144"/>
    <mergeCell ref="C145:F145"/>
    <mergeCell ref="C146:F146"/>
    <mergeCell ref="C147:F147"/>
    <mergeCell ref="C148:F148"/>
    <mergeCell ref="C149:F149"/>
    <mergeCell ref="C150:F150"/>
    <mergeCell ref="C151:F151"/>
    <mergeCell ref="C152:F152"/>
    <mergeCell ref="C153:F153"/>
    <mergeCell ref="C154:F154"/>
    <mergeCell ref="C155:F155"/>
    <mergeCell ref="C156:F156"/>
    <mergeCell ref="C157:F157"/>
    <mergeCell ref="C158:F158"/>
    <mergeCell ref="C159:F159"/>
    <mergeCell ref="C126:F126"/>
    <mergeCell ref="C127:F127"/>
    <mergeCell ref="C128:F128"/>
    <mergeCell ref="C129:F129"/>
    <mergeCell ref="C130:F130"/>
    <mergeCell ref="C131:F131"/>
    <mergeCell ref="C132:F132"/>
    <mergeCell ref="C133:F133"/>
    <mergeCell ref="C134:F134"/>
    <mergeCell ref="C135:F135"/>
    <mergeCell ref="C136:F136"/>
    <mergeCell ref="C137:F137"/>
    <mergeCell ref="C138:F138"/>
    <mergeCell ref="C139:F139"/>
    <mergeCell ref="C140:F140"/>
    <mergeCell ref="C141:F141"/>
    <mergeCell ref="C142:F142"/>
    <mergeCell ref="C90:F90"/>
    <mergeCell ref="C91:F91"/>
    <mergeCell ref="C81:F81"/>
    <mergeCell ref="C82:F82"/>
    <mergeCell ref="C83:F83"/>
    <mergeCell ref="C84:F84"/>
    <mergeCell ref="C85:F85"/>
    <mergeCell ref="C86:F86"/>
    <mergeCell ref="C87:F87"/>
    <mergeCell ref="C88:F88"/>
    <mergeCell ref="C89:F89"/>
    <mergeCell ref="C120:F120"/>
    <mergeCell ref="C121:F121"/>
    <mergeCell ref="C122:F122"/>
    <mergeCell ref="C123:F123"/>
    <mergeCell ref="C124:F124"/>
    <mergeCell ref="C125:F125"/>
    <mergeCell ref="C118:F118"/>
    <mergeCell ref="C119:F119"/>
    <mergeCell ref="C109:F109"/>
    <mergeCell ref="C110:F110"/>
    <mergeCell ref="C111:F111"/>
    <mergeCell ref="C112:F112"/>
    <mergeCell ref="C113:F113"/>
    <mergeCell ref="C114:F114"/>
    <mergeCell ref="C115:F115"/>
    <mergeCell ref="C116:F116"/>
    <mergeCell ref="C117:F117"/>
    <mergeCell ref="C97:F97"/>
    <mergeCell ref="C98:F98"/>
    <mergeCell ref="C99:F99"/>
    <mergeCell ref="C106:F106"/>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8:F78"/>
    <mergeCell ref="C79:F79"/>
    <mergeCell ref="C80:F80"/>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30:F30"/>
    <mergeCell ref="C31:F31"/>
    <mergeCell ref="C32:F32"/>
    <mergeCell ref="C33:F33"/>
    <mergeCell ref="C27:F27"/>
    <mergeCell ref="C34:F34"/>
    <mergeCell ref="C35:F35"/>
    <mergeCell ref="C36:F36"/>
    <mergeCell ref="C37:F37"/>
    <mergeCell ref="C38:F38"/>
    <mergeCell ref="C39:F39"/>
    <mergeCell ref="C40:F40"/>
    <mergeCell ref="C41:F41"/>
    <mergeCell ref="C42:F42"/>
    <mergeCell ref="C43:F43"/>
    <mergeCell ref="C44:F44"/>
    <mergeCell ref="C45:F45"/>
    <mergeCell ref="K12:L12"/>
    <mergeCell ref="M12:N12"/>
    <mergeCell ref="O12:R13"/>
    <mergeCell ref="O28:R28"/>
    <mergeCell ref="O29:R29"/>
    <mergeCell ref="S12:S13"/>
    <mergeCell ref="A12:A13"/>
    <mergeCell ref="B12:B13"/>
    <mergeCell ref="C12:F13"/>
    <mergeCell ref="H12:H13"/>
    <mergeCell ref="I12:I13"/>
    <mergeCell ref="J12:J13"/>
    <mergeCell ref="O15:R15"/>
    <mergeCell ref="O16:R16"/>
    <mergeCell ref="C14:F14"/>
    <mergeCell ref="C15:F15"/>
    <mergeCell ref="C16:F16"/>
    <mergeCell ref="C17:F17"/>
    <mergeCell ref="C18:F18"/>
    <mergeCell ref="C19:F19"/>
    <mergeCell ref="C20:F20"/>
    <mergeCell ref="C21:F21"/>
    <mergeCell ref="C22:F22"/>
    <mergeCell ref="C23:F23"/>
    <mergeCell ref="C24:F24"/>
    <mergeCell ref="C25:F25"/>
    <mergeCell ref="C26:F26"/>
    <mergeCell ref="C28:F28"/>
    <mergeCell ref="C29:F29"/>
    <mergeCell ref="O34:R34"/>
    <mergeCell ref="O35:R35"/>
    <mergeCell ref="O36:R36"/>
    <mergeCell ref="O37:R37"/>
    <mergeCell ref="O38:R38"/>
    <mergeCell ref="O39:R39"/>
    <mergeCell ref="O30:R30"/>
    <mergeCell ref="O31:R31"/>
    <mergeCell ref="O32:R32"/>
    <mergeCell ref="O33:R33"/>
    <mergeCell ref="O21:R21"/>
    <mergeCell ref="O22:R22"/>
    <mergeCell ref="O23:R23"/>
    <mergeCell ref="O24:R24"/>
    <mergeCell ref="O25:R25"/>
    <mergeCell ref="O26:R26"/>
    <mergeCell ref="O17:R17"/>
    <mergeCell ref="O18:R18"/>
    <mergeCell ref="O19:R19"/>
    <mergeCell ref="O20:R20"/>
    <mergeCell ref="O52:R52"/>
    <mergeCell ref="O53:R53"/>
    <mergeCell ref="O54:R54"/>
    <mergeCell ref="O55:R55"/>
    <mergeCell ref="O56:R56"/>
    <mergeCell ref="O57:R57"/>
    <mergeCell ref="O46:R46"/>
    <mergeCell ref="O47:R47"/>
    <mergeCell ref="O48:R48"/>
    <mergeCell ref="O49:R49"/>
    <mergeCell ref="O50:R50"/>
    <mergeCell ref="O51:R51"/>
    <mergeCell ref="O40:R40"/>
    <mergeCell ref="O41:R41"/>
    <mergeCell ref="O42:R42"/>
    <mergeCell ref="O43:R43"/>
    <mergeCell ref="O44:R44"/>
    <mergeCell ref="O45:R45"/>
    <mergeCell ref="O70:R70"/>
    <mergeCell ref="O71:R71"/>
    <mergeCell ref="O72:R72"/>
    <mergeCell ref="O73:R73"/>
    <mergeCell ref="O74:R74"/>
    <mergeCell ref="O75:R75"/>
    <mergeCell ref="O64:R64"/>
    <mergeCell ref="O65:R65"/>
    <mergeCell ref="O66:R66"/>
    <mergeCell ref="O67:R67"/>
    <mergeCell ref="O68:R68"/>
    <mergeCell ref="O69:R69"/>
    <mergeCell ref="O58:R58"/>
    <mergeCell ref="O59:R59"/>
    <mergeCell ref="O60:R60"/>
    <mergeCell ref="O61:R61"/>
    <mergeCell ref="O62:R62"/>
    <mergeCell ref="O63:R63"/>
    <mergeCell ref="O88:R88"/>
    <mergeCell ref="O89:R89"/>
    <mergeCell ref="O90:R90"/>
    <mergeCell ref="O91:R91"/>
    <mergeCell ref="O92:R92"/>
    <mergeCell ref="O93:R93"/>
    <mergeCell ref="O82:R82"/>
    <mergeCell ref="O83:R83"/>
    <mergeCell ref="O84:R84"/>
    <mergeCell ref="O85:R85"/>
    <mergeCell ref="O86:R86"/>
    <mergeCell ref="O87:R87"/>
    <mergeCell ref="O76:R76"/>
    <mergeCell ref="O77:R77"/>
    <mergeCell ref="O78:R78"/>
    <mergeCell ref="O79:R79"/>
    <mergeCell ref="O80:R80"/>
    <mergeCell ref="O81:R81"/>
    <mergeCell ref="O106:R106"/>
    <mergeCell ref="O107:R107"/>
    <mergeCell ref="O108:R108"/>
    <mergeCell ref="O109:R109"/>
    <mergeCell ref="O110:R110"/>
    <mergeCell ref="O111:R111"/>
    <mergeCell ref="O100:R100"/>
    <mergeCell ref="O101:R101"/>
    <mergeCell ref="O102:R102"/>
    <mergeCell ref="O103:R103"/>
    <mergeCell ref="O104:R104"/>
    <mergeCell ref="O105:R105"/>
    <mergeCell ref="O94:R94"/>
    <mergeCell ref="O95:R95"/>
    <mergeCell ref="O96:R96"/>
    <mergeCell ref="O97:R97"/>
    <mergeCell ref="O98:R98"/>
    <mergeCell ref="O99:R99"/>
    <mergeCell ref="O124:R124"/>
    <mergeCell ref="O125:R125"/>
    <mergeCell ref="O126:R126"/>
    <mergeCell ref="O127:R127"/>
    <mergeCell ref="O128:R128"/>
    <mergeCell ref="O129:R129"/>
    <mergeCell ref="O118:R118"/>
    <mergeCell ref="O119:R119"/>
    <mergeCell ref="O120:R120"/>
    <mergeCell ref="O121:R121"/>
    <mergeCell ref="O122:R122"/>
    <mergeCell ref="O123:R123"/>
    <mergeCell ref="O112:R112"/>
    <mergeCell ref="O113:R113"/>
    <mergeCell ref="O114:R114"/>
    <mergeCell ref="O115:R115"/>
    <mergeCell ref="O116:R116"/>
    <mergeCell ref="O117:R117"/>
    <mergeCell ref="O142:R142"/>
    <mergeCell ref="O143:R143"/>
    <mergeCell ref="O144:R144"/>
    <mergeCell ref="O145:R145"/>
    <mergeCell ref="O146:R146"/>
    <mergeCell ref="O147:R147"/>
    <mergeCell ref="O136:R136"/>
    <mergeCell ref="O137:R137"/>
    <mergeCell ref="O138:R138"/>
    <mergeCell ref="O139:R139"/>
    <mergeCell ref="O140:R140"/>
    <mergeCell ref="O141:R141"/>
    <mergeCell ref="O130:R130"/>
    <mergeCell ref="O131:R131"/>
    <mergeCell ref="O132:R132"/>
    <mergeCell ref="O133:R133"/>
    <mergeCell ref="O134:R134"/>
    <mergeCell ref="O135:R135"/>
    <mergeCell ref="O172:R172"/>
    <mergeCell ref="O173:R173"/>
    <mergeCell ref="O161:R161"/>
    <mergeCell ref="O162:R162"/>
    <mergeCell ref="O163:R163"/>
    <mergeCell ref="O164:R164"/>
    <mergeCell ref="O165:R165"/>
    <mergeCell ref="O154:R154"/>
    <mergeCell ref="O155:R155"/>
    <mergeCell ref="O156:R156"/>
    <mergeCell ref="O157:R157"/>
    <mergeCell ref="O158:R158"/>
    <mergeCell ref="O159:R159"/>
    <mergeCell ref="O148:R148"/>
    <mergeCell ref="O149:R149"/>
    <mergeCell ref="O150:R150"/>
    <mergeCell ref="O151:R151"/>
    <mergeCell ref="O152:R152"/>
    <mergeCell ref="O153:R153"/>
    <mergeCell ref="C107:F107"/>
    <mergeCell ref="C108:F108"/>
    <mergeCell ref="A7:S7"/>
    <mergeCell ref="B1:S1"/>
    <mergeCell ref="B2:S2"/>
    <mergeCell ref="B3:S3"/>
    <mergeCell ref="B4:S4"/>
    <mergeCell ref="A6:S6"/>
    <mergeCell ref="B8:S8"/>
    <mergeCell ref="B10:S10"/>
    <mergeCell ref="O223:R223"/>
    <mergeCell ref="O14:R14"/>
    <mergeCell ref="O217:R217"/>
    <mergeCell ref="O218:R218"/>
    <mergeCell ref="O219:R219"/>
    <mergeCell ref="O220:R220"/>
    <mergeCell ref="O221:R221"/>
    <mergeCell ref="O222:R222"/>
    <mergeCell ref="O196:R196"/>
    <mergeCell ref="O212:R212"/>
    <mergeCell ref="O213:R213"/>
    <mergeCell ref="C92:F92"/>
    <mergeCell ref="C93:F93"/>
    <mergeCell ref="C94:F94"/>
    <mergeCell ref="C95:F95"/>
    <mergeCell ref="C96:F96"/>
    <mergeCell ref="O178:R178"/>
    <mergeCell ref="O179:R179"/>
    <mergeCell ref="O180:R180"/>
    <mergeCell ref="O181:R181"/>
    <mergeCell ref="O182:R182"/>
    <mergeCell ref="O183:R183"/>
    <mergeCell ref="C250:F250"/>
    <mergeCell ref="C251:F251"/>
    <mergeCell ref="C252:F252"/>
    <mergeCell ref="O190:R190"/>
    <mergeCell ref="O191:R191"/>
    <mergeCell ref="O192:R192"/>
    <mergeCell ref="O193:R193"/>
    <mergeCell ref="O194:R194"/>
    <mergeCell ref="O195:R195"/>
    <mergeCell ref="O184:R184"/>
    <mergeCell ref="O185:R185"/>
    <mergeCell ref="O186:R186"/>
    <mergeCell ref="O187:R187"/>
    <mergeCell ref="O188:R188"/>
    <mergeCell ref="O189:R189"/>
    <mergeCell ref="C100:F100"/>
    <mergeCell ref="C101:F101"/>
    <mergeCell ref="C102:F102"/>
    <mergeCell ref="C103:F103"/>
    <mergeCell ref="C104:F104"/>
    <mergeCell ref="C105:F105"/>
    <mergeCell ref="O174:R174"/>
    <mergeCell ref="O175:R175"/>
    <mergeCell ref="O176:R176"/>
    <mergeCell ref="O177:R177"/>
    <mergeCell ref="O166:R166"/>
    <mergeCell ref="O167:R167"/>
    <mergeCell ref="O168:R168"/>
    <mergeCell ref="O169:R169"/>
    <mergeCell ref="O170:R170"/>
    <mergeCell ref="O171:R171"/>
    <mergeCell ref="O160:R160"/>
    <mergeCell ref="O397:R397"/>
    <mergeCell ref="O414:R414"/>
    <mergeCell ref="O415:R415"/>
    <mergeCell ref="O246:R246"/>
    <mergeCell ref="C238:F238"/>
    <mergeCell ref="C239:F239"/>
    <mergeCell ref="C240:F240"/>
    <mergeCell ref="C241:F241"/>
    <mergeCell ref="C242:F242"/>
    <mergeCell ref="C243:F243"/>
    <mergeCell ref="C244:F244"/>
    <mergeCell ref="C245:F245"/>
    <mergeCell ref="C246:F246"/>
    <mergeCell ref="C400:F400"/>
    <mergeCell ref="C401:F401"/>
    <mergeCell ref="C402:F402"/>
    <mergeCell ref="C403:F403"/>
    <mergeCell ref="C404:F404"/>
    <mergeCell ref="C387:F387"/>
    <mergeCell ref="C388:F388"/>
    <mergeCell ref="C389:F389"/>
    <mergeCell ref="C390:F390"/>
    <mergeCell ref="C391:F391"/>
    <mergeCell ref="C392:F392"/>
    <mergeCell ref="C393:F393"/>
    <mergeCell ref="C394:F394"/>
    <mergeCell ref="C395:F395"/>
    <mergeCell ref="O254:R254"/>
    <mergeCell ref="C256:F256"/>
    <mergeCell ref="C247:F247"/>
    <mergeCell ref="C248:F248"/>
    <mergeCell ref="C249:F249"/>
    <mergeCell ref="C405:F405"/>
    <mergeCell ref="C406:F406"/>
    <mergeCell ref="C407:F407"/>
    <mergeCell ref="C408:F408"/>
    <mergeCell ref="C409:F409"/>
    <mergeCell ref="C410:F410"/>
    <mergeCell ref="C411:F411"/>
    <mergeCell ref="C412:F412"/>
    <mergeCell ref="C413:F413"/>
    <mergeCell ref="C253:F253"/>
    <mergeCell ref="C254:F254"/>
    <mergeCell ref="O247:R247"/>
    <mergeCell ref="O248:R248"/>
    <mergeCell ref="O249:R249"/>
    <mergeCell ref="O250:R250"/>
    <mergeCell ref="O251:R251"/>
    <mergeCell ref="O252:R252"/>
    <mergeCell ref="O253:R253"/>
    <mergeCell ref="O256:R256"/>
    <mergeCell ref="O388:R388"/>
    <mergeCell ref="C396:F396"/>
    <mergeCell ref="C397:F397"/>
    <mergeCell ref="C398:F398"/>
    <mergeCell ref="C399:F399"/>
    <mergeCell ref="O389:R389"/>
    <mergeCell ref="O390:R390"/>
    <mergeCell ref="O391:R391"/>
    <mergeCell ref="O392:R392"/>
    <mergeCell ref="O393:R393"/>
    <mergeCell ref="O394:R394"/>
    <mergeCell ref="O395:R395"/>
    <mergeCell ref="O396:R396"/>
    <mergeCell ref="O423:R423"/>
    <mergeCell ref="O424:R424"/>
    <mergeCell ref="O407:R407"/>
    <mergeCell ref="O408:R408"/>
    <mergeCell ref="O409:R409"/>
    <mergeCell ref="O410:R410"/>
    <mergeCell ref="O411:R411"/>
    <mergeCell ref="O412:R412"/>
    <mergeCell ref="O413:R413"/>
    <mergeCell ref="C429:F429"/>
    <mergeCell ref="C430:F430"/>
    <mergeCell ref="C431:F431"/>
    <mergeCell ref="C414:F414"/>
    <mergeCell ref="C415:F415"/>
    <mergeCell ref="C416:F416"/>
    <mergeCell ref="C417:F417"/>
    <mergeCell ref="C418:F418"/>
    <mergeCell ref="C419:F419"/>
    <mergeCell ref="C420:F420"/>
    <mergeCell ref="C421:F421"/>
    <mergeCell ref="C422:F422"/>
    <mergeCell ref="C423:F423"/>
    <mergeCell ref="C424:F424"/>
    <mergeCell ref="C425:F425"/>
    <mergeCell ref="C426:F426"/>
    <mergeCell ref="C427:F427"/>
    <mergeCell ref="C428:F428"/>
    <mergeCell ref="O406:R406"/>
    <mergeCell ref="C446:F446"/>
    <mergeCell ref="O446:R446"/>
    <mergeCell ref="C447:F447"/>
    <mergeCell ref="O447:R447"/>
    <mergeCell ref="C448:F448"/>
    <mergeCell ref="O448:R448"/>
    <mergeCell ref="C449:F449"/>
    <mergeCell ref="O449:R449"/>
    <mergeCell ref="C432:F432"/>
    <mergeCell ref="C433:F433"/>
    <mergeCell ref="C434:F434"/>
    <mergeCell ref="C435:F435"/>
    <mergeCell ref="C436:F436"/>
    <mergeCell ref="C437:F437"/>
    <mergeCell ref="C438:F438"/>
    <mergeCell ref="O372:R372"/>
    <mergeCell ref="O373:R373"/>
    <mergeCell ref="O374:R374"/>
    <mergeCell ref="O375:R375"/>
    <mergeCell ref="O376:R376"/>
    <mergeCell ref="O377:R377"/>
    <mergeCell ref="O378:R378"/>
    <mergeCell ref="O379:R379"/>
    <mergeCell ref="O380:R380"/>
    <mergeCell ref="O381:R381"/>
    <mergeCell ref="O382:R382"/>
    <mergeCell ref="O383:R383"/>
    <mergeCell ref="O384:R384"/>
    <mergeCell ref="O385:R385"/>
    <mergeCell ref="O386:R386"/>
    <mergeCell ref="O387:R387"/>
    <mergeCell ref="C450:F450"/>
    <mergeCell ref="O450:R450"/>
    <mergeCell ref="O27:R27"/>
    <mergeCell ref="O425:R425"/>
    <mergeCell ref="O426:R426"/>
    <mergeCell ref="O427:R427"/>
    <mergeCell ref="O437:R437"/>
    <mergeCell ref="O438:R438"/>
    <mergeCell ref="O428:R428"/>
    <mergeCell ref="O429:R429"/>
    <mergeCell ref="O430:R430"/>
    <mergeCell ref="O431:R431"/>
    <mergeCell ref="O432:R432"/>
    <mergeCell ref="O433:R433"/>
    <mergeCell ref="O434:R434"/>
    <mergeCell ref="O435:R435"/>
    <mergeCell ref="O436:R436"/>
    <mergeCell ref="O416:R416"/>
    <mergeCell ref="O417:R417"/>
    <mergeCell ref="O418:R418"/>
    <mergeCell ref="O419:R419"/>
    <mergeCell ref="O420:R420"/>
    <mergeCell ref="O421:R421"/>
    <mergeCell ref="O422:R422"/>
    <mergeCell ref="O398:R398"/>
    <mergeCell ref="O399:R399"/>
    <mergeCell ref="O400:R400"/>
    <mergeCell ref="O401:R401"/>
    <mergeCell ref="O402:R402"/>
    <mergeCell ref="O403:R403"/>
    <mergeCell ref="O404:R404"/>
    <mergeCell ref="O405:R405"/>
    <mergeCell ref="C456:F456"/>
    <mergeCell ref="O456:R456"/>
    <mergeCell ref="C457:F457"/>
    <mergeCell ref="O457:R457"/>
    <mergeCell ref="C458:F458"/>
    <mergeCell ref="O458:R458"/>
    <mergeCell ref="C459:F459"/>
    <mergeCell ref="O459:R459"/>
    <mergeCell ref="C460:F460"/>
    <mergeCell ref="O460:R460"/>
    <mergeCell ref="C451:F451"/>
    <mergeCell ref="O451:R451"/>
    <mergeCell ref="C452:F452"/>
    <mergeCell ref="O452:R452"/>
    <mergeCell ref="C453:F453"/>
    <mergeCell ref="O453:R453"/>
    <mergeCell ref="C454:F454"/>
    <mergeCell ref="O454:R454"/>
    <mergeCell ref="C455:F455"/>
    <mergeCell ref="O455:R455"/>
    <mergeCell ref="C466:F466"/>
    <mergeCell ref="O466:R466"/>
    <mergeCell ref="C467:F467"/>
    <mergeCell ref="O467:R467"/>
    <mergeCell ref="C468:F468"/>
    <mergeCell ref="O468:R468"/>
    <mergeCell ref="C469:F469"/>
    <mergeCell ref="O469:R469"/>
    <mergeCell ref="C470:F470"/>
    <mergeCell ref="O470:R470"/>
    <mergeCell ref="C461:F461"/>
    <mergeCell ref="O461:R461"/>
    <mergeCell ref="C462:F462"/>
    <mergeCell ref="O462:R462"/>
    <mergeCell ref="C463:F463"/>
    <mergeCell ref="O463:R463"/>
    <mergeCell ref="C464:F464"/>
    <mergeCell ref="O464:R464"/>
    <mergeCell ref="C465:F465"/>
    <mergeCell ref="O465:R465"/>
    <mergeCell ref="C476:F476"/>
    <mergeCell ref="O476:R476"/>
    <mergeCell ref="C477:F477"/>
    <mergeCell ref="O477:R477"/>
    <mergeCell ref="C478:F478"/>
    <mergeCell ref="O478:R478"/>
    <mergeCell ref="C479:F479"/>
    <mergeCell ref="O479:R479"/>
    <mergeCell ref="C480:F480"/>
    <mergeCell ref="O480:R480"/>
    <mergeCell ref="C471:F471"/>
    <mergeCell ref="O471:R471"/>
    <mergeCell ref="C472:F472"/>
    <mergeCell ref="O472:R472"/>
    <mergeCell ref="C473:F473"/>
    <mergeCell ref="O473:R473"/>
    <mergeCell ref="C474:F474"/>
    <mergeCell ref="O474:R474"/>
    <mergeCell ref="C475:F475"/>
    <mergeCell ref="O475:R475"/>
    <mergeCell ref="C486:F486"/>
    <mergeCell ref="O486:R486"/>
    <mergeCell ref="C487:F487"/>
    <mergeCell ref="O487:R487"/>
    <mergeCell ref="C488:F488"/>
    <mergeCell ref="O488:R488"/>
    <mergeCell ref="C489:F489"/>
    <mergeCell ref="O489:R489"/>
    <mergeCell ref="C490:F490"/>
    <mergeCell ref="O490:R490"/>
    <mergeCell ref="C481:F481"/>
    <mergeCell ref="O481:R481"/>
    <mergeCell ref="C482:F482"/>
    <mergeCell ref="O482:R482"/>
    <mergeCell ref="C483:F483"/>
    <mergeCell ref="O483:R483"/>
    <mergeCell ref="C484:F484"/>
    <mergeCell ref="O484:R484"/>
    <mergeCell ref="C485:F485"/>
    <mergeCell ref="O485:R485"/>
    <mergeCell ref="C496:F496"/>
    <mergeCell ref="O496:R496"/>
    <mergeCell ref="C497:F497"/>
    <mergeCell ref="O497:R497"/>
    <mergeCell ref="C498:F498"/>
    <mergeCell ref="O498:R498"/>
    <mergeCell ref="C499:F499"/>
    <mergeCell ref="O499:R499"/>
    <mergeCell ref="C500:F500"/>
    <mergeCell ref="O500:R500"/>
    <mergeCell ref="C491:F491"/>
    <mergeCell ref="O491:R491"/>
    <mergeCell ref="C492:F492"/>
    <mergeCell ref="O492:R492"/>
    <mergeCell ref="C493:F493"/>
    <mergeCell ref="O493:R493"/>
    <mergeCell ref="C494:F494"/>
    <mergeCell ref="O494:R494"/>
    <mergeCell ref="C495:F495"/>
    <mergeCell ref="O495:R495"/>
    <mergeCell ref="C506:F506"/>
    <mergeCell ref="O506:R506"/>
    <mergeCell ref="C507:F507"/>
    <mergeCell ref="O507:R507"/>
    <mergeCell ref="C508:F508"/>
    <mergeCell ref="O508:R508"/>
    <mergeCell ref="C509:F509"/>
    <mergeCell ref="O509:R509"/>
    <mergeCell ref="C510:F510"/>
    <mergeCell ref="O510:R510"/>
    <mergeCell ref="C501:F501"/>
    <mergeCell ref="O501:R501"/>
    <mergeCell ref="C502:F502"/>
    <mergeCell ref="O502:R502"/>
    <mergeCell ref="C503:F503"/>
    <mergeCell ref="O503:R503"/>
    <mergeCell ref="C504:F504"/>
    <mergeCell ref="O504:R504"/>
    <mergeCell ref="C505:F505"/>
    <mergeCell ref="O505:R505"/>
    <mergeCell ref="C511:F511"/>
    <mergeCell ref="O511:R511"/>
    <mergeCell ref="C513:F513"/>
    <mergeCell ref="O513:R513"/>
    <mergeCell ref="C514:F514"/>
    <mergeCell ref="O514:R514"/>
    <mergeCell ref="C515:F515"/>
    <mergeCell ref="O515:R515"/>
    <mergeCell ref="C516:F516"/>
    <mergeCell ref="O516:R516"/>
    <mergeCell ref="C517:F517"/>
    <mergeCell ref="O517:R517"/>
    <mergeCell ref="C518:F518"/>
    <mergeCell ref="O518:R518"/>
    <mergeCell ref="C519:F519"/>
    <mergeCell ref="O519:R519"/>
    <mergeCell ref="C520:F520"/>
    <mergeCell ref="O520:R520"/>
    <mergeCell ref="C521:F521"/>
    <mergeCell ref="O521:R521"/>
    <mergeCell ref="C522:F522"/>
    <mergeCell ref="O522:R522"/>
    <mergeCell ref="C523:F523"/>
    <mergeCell ref="O523:R523"/>
    <mergeCell ref="C524:F524"/>
    <mergeCell ref="O524:R524"/>
    <mergeCell ref="C525:F525"/>
    <mergeCell ref="O525:R525"/>
    <mergeCell ref="C526:F526"/>
    <mergeCell ref="O526:R526"/>
    <mergeCell ref="C527:F527"/>
    <mergeCell ref="O527:R527"/>
    <mergeCell ref="C528:F528"/>
    <mergeCell ref="O528:R528"/>
    <mergeCell ref="C529:F529"/>
    <mergeCell ref="O529:R529"/>
    <mergeCell ref="C530:F530"/>
    <mergeCell ref="O530:R530"/>
    <mergeCell ref="C531:F531"/>
    <mergeCell ref="O531:R531"/>
    <mergeCell ref="C532:F532"/>
    <mergeCell ref="O532:R532"/>
    <mergeCell ref="C533:F533"/>
    <mergeCell ref="O533:R533"/>
    <mergeCell ref="C534:F534"/>
    <mergeCell ref="O534:R534"/>
    <mergeCell ref="C535:F535"/>
    <mergeCell ref="O535:R535"/>
    <mergeCell ref="C536:F536"/>
    <mergeCell ref="O536:R536"/>
    <mergeCell ref="C537:F537"/>
    <mergeCell ref="O537:R537"/>
    <mergeCell ref="C538:F538"/>
    <mergeCell ref="O538:R538"/>
    <mergeCell ref="C539:F539"/>
    <mergeCell ref="O539:R539"/>
    <mergeCell ref="C540:F540"/>
    <mergeCell ref="O540:R540"/>
    <mergeCell ref="C541:F541"/>
    <mergeCell ref="O541:R541"/>
    <mergeCell ref="C542:F542"/>
    <mergeCell ref="O542:R542"/>
    <mergeCell ref="C543:F543"/>
    <mergeCell ref="O543:R543"/>
    <mergeCell ref="C544:F544"/>
    <mergeCell ref="O544:R544"/>
    <mergeCell ref="C545:F545"/>
    <mergeCell ref="O545:R545"/>
    <mergeCell ref="C546:F546"/>
    <mergeCell ref="O546:R546"/>
    <mergeCell ref="C547:F547"/>
    <mergeCell ref="O547:R547"/>
    <mergeCell ref="H559:M559"/>
    <mergeCell ref="H560:M560"/>
    <mergeCell ref="H564:M564"/>
    <mergeCell ref="H565:M565"/>
    <mergeCell ref="H566:M566"/>
    <mergeCell ref="C548:F548"/>
    <mergeCell ref="O548:R548"/>
    <mergeCell ref="C549:F549"/>
    <mergeCell ref="O549:R549"/>
    <mergeCell ref="C550:F550"/>
    <mergeCell ref="O550:R550"/>
    <mergeCell ref="C551:F551"/>
    <mergeCell ref="O551:R551"/>
    <mergeCell ref="C552:F552"/>
    <mergeCell ref="O552:R552"/>
    <mergeCell ref="C553:F553"/>
    <mergeCell ref="O553:R553"/>
    <mergeCell ref="C554:F554"/>
    <mergeCell ref="O554:R554"/>
    <mergeCell ref="C555:F555"/>
    <mergeCell ref="O555:R555"/>
  </mergeCells>
  <phoneticPr fontId="29" type="noConversion"/>
  <pageMargins left="0.43" right="0.2" top="0.31" bottom="0.75" header="0.19" footer="0.21"/>
  <pageSetup paperSize="5" scale="75" orientation="portrait" horizontalDpi="4294967293"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A7DE-7901-486B-A69B-7C4317A20986}">
  <dimension ref="A1:S51"/>
  <sheetViews>
    <sheetView tabSelected="1" zoomScale="90" zoomScaleNormal="90" workbookViewId="0">
      <pane xSplit="2" ySplit="4" topLeftCell="C34" activePane="bottomRight" state="frozen"/>
      <selection pane="topRight" activeCell="C1" sqref="C1"/>
      <selection pane="bottomLeft" activeCell="A3" sqref="A3"/>
      <selection pane="bottomRight" activeCell="R45" sqref="R45"/>
    </sheetView>
  </sheetViews>
  <sheetFormatPr defaultRowHeight="15" x14ac:dyDescent="0.25"/>
  <cols>
    <col min="1" max="1" width="6.1640625" style="125" customWidth="1"/>
    <col min="2" max="2" width="51.6640625" style="125" customWidth="1"/>
    <col min="3" max="10" width="9.33203125" style="125"/>
    <col min="11" max="11" width="12.83203125" style="125" customWidth="1"/>
    <col min="12" max="12" width="9.33203125" style="125"/>
    <col min="13" max="13" width="12.83203125" style="125" customWidth="1"/>
    <col min="14" max="14" width="11.5" style="125" customWidth="1"/>
    <col min="15" max="15" width="14.5" style="125" customWidth="1"/>
    <col min="16" max="16384" width="9.33203125" style="125"/>
  </cols>
  <sheetData>
    <row r="1" spans="1:15" ht="18.75" x14ac:dyDescent="0.25">
      <c r="A1" s="255" t="s">
        <v>2774</v>
      </c>
      <c r="B1" s="255"/>
      <c r="C1" s="255"/>
      <c r="D1" s="255"/>
      <c r="E1" s="255"/>
      <c r="F1" s="255"/>
      <c r="G1" s="255"/>
      <c r="H1" s="255"/>
      <c r="I1" s="255"/>
      <c r="J1" s="255"/>
      <c r="K1" s="255"/>
      <c r="L1" s="255"/>
      <c r="M1" s="255"/>
      <c r="N1" s="255"/>
      <c r="O1" s="255"/>
    </row>
    <row r="3" spans="1:15" x14ac:dyDescent="0.25">
      <c r="A3" s="256" t="s">
        <v>2775</v>
      </c>
      <c r="B3" s="256" t="s">
        <v>2776</v>
      </c>
      <c r="C3" s="256" t="s">
        <v>2777</v>
      </c>
      <c r="D3" s="256"/>
      <c r="E3" s="256"/>
      <c r="F3" s="256"/>
      <c r="G3" s="256"/>
      <c r="H3" s="256"/>
      <c r="I3" s="256"/>
      <c r="J3" s="256"/>
      <c r="K3" s="256"/>
      <c r="L3" s="256"/>
      <c r="M3" s="256"/>
      <c r="N3" s="256"/>
      <c r="O3" s="256" t="s">
        <v>2778</v>
      </c>
    </row>
    <row r="4" spans="1:15" x14ac:dyDescent="0.25">
      <c r="A4" s="256"/>
      <c r="B4" s="256"/>
      <c r="C4" s="126" t="s">
        <v>2779</v>
      </c>
      <c r="D4" s="126" t="s">
        <v>2780</v>
      </c>
      <c r="E4" s="126" t="s">
        <v>2781</v>
      </c>
      <c r="F4" s="126" t="s">
        <v>2782</v>
      </c>
      <c r="G4" s="126" t="s">
        <v>2783</v>
      </c>
      <c r="H4" s="126" t="s">
        <v>2784</v>
      </c>
      <c r="I4" s="126" t="s">
        <v>2785</v>
      </c>
      <c r="J4" s="126" t="s">
        <v>2786</v>
      </c>
      <c r="K4" s="126" t="s">
        <v>2787</v>
      </c>
      <c r="L4" s="126" t="s">
        <v>2788</v>
      </c>
      <c r="M4" s="126" t="s">
        <v>2789</v>
      </c>
      <c r="N4" s="126" t="s">
        <v>2790</v>
      </c>
      <c r="O4" s="256"/>
    </row>
    <row r="5" spans="1:15" x14ac:dyDescent="0.25">
      <c r="A5" s="127">
        <v>1</v>
      </c>
      <c r="B5" s="168" t="s">
        <v>2791</v>
      </c>
      <c r="C5" s="127">
        <v>24</v>
      </c>
      <c r="D5" s="127">
        <v>25</v>
      </c>
      <c r="E5" s="127">
        <v>36</v>
      </c>
      <c r="F5" s="127">
        <v>24</v>
      </c>
      <c r="G5" s="127">
        <v>25</v>
      </c>
      <c r="H5" s="127">
        <v>20</v>
      </c>
      <c r="I5" s="127">
        <v>27</v>
      </c>
      <c r="J5" s="127">
        <v>23</v>
      </c>
      <c r="K5" s="127">
        <v>23</v>
      </c>
      <c r="L5" s="127">
        <v>23</v>
      </c>
      <c r="M5" s="127">
        <v>28</v>
      </c>
      <c r="N5" s="127">
        <v>22</v>
      </c>
      <c r="O5" s="126">
        <f>SUM(C5:N5)</f>
        <v>300</v>
      </c>
    </row>
    <row r="6" spans="1:15" x14ac:dyDescent="0.25">
      <c r="A6" s="127">
        <f>A5+1</f>
        <v>2</v>
      </c>
      <c r="B6" s="168" t="s">
        <v>2792</v>
      </c>
      <c r="C6" s="127">
        <v>5</v>
      </c>
      <c r="D6" s="127">
        <v>1</v>
      </c>
      <c r="E6" s="127">
        <v>7</v>
      </c>
      <c r="F6" s="127">
        <v>2</v>
      </c>
      <c r="G6" s="127">
        <v>5</v>
      </c>
      <c r="H6" s="127">
        <v>4</v>
      </c>
      <c r="I6" s="127">
        <v>4</v>
      </c>
      <c r="J6" s="127">
        <v>2</v>
      </c>
      <c r="K6" s="127">
        <v>7</v>
      </c>
      <c r="L6" s="127">
        <v>2</v>
      </c>
      <c r="M6" s="127">
        <v>5</v>
      </c>
      <c r="N6" s="127">
        <v>2</v>
      </c>
      <c r="O6" s="126">
        <f>SUM(C6:N6)</f>
        <v>46</v>
      </c>
    </row>
    <row r="7" spans="1:15" ht="15" customHeight="1" x14ac:dyDescent="0.25">
      <c r="A7" s="127">
        <f t="shared" ref="A7:A38" si="0">A6+1</f>
        <v>3</v>
      </c>
      <c r="B7" s="169" t="s">
        <v>2793</v>
      </c>
      <c r="C7" s="129">
        <v>2</v>
      </c>
      <c r="D7" s="129">
        <v>1</v>
      </c>
      <c r="E7" s="129">
        <v>1</v>
      </c>
      <c r="F7" s="129">
        <v>1</v>
      </c>
      <c r="G7" s="127" t="s">
        <v>2794</v>
      </c>
      <c r="H7" s="127" t="s">
        <v>2794</v>
      </c>
      <c r="I7" s="127" t="s">
        <v>2794</v>
      </c>
      <c r="J7" s="129">
        <v>2</v>
      </c>
      <c r="K7" s="127" t="s">
        <v>2794</v>
      </c>
      <c r="L7" s="129">
        <v>1</v>
      </c>
      <c r="M7" s="129">
        <v>2</v>
      </c>
      <c r="N7" s="129" t="s">
        <v>2794</v>
      </c>
      <c r="O7" s="130">
        <f>SUM(C7:N7)</f>
        <v>10</v>
      </c>
    </row>
    <row r="8" spans="1:15" x14ac:dyDescent="0.25">
      <c r="A8" s="127">
        <f t="shared" si="0"/>
        <v>4</v>
      </c>
      <c r="B8" s="170" t="s">
        <v>2795</v>
      </c>
      <c r="C8" s="127">
        <v>1</v>
      </c>
      <c r="D8" s="127" t="s">
        <v>2794</v>
      </c>
      <c r="E8" s="129" t="s">
        <v>2794</v>
      </c>
      <c r="F8" s="127" t="s">
        <v>2794</v>
      </c>
      <c r="G8" s="127" t="s">
        <v>2794</v>
      </c>
      <c r="H8" s="127">
        <v>1</v>
      </c>
      <c r="I8" s="127">
        <v>1</v>
      </c>
      <c r="J8" s="127" t="s">
        <v>2794</v>
      </c>
      <c r="K8" s="127">
        <v>1</v>
      </c>
      <c r="L8" s="127">
        <v>3</v>
      </c>
      <c r="M8" s="127">
        <v>1</v>
      </c>
      <c r="N8" s="127" t="s">
        <v>2794</v>
      </c>
      <c r="O8" s="126">
        <f>SUM(C8:N8)</f>
        <v>8</v>
      </c>
    </row>
    <row r="9" spans="1:15" x14ac:dyDescent="0.25">
      <c r="A9" s="127">
        <f t="shared" si="0"/>
        <v>5</v>
      </c>
      <c r="B9" s="171" t="s">
        <v>2796</v>
      </c>
      <c r="C9" s="127">
        <v>3</v>
      </c>
      <c r="D9" s="127">
        <v>1</v>
      </c>
      <c r="E9" s="129" t="s">
        <v>2794</v>
      </c>
      <c r="F9" s="127">
        <v>1</v>
      </c>
      <c r="G9" s="127">
        <v>1</v>
      </c>
      <c r="H9" s="127" t="s">
        <v>2794</v>
      </c>
      <c r="I9" s="127">
        <v>3</v>
      </c>
      <c r="J9" s="127">
        <v>3</v>
      </c>
      <c r="K9" s="127">
        <v>1</v>
      </c>
      <c r="L9" s="127">
        <v>5</v>
      </c>
      <c r="M9" s="127">
        <v>3</v>
      </c>
      <c r="N9" s="127">
        <v>2</v>
      </c>
      <c r="O9" s="126">
        <f>SUM(C9:N9)</f>
        <v>23</v>
      </c>
    </row>
    <row r="10" spans="1:15" x14ac:dyDescent="0.25">
      <c r="A10" s="127">
        <f t="shared" si="0"/>
        <v>6</v>
      </c>
      <c r="B10" s="171" t="s">
        <v>2797</v>
      </c>
      <c r="C10" s="127">
        <v>2</v>
      </c>
      <c r="D10" s="127">
        <v>1</v>
      </c>
      <c r="E10" s="127">
        <v>3</v>
      </c>
      <c r="F10" s="127">
        <v>4</v>
      </c>
      <c r="G10" s="127">
        <v>3</v>
      </c>
      <c r="H10" s="127">
        <v>1</v>
      </c>
      <c r="I10" s="127">
        <v>4</v>
      </c>
      <c r="J10" s="127">
        <v>1</v>
      </c>
      <c r="K10" s="127">
        <v>3</v>
      </c>
      <c r="L10" s="127" t="s">
        <v>2794</v>
      </c>
      <c r="M10" s="127" t="s">
        <v>2794</v>
      </c>
      <c r="N10" s="127" t="s">
        <v>2794</v>
      </c>
      <c r="O10" s="126">
        <f t="shared" ref="O10:O36" si="1">SUM(C10:N10)</f>
        <v>22</v>
      </c>
    </row>
    <row r="11" spans="1:15" x14ac:dyDescent="0.25">
      <c r="A11" s="127">
        <f t="shared" si="0"/>
        <v>7</v>
      </c>
      <c r="B11" s="171" t="s">
        <v>2798</v>
      </c>
      <c r="C11" s="127" t="s">
        <v>2794</v>
      </c>
      <c r="D11" s="129">
        <v>1</v>
      </c>
      <c r="E11" s="129" t="s">
        <v>2794</v>
      </c>
      <c r="F11" s="127" t="s">
        <v>2794</v>
      </c>
      <c r="G11" s="127" t="s">
        <v>2794</v>
      </c>
      <c r="H11" s="127" t="s">
        <v>2794</v>
      </c>
      <c r="I11" s="127">
        <v>1</v>
      </c>
      <c r="J11" s="127" t="s">
        <v>2794</v>
      </c>
      <c r="K11" s="127" t="s">
        <v>2794</v>
      </c>
      <c r="L11" s="127">
        <v>1</v>
      </c>
      <c r="M11" s="127" t="s">
        <v>2794</v>
      </c>
      <c r="N11" s="127" t="s">
        <v>2794</v>
      </c>
      <c r="O11" s="126">
        <f t="shared" si="1"/>
        <v>3</v>
      </c>
    </row>
    <row r="12" spans="1:15" x14ac:dyDescent="0.25">
      <c r="A12" s="127">
        <f t="shared" si="0"/>
        <v>8</v>
      </c>
      <c r="B12" s="171" t="s">
        <v>2799</v>
      </c>
      <c r="C12" s="127">
        <v>1</v>
      </c>
      <c r="D12" s="129" t="s">
        <v>2794</v>
      </c>
      <c r="E12" s="129" t="s">
        <v>2794</v>
      </c>
      <c r="F12" s="127">
        <v>2</v>
      </c>
      <c r="G12" s="127">
        <v>1</v>
      </c>
      <c r="H12" s="127" t="s">
        <v>2794</v>
      </c>
      <c r="I12" s="127">
        <v>2</v>
      </c>
      <c r="J12" s="127">
        <v>2</v>
      </c>
      <c r="K12" s="127" t="s">
        <v>2794</v>
      </c>
      <c r="L12" s="127" t="s">
        <v>2794</v>
      </c>
      <c r="M12" s="127">
        <v>1</v>
      </c>
      <c r="N12" s="127">
        <v>1</v>
      </c>
      <c r="O12" s="126">
        <f t="shared" si="1"/>
        <v>10</v>
      </c>
    </row>
    <row r="13" spans="1:15" x14ac:dyDescent="0.25">
      <c r="A13" s="127">
        <f t="shared" si="0"/>
        <v>9</v>
      </c>
      <c r="B13" s="171" t="s">
        <v>2800</v>
      </c>
      <c r="C13" s="127" t="s">
        <v>2794</v>
      </c>
      <c r="D13" s="129" t="s">
        <v>2794</v>
      </c>
      <c r="E13" s="129" t="s">
        <v>2794</v>
      </c>
      <c r="F13" s="127" t="s">
        <v>2794</v>
      </c>
      <c r="G13" s="127" t="s">
        <v>2794</v>
      </c>
      <c r="H13" s="127" t="s">
        <v>2794</v>
      </c>
      <c r="I13" s="127" t="s">
        <v>2794</v>
      </c>
      <c r="J13" s="127" t="s">
        <v>2794</v>
      </c>
      <c r="K13" s="127" t="s">
        <v>2794</v>
      </c>
      <c r="L13" s="127" t="s">
        <v>2794</v>
      </c>
      <c r="M13" s="127" t="s">
        <v>2794</v>
      </c>
      <c r="N13" s="127" t="s">
        <v>2794</v>
      </c>
      <c r="O13" s="126">
        <f>SUM(C13:N13)</f>
        <v>0</v>
      </c>
    </row>
    <row r="14" spans="1:15" x14ac:dyDescent="0.25">
      <c r="A14" s="127">
        <f t="shared" si="0"/>
        <v>10</v>
      </c>
      <c r="B14" s="171" t="s">
        <v>2801</v>
      </c>
      <c r="C14" s="127" t="s">
        <v>2794</v>
      </c>
      <c r="D14" s="129" t="s">
        <v>2794</v>
      </c>
      <c r="E14" s="129" t="s">
        <v>2794</v>
      </c>
      <c r="F14" s="129" t="s">
        <v>2794</v>
      </c>
      <c r="G14" s="127" t="s">
        <v>2794</v>
      </c>
      <c r="H14" s="127" t="s">
        <v>2794</v>
      </c>
      <c r="I14" s="127" t="s">
        <v>2794</v>
      </c>
      <c r="J14" s="129">
        <v>1</v>
      </c>
      <c r="K14" s="127" t="s">
        <v>2794</v>
      </c>
      <c r="L14" s="127" t="s">
        <v>2794</v>
      </c>
      <c r="M14" s="129" t="s">
        <v>2794</v>
      </c>
      <c r="N14" s="127" t="s">
        <v>2794</v>
      </c>
      <c r="O14" s="126">
        <f t="shared" si="1"/>
        <v>1</v>
      </c>
    </row>
    <row r="15" spans="1:15" x14ac:dyDescent="0.25">
      <c r="A15" s="127">
        <f t="shared" si="0"/>
        <v>11</v>
      </c>
      <c r="B15" s="171" t="s">
        <v>2802</v>
      </c>
      <c r="C15" s="127" t="s">
        <v>2794</v>
      </c>
      <c r="D15" s="129" t="s">
        <v>2794</v>
      </c>
      <c r="E15" s="129" t="s">
        <v>2794</v>
      </c>
      <c r="F15" s="129" t="s">
        <v>2794</v>
      </c>
      <c r="G15" s="127" t="s">
        <v>2794</v>
      </c>
      <c r="H15" s="127" t="s">
        <v>2794</v>
      </c>
      <c r="I15" s="127" t="s">
        <v>2794</v>
      </c>
      <c r="J15" s="127" t="s">
        <v>2794</v>
      </c>
      <c r="K15" s="127" t="s">
        <v>2794</v>
      </c>
      <c r="L15" s="127" t="s">
        <v>2794</v>
      </c>
      <c r="M15" s="129" t="s">
        <v>2794</v>
      </c>
      <c r="N15" s="127" t="s">
        <v>2794</v>
      </c>
      <c r="O15" s="126">
        <f t="shared" si="1"/>
        <v>0</v>
      </c>
    </row>
    <row r="16" spans="1:15" x14ac:dyDescent="0.25">
      <c r="A16" s="127">
        <f t="shared" si="0"/>
        <v>12</v>
      </c>
      <c r="B16" s="171" t="s">
        <v>2803</v>
      </c>
      <c r="C16" s="127" t="s">
        <v>2794</v>
      </c>
      <c r="D16" s="129" t="s">
        <v>2794</v>
      </c>
      <c r="E16" s="129" t="s">
        <v>2794</v>
      </c>
      <c r="F16" s="129" t="s">
        <v>2794</v>
      </c>
      <c r="G16" s="127" t="s">
        <v>2794</v>
      </c>
      <c r="H16" s="127" t="s">
        <v>2794</v>
      </c>
      <c r="I16" s="127" t="s">
        <v>2794</v>
      </c>
      <c r="J16" s="129">
        <v>1</v>
      </c>
      <c r="K16" s="127" t="s">
        <v>2794</v>
      </c>
      <c r="L16" s="127" t="s">
        <v>2794</v>
      </c>
      <c r="M16" s="129" t="s">
        <v>2794</v>
      </c>
      <c r="N16" s="127" t="s">
        <v>2794</v>
      </c>
      <c r="O16" s="126">
        <f t="shared" si="1"/>
        <v>1</v>
      </c>
    </row>
    <row r="17" spans="1:19" x14ac:dyDescent="0.25">
      <c r="A17" s="127">
        <f t="shared" si="0"/>
        <v>13</v>
      </c>
      <c r="B17" s="171" t="s">
        <v>2804</v>
      </c>
      <c r="C17" s="127" t="s">
        <v>2794</v>
      </c>
      <c r="D17" s="129" t="s">
        <v>2794</v>
      </c>
      <c r="E17" s="129" t="s">
        <v>2794</v>
      </c>
      <c r="F17" s="129" t="s">
        <v>2794</v>
      </c>
      <c r="G17" s="127" t="s">
        <v>2794</v>
      </c>
      <c r="H17" s="127" t="s">
        <v>2794</v>
      </c>
      <c r="I17" s="127" t="s">
        <v>2794</v>
      </c>
      <c r="J17" s="127" t="s">
        <v>2794</v>
      </c>
      <c r="K17" s="127" t="s">
        <v>2794</v>
      </c>
      <c r="L17" s="129">
        <v>1</v>
      </c>
      <c r="M17" s="129" t="s">
        <v>2794</v>
      </c>
      <c r="N17" s="127" t="s">
        <v>2794</v>
      </c>
      <c r="O17" s="126">
        <f t="shared" si="1"/>
        <v>1</v>
      </c>
    </row>
    <row r="18" spans="1:19" x14ac:dyDescent="0.25">
      <c r="A18" s="127">
        <f t="shared" si="0"/>
        <v>14</v>
      </c>
      <c r="B18" s="171" t="s">
        <v>2805</v>
      </c>
      <c r="C18" s="127" t="s">
        <v>2794</v>
      </c>
      <c r="D18" s="129" t="s">
        <v>2794</v>
      </c>
      <c r="E18" s="129" t="s">
        <v>2794</v>
      </c>
      <c r="F18" s="129">
        <v>1</v>
      </c>
      <c r="G18" s="127" t="s">
        <v>2794</v>
      </c>
      <c r="H18" s="127" t="s">
        <v>2794</v>
      </c>
      <c r="I18" s="127" t="s">
        <v>2794</v>
      </c>
      <c r="J18" s="127" t="s">
        <v>2794</v>
      </c>
      <c r="K18" s="127" t="s">
        <v>2794</v>
      </c>
      <c r="L18" s="129" t="s">
        <v>2794</v>
      </c>
      <c r="M18" s="129" t="s">
        <v>2794</v>
      </c>
      <c r="N18" s="127" t="s">
        <v>2794</v>
      </c>
      <c r="O18" s="126">
        <f t="shared" si="1"/>
        <v>1</v>
      </c>
      <c r="S18" s="125">
        <f>SUM(O5:O18)</f>
        <v>426</v>
      </c>
    </row>
    <row r="19" spans="1:19" x14ac:dyDescent="0.25">
      <c r="A19" s="127">
        <f t="shared" si="0"/>
        <v>15</v>
      </c>
      <c r="B19" s="172" t="s">
        <v>2807</v>
      </c>
      <c r="C19" s="127">
        <v>2</v>
      </c>
      <c r="D19" s="129">
        <v>1</v>
      </c>
      <c r="E19" s="129">
        <v>2</v>
      </c>
      <c r="F19" s="129" t="s">
        <v>2794</v>
      </c>
      <c r="G19" s="127" t="s">
        <v>2794</v>
      </c>
      <c r="H19" s="127" t="s">
        <v>2794</v>
      </c>
      <c r="I19" s="127" t="s">
        <v>2794</v>
      </c>
      <c r="J19" s="127" t="s">
        <v>2794</v>
      </c>
      <c r="K19" s="129">
        <v>1</v>
      </c>
      <c r="L19" s="129">
        <v>3</v>
      </c>
      <c r="M19" s="129" t="s">
        <v>2794</v>
      </c>
      <c r="N19" s="127" t="s">
        <v>2794</v>
      </c>
      <c r="O19" s="126">
        <f t="shared" si="1"/>
        <v>9</v>
      </c>
    </row>
    <row r="20" spans="1:19" x14ac:dyDescent="0.25">
      <c r="A20" s="127">
        <f t="shared" si="0"/>
        <v>16</v>
      </c>
      <c r="B20" s="173" t="s">
        <v>2806</v>
      </c>
      <c r="C20" s="127" t="s">
        <v>2794</v>
      </c>
      <c r="D20" s="129">
        <v>2</v>
      </c>
      <c r="E20" s="129">
        <v>1</v>
      </c>
      <c r="F20" s="129">
        <v>1</v>
      </c>
      <c r="G20" s="127" t="s">
        <v>2794</v>
      </c>
      <c r="H20" s="127" t="s">
        <v>2794</v>
      </c>
      <c r="I20" s="127" t="s">
        <v>2794</v>
      </c>
      <c r="J20" s="129">
        <v>2</v>
      </c>
      <c r="K20" s="127" t="s">
        <v>2794</v>
      </c>
      <c r="L20" s="129">
        <v>1</v>
      </c>
      <c r="M20" s="129">
        <v>2</v>
      </c>
      <c r="N20" s="127" t="s">
        <v>2794</v>
      </c>
      <c r="O20" s="126">
        <f t="shared" ref="O20" si="2">SUM(C20:N20)</f>
        <v>9</v>
      </c>
    </row>
    <row r="21" spans="1:19" x14ac:dyDescent="0.25">
      <c r="A21" s="127">
        <f t="shared" si="0"/>
        <v>17</v>
      </c>
      <c r="B21" s="173" t="s">
        <v>2808</v>
      </c>
      <c r="C21" s="127">
        <v>4</v>
      </c>
      <c r="D21" s="129">
        <v>2</v>
      </c>
      <c r="E21" s="129">
        <v>1</v>
      </c>
      <c r="F21" s="129" t="s">
        <v>2794</v>
      </c>
      <c r="G21" s="129">
        <v>2</v>
      </c>
      <c r="H21" s="129">
        <v>3</v>
      </c>
      <c r="I21" s="129">
        <v>4</v>
      </c>
      <c r="J21" s="129">
        <v>7</v>
      </c>
      <c r="K21" s="129">
        <v>5</v>
      </c>
      <c r="L21" s="129">
        <v>6</v>
      </c>
      <c r="M21" s="129">
        <v>3</v>
      </c>
      <c r="N21" s="129">
        <v>5</v>
      </c>
      <c r="O21" s="126">
        <f t="shared" si="1"/>
        <v>42</v>
      </c>
    </row>
    <row r="22" spans="1:19" x14ac:dyDescent="0.25">
      <c r="A22" s="127">
        <f t="shared" si="0"/>
        <v>18</v>
      </c>
      <c r="B22" s="173" t="s">
        <v>2809</v>
      </c>
      <c r="C22" s="127" t="s">
        <v>2794</v>
      </c>
      <c r="D22" s="129" t="s">
        <v>2794</v>
      </c>
      <c r="E22" s="129" t="s">
        <v>2794</v>
      </c>
      <c r="F22" s="129">
        <v>2</v>
      </c>
      <c r="G22" s="129"/>
      <c r="H22" s="127" t="s">
        <v>2794</v>
      </c>
      <c r="I22" s="127" t="s">
        <v>2794</v>
      </c>
      <c r="J22" s="129">
        <v>1</v>
      </c>
      <c r="K22" s="129">
        <v>1</v>
      </c>
      <c r="L22" s="129" t="s">
        <v>2794</v>
      </c>
      <c r="M22" s="129">
        <v>1</v>
      </c>
      <c r="N22" s="129" t="s">
        <v>2794</v>
      </c>
      <c r="O22" s="126">
        <f t="shared" si="1"/>
        <v>5</v>
      </c>
    </row>
    <row r="23" spans="1:19" ht="28.5" customHeight="1" x14ac:dyDescent="0.25">
      <c r="A23" s="127">
        <f t="shared" si="0"/>
        <v>19</v>
      </c>
      <c r="B23" s="173" t="s">
        <v>2810</v>
      </c>
      <c r="C23" s="127">
        <v>1</v>
      </c>
      <c r="D23" s="129" t="s">
        <v>2794</v>
      </c>
      <c r="E23" s="129" t="s">
        <v>2794</v>
      </c>
      <c r="F23" s="129">
        <v>1</v>
      </c>
      <c r="G23" s="129">
        <v>1</v>
      </c>
      <c r="H23" s="127" t="s">
        <v>2794</v>
      </c>
      <c r="I23" s="127" t="s">
        <v>2794</v>
      </c>
      <c r="J23" s="127" t="s">
        <v>2794</v>
      </c>
      <c r="K23" s="129">
        <v>1</v>
      </c>
      <c r="L23" s="129" t="s">
        <v>2794</v>
      </c>
      <c r="M23" s="129">
        <v>2</v>
      </c>
      <c r="N23" s="129">
        <v>1</v>
      </c>
      <c r="O23" s="126">
        <f t="shared" si="1"/>
        <v>7</v>
      </c>
    </row>
    <row r="24" spans="1:19" x14ac:dyDescent="0.25">
      <c r="A24" s="127">
        <f t="shared" si="0"/>
        <v>20</v>
      </c>
      <c r="B24" s="173" t="s">
        <v>2811</v>
      </c>
      <c r="C24" s="127" t="s">
        <v>2794</v>
      </c>
      <c r="D24" s="129" t="s">
        <v>2794</v>
      </c>
      <c r="E24" s="129">
        <v>2</v>
      </c>
      <c r="F24" s="129">
        <v>1</v>
      </c>
      <c r="G24" s="127" t="s">
        <v>2794</v>
      </c>
      <c r="H24" s="129">
        <v>2</v>
      </c>
      <c r="I24" s="129">
        <v>2</v>
      </c>
      <c r="J24" s="129">
        <v>1</v>
      </c>
      <c r="K24" s="129">
        <v>2</v>
      </c>
      <c r="L24" s="129">
        <v>2</v>
      </c>
      <c r="M24" s="129">
        <v>3</v>
      </c>
      <c r="N24" s="129">
        <v>5</v>
      </c>
      <c r="O24" s="126">
        <f t="shared" si="1"/>
        <v>20</v>
      </c>
    </row>
    <row r="25" spans="1:19" x14ac:dyDescent="0.25">
      <c r="A25" s="127">
        <f t="shared" si="0"/>
        <v>21</v>
      </c>
      <c r="B25" s="173" t="s">
        <v>2812</v>
      </c>
      <c r="C25" s="127" t="s">
        <v>2794</v>
      </c>
      <c r="D25" s="129">
        <v>1</v>
      </c>
      <c r="E25" s="129" t="s">
        <v>2794</v>
      </c>
      <c r="F25" s="129" t="s">
        <v>2794</v>
      </c>
      <c r="G25" s="127" t="s">
        <v>2794</v>
      </c>
      <c r="H25" s="127" t="s">
        <v>2794</v>
      </c>
      <c r="I25" s="127" t="s">
        <v>2794</v>
      </c>
      <c r="J25" s="127" t="s">
        <v>2794</v>
      </c>
      <c r="K25" s="127" t="s">
        <v>2794</v>
      </c>
      <c r="L25" s="129" t="s">
        <v>2794</v>
      </c>
      <c r="M25" s="129">
        <v>1</v>
      </c>
      <c r="N25" s="129" t="s">
        <v>2794</v>
      </c>
      <c r="O25" s="126">
        <f t="shared" si="1"/>
        <v>2</v>
      </c>
    </row>
    <row r="26" spans="1:19" x14ac:dyDescent="0.25">
      <c r="A26" s="127">
        <f t="shared" si="0"/>
        <v>22</v>
      </c>
      <c r="B26" s="173" t="s">
        <v>2813</v>
      </c>
      <c r="C26" s="127" t="s">
        <v>2794</v>
      </c>
      <c r="D26" s="129">
        <v>1</v>
      </c>
      <c r="E26" s="129" t="s">
        <v>2794</v>
      </c>
      <c r="F26" s="129" t="s">
        <v>2794</v>
      </c>
      <c r="G26" s="127" t="s">
        <v>2794</v>
      </c>
      <c r="H26" s="127" t="s">
        <v>2794</v>
      </c>
      <c r="I26" s="127" t="s">
        <v>2794</v>
      </c>
      <c r="J26" s="127" t="s">
        <v>2794</v>
      </c>
      <c r="K26" s="127" t="s">
        <v>2794</v>
      </c>
      <c r="L26" s="129" t="s">
        <v>2794</v>
      </c>
      <c r="M26" s="129" t="s">
        <v>2794</v>
      </c>
      <c r="N26" s="129" t="s">
        <v>2794</v>
      </c>
      <c r="O26" s="126">
        <f t="shared" si="1"/>
        <v>1</v>
      </c>
    </row>
    <row r="27" spans="1:19" ht="30" x14ac:dyDescent="0.25">
      <c r="A27" s="127">
        <f t="shared" si="0"/>
        <v>23</v>
      </c>
      <c r="B27" s="173" t="s">
        <v>2814</v>
      </c>
      <c r="C27" s="127" t="s">
        <v>2794</v>
      </c>
      <c r="D27" s="129" t="s">
        <v>2794</v>
      </c>
      <c r="E27" s="129">
        <v>1</v>
      </c>
      <c r="F27" s="129">
        <v>1</v>
      </c>
      <c r="G27" s="127" t="s">
        <v>2794</v>
      </c>
      <c r="H27" s="127" t="s">
        <v>2794</v>
      </c>
      <c r="I27" s="127" t="s">
        <v>2794</v>
      </c>
      <c r="J27" s="129">
        <v>1</v>
      </c>
      <c r="K27" s="129">
        <v>1</v>
      </c>
      <c r="L27" s="129">
        <v>1</v>
      </c>
      <c r="M27" s="129" t="s">
        <v>2794</v>
      </c>
      <c r="N27" s="129" t="s">
        <v>2794</v>
      </c>
      <c r="O27" s="126">
        <f t="shared" si="1"/>
        <v>5</v>
      </c>
    </row>
    <row r="28" spans="1:19" x14ac:dyDescent="0.25">
      <c r="A28" s="127">
        <f t="shared" si="0"/>
        <v>24</v>
      </c>
      <c r="B28" s="173" t="s">
        <v>2815</v>
      </c>
      <c r="C28" s="127" t="s">
        <v>2794</v>
      </c>
      <c r="D28" s="129" t="s">
        <v>2794</v>
      </c>
      <c r="E28" s="129" t="s">
        <v>2794</v>
      </c>
      <c r="F28" s="129" t="s">
        <v>2794</v>
      </c>
      <c r="G28" s="127" t="s">
        <v>2794</v>
      </c>
      <c r="H28" s="127" t="s">
        <v>2794</v>
      </c>
      <c r="I28" s="129">
        <v>1</v>
      </c>
      <c r="J28" s="127" t="s">
        <v>2794</v>
      </c>
      <c r="K28" s="129">
        <v>1</v>
      </c>
      <c r="L28" s="129" t="s">
        <v>2794</v>
      </c>
      <c r="M28" s="129" t="s">
        <v>2794</v>
      </c>
      <c r="N28" s="129" t="s">
        <v>2794</v>
      </c>
      <c r="O28" s="126">
        <f t="shared" si="1"/>
        <v>2</v>
      </c>
    </row>
    <row r="29" spans="1:19" x14ac:dyDescent="0.25">
      <c r="A29" s="127">
        <f t="shared" si="0"/>
        <v>25</v>
      </c>
      <c r="B29" s="173" t="s">
        <v>1846</v>
      </c>
      <c r="C29" s="127" t="s">
        <v>2794</v>
      </c>
      <c r="D29" s="129" t="s">
        <v>2794</v>
      </c>
      <c r="E29" s="129" t="s">
        <v>2794</v>
      </c>
      <c r="F29" s="129" t="s">
        <v>2794</v>
      </c>
      <c r="G29" s="129">
        <v>1</v>
      </c>
      <c r="H29" s="127" t="s">
        <v>2794</v>
      </c>
      <c r="I29" s="127" t="s">
        <v>2794</v>
      </c>
      <c r="J29" s="129">
        <v>1</v>
      </c>
      <c r="K29" s="127" t="s">
        <v>2794</v>
      </c>
      <c r="L29" s="129" t="s">
        <v>2794</v>
      </c>
      <c r="M29" s="129" t="s">
        <v>2794</v>
      </c>
      <c r="N29" s="129" t="s">
        <v>2794</v>
      </c>
      <c r="O29" s="126">
        <f t="shared" si="1"/>
        <v>2</v>
      </c>
    </row>
    <row r="30" spans="1:19" x14ac:dyDescent="0.25">
      <c r="A30" s="127">
        <f t="shared" si="0"/>
        <v>26</v>
      </c>
      <c r="B30" s="174" t="s">
        <v>2816</v>
      </c>
      <c r="C30" s="127" t="s">
        <v>2794</v>
      </c>
      <c r="D30" s="129" t="s">
        <v>2794</v>
      </c>
      <c r="E30" s="129" t="s">
        <v>2794</v>
      </c>
      <c r="F30" s="129" t="s">
        <v>2794</v>
      </c>
      <c r="G30" s="127" t="s">
        <v>2794</v>
      </c>
      <c r="H30" s="129">
        <v>1</v>
      </c>
      <c r="I30" s="127" t="s">
        <v>2794</v>
      </c>
      <c r="J30" s="127" t="s">
        <v>2794</v>
      </c>
      <c r="K30" s="127" t="s">
        <v>2794</v>
      </c>
      <c r="L30" s="129" t="s">
        <v>2794</v>
      </c>
      <c r="M30" s="129" t="s">
        <v>2794</v>
      </c>
      <c r="N30" s="129" t="s">
        <v>2794</v>
      </c>
      <c r="O30" s="126">
        <f t="shared" si="1"/>
        <v>1</v>
      </c>
    </row>
    <row r="31" spans="1:19" x14ac:dyDescent="0.25">
      <c r="A31" s="127">
        <f t="shared" si="0"/>
        <v>27</v>
      </c>
      <c r="B31" s="174" t="s">
        <v>1907</v>
      </c>
      <c r="C31" s="127" t="s">
        <v>2794</v>
      </c>
      <c r="D31" s="129" t="s">
        <v>2794</v>
      </c>
      <c r="E31" s="129" t="s">
        <v>2794</v>
      </c>
      <c r="F31" s="129" t="s">
        <v>2794</v>
      </c>
      <c r="G31" s="127" t="s">
        <v>2794</v>
      </c>
      <c r="H31" s="127" t="s">
        <v>2794</v>
      </c>
      <c r="I31" s="127" t="s">
        <v>2794</v>
      </c>
      <c r="J31" s="127" t="s">
        <v>2794</v>
      </c>
      <c r="K31" s="129">
        <v>1</v>
      </c>
      <c r="L31" s="129" t="s">
        <v>2794</v>
      </c>
      <c r="M31" s="129">
        <v>2</v>
      </c>
      <c r="N31" s="129" t="s">
        <v>2794</v>
      </c>
      <c r="O31" s="126">
        <f t="shared" si="1"/>
        <v>3</v>
      </c>
    </row>
    <row r="32" spans="1:19" x14ac:dyDescent="0.25">
      <c r="A32" s="127">
        <f t="shared" si="0"/>
        <v>28</v>
      </c>
      <c r="B32" s="173" t="s">
        <v>2817</v>
      </c>
      <c r="C32" s="127" t="s">
        <v>2794</v>
      </c>
      <c r="D32" s="129" t="s">
        <v>2794</v>
      </c>
      <c r="E32" s="129" t="s">
        <v>2794</v>
      </c>
      <c r="F32" s="129" t="s">
        <v>2794</v>
      </c>
      <c r="G32" s="127" t="s">
        <v>2794</v>
      </c>
      <c r="H32" s="129">
        <v>1</v>
      </c>
      <c r="I32" s="129">
        <v>1</v>
      </c>
      <c r="J32" s="127" t="s">
        <v>2794</v>
      </c>
      <c r="K32" s="127" t="s">
        <v>2794</v>
      </c>
      <c r="L32" s="129" t="s">
        <v>2794</v>
      </c>
      <c r="M32" s="129" t="s">
        <v>2794</v>
      </c>
      <c r="N32" s="129" t="s">
        <v>2794</v>
      </c>
      <c r="O32" s="126">
        <f t="shared" si="1"/>
        <v>2</v>
      </c>
    </row>
    <row r="33" spans="1:16" x14ac:dyDescent="0.25">
      <c r="A33" s="127">
        <f t="shared" si="0"/>
        <v>29</v>
      </c>
      <c r="B33" s="173" t="s">
        <v>2820</v>
      </c>
      <c r="C33" s="127" t="s">
        <v>2794</v>
      </c>
      <c r="D33" s="129" t="s">
        <v>2794</v>
      </c>
      <c r="E33" s="129" t="s">
        <v>2794</v>
      </c>
      <c r="F33" s="129" t="s">
        <v>2794</v>
      </c>
      <c r="G33" s="127" t="s">
        <v>2794</v>
      </c>
      <c r="H33" s="129">
        <v>1</v>
      </c>
      <c r="I33" s="127" t="s">
        <v>2794</v>
      </c>
      <c r="J33" s="127" t="s">
        <v>2794</v>
      </c>
      <c r="K33" s="127" t="s">
        <v>2794</v>
      </c>
      <c r="L33" s="129" t="s">
        <v>2794</v>
      </c>
      <c r="M33" s="129" t="s">
        <v>2794</v>
      </c>
      <c r="N33" s="129" t="s">
        <v>2794</v>
      </c>
      <c r="O33" s="126">
        <f t="shared" si="1"/>
        <v>1</v>
      </c>
    </row>
    <row r="34" spans="1:16" x14ac:dyDescent="0.25">
      <c r="A34" s="127">
        <f t="shared" si="0"/>
        <v>30</v>
      </c>
      <c r="B34" s="173" t="s">
        <v>2821</v>
      </c>
      <c r="C34" s="127" t="s">
        <v>2794</v>
      </c>
      <c r="D34" s="129" t="s">
        <v>2794</v>
      </c>
      <c r="E34" s="129" t="s">
        <v>2794</v>
      </c>
      <c r="F34" s="129" t="s">
        <v>2794</v>
      </c>
      <c r="G34" s="127" t="s">
        <v>2794</v>
      </c>
      <c r="H34" s="127" t="s">
        <v>2794</v>
      </c>
      <c r="I34" s="127" t="s">
        <v>2794</v>
      </c>
      <c r="J34" s="129">
        <v>1</v>
      </c>
      <c r="K34" s="127" t="s">
        <v>2794</v>
      </c>
      <c r="L34" s="129" t="s">
        <v>2794</v>
      </c>
      <c r="M34" s="129" t="s">
        <v>2794</v>
      </c>
      <c r="N34" s="129" t="s">
        <v>2794</v>
      </c>
      <c r="O34" s="126">
        <f t="shared" si="1"/>
        <v>1</v>
      </c>
    </row>
    <row r="35" spans="1:16" x14ac:dyDescent="0.25">
      <c r="A35" s="127">
        <f t="shared" si="0"/>
        <v>31</v>
      </c>
      <c r="B35" s="173" t="s">
        <v>2822</v>
      </c>
      <c r="C35" s="127" t="s">
        <v>2794</v>
      </c>
      <c r="D35" s="129" t="s">
        <v>2794</v>
      </c>
      <c r="E35" s="129" t="s">
        <v>2794</v>
      </c>
      <c r="F35" s="129" t="s">
        <v>2794</v>
      </c>
      <c r="G35" s="127" t="s">
        <v>2794</v>
      </c>
      <c r="H35" s="127" t="s">
        <v>2794</v>
      </c>
      <c r="I35" s="127" t="s">
        <v>2794</v>
      </c>
      <c r="J35" s="129" t="s">
        <v>2794</v>
      </c>
      <c r="K35" s="127" t="s">
        <v>2794</v>
      </c>
      <c r="L35" s="129">
        <v>1</v>
      </c>
      <c r="M35" s="129" t="s">
        <v>2794</v>
      </c>
      <c r="N35" s="129" t="s">
        <v>2794</v>
      </c>
      <c r="O35" s="126">
        <f t="shared" si="1"/>
        <v>1</v>
      </c>
    </row>
    <row r="36" spans="1:16" x14ac:dyDescent="0.25">
      <c r="A36" s="127">
        <f t="shared" si="0"/>
        <v>32</v>
      </c>
      <c r="B36" s="173" t="s">
        <v>2823</v>
      </c>
      <c r="C36" s="127" t="s">
        <v>2794</v>
      </c>
      <c r="D36" s="129" t="s">
        <v>2794</v>
      </c>
      <c r="E36" s="129" t="s">
        <v>2794</v>
      </c>
      <c r="F36" s="129" t="s">
        <v>2794</v>
      </c>
      <c r="G36" s="127" t="s">
        <v>2794</v>
      </c>
      <c r="H36" s="127" t="s">
        <v>2794</v>
      </c>
      <c r="I36" s="127" t="s">
        <v>2794</v>
      </c>
      <c r="J36" s="129" t="s">
        <v>2794</v>
      </c>
      <c r="K36" s="127" t="s">
        <v>2794</v>
      </c>
      <c r="L36" s="129">
        <v>1</v>
      </c>
      <c r="M36" s="129" t="s">
        <v>2794</v>
      </c>
      <c r="N36" s="129" t="s">
        <v>2794</v>
      </c>
      <c r="O36" s="126">
        <f t="shared" si="1"/>
        <v>1</v>
      </c>
    </row>
    <row r="37" spans="1:16" x14ac:dyDescent="0.25">
      <c r="A37" s="127">
        <f t="shared" si="0"/>
        <v>33</v>
      </c>
      <c r="B37" s="167" t="s">
        <v>2818</v>
      </c>
      <c r="C37" s="127" t="s">
        <v>2794</v>
      </c>
      <c r="D37" s="129" t="s">
        <v>2794</v>
      </c>
      <c r="E37" s="129" t="s">
        <v>2794</v>
      </c>
      <c r="F37" s="129" t="s">
        <v>2794</v>
      </c>
      <c r="G37" s="127" t="s">
        <v>2794</v>
      </c>
      <c r="H37" s="129">
        <v>1</v>
      </c>
      <c r="I37" s="127" t="s">
        <v>2794</v>
      </c>
      <c r="J37" s="127" t="s">
        <v>2794</v>
      </c>
      <c r="K37" s="127" t="s">
        <v>2794</v>
      </c>
      <c r="L37" s="129" t="s">
        <v>2794</v>
      </c>
      <c r="M37" s="129" t="s">
        <v>2794</v>
      </c>
      <c r="N37" s="129" t="s">
        <v>2794</v>
      </c>
      <c r="O37" s="126">
        <f t="shared" ref="O37:O38" si="3">SUM(C37:N37)</f>
        <v>1</v>
      </c>
    </row>
    <row r="38" spans="1:16" x14ac:dyDescent="0.25">
      <c r="A38" s="127">
        <f t="shared" si="0"/>
        <v>34</v>
      </c>
      <c r="B38" s="167" t="s">
        <v>2819</v>
      </c>
      <c r="C38" s="127" t="s">
        <v>2794</v>
      </c>
      <c r="D38" s="129" t="s">
        <v>2794</v>
      </c>
      <c r="E38" s="129" t="s">
        <v>2794</v>
      </c>
      <c r="F38" s="129" t="s">
        <v>2794</v>
      </c>
      <c r="G38" s="127" t="s">
        <v>2794</v>
      </c>
      <c r="H38" s="129" t="s">
        <v>2794</v>
      </c>
      <c r="I38" s="127" t="s">
        <v>2794</v>
      </c>
      <c r="J38" s="127" t="s">
        <v>2794</v>
      </c>
      <c r="K38" s="127" t="s">
        <v>2794</v>
      </c>
      <c r="L38" s="129">
        <v>1</v>
      </c>
      <c r="M38" s="129" t="s">
        <v>2794</v>
      </c>
      <c r="N38" s="129" t="s">
        <v>2794</v>
      </c>
      <c r="O38" s="126">
        <f t="shared" si="3"/>
        <v>1</v>
      </c>
    </row>
    <row r="39" spans="1:16" x14ac:dyDescent="0.25">
      <c r="A39" s="131"/>
      <c r="B39" s="126" t="s">
        <v>20</v>
      </c>
      <c r="C39" s="126">
        <f>SUM(C5:C38)</f>
        <v>45</v>
      </c>
      <c r="D39" s="126">
        <f t="shared" ref="D39:N39" si="4">SUM(D5:D38)</f>
        <v>37</v>
      </c>
      <c r="E39" s="126">
        <f t="shared" si="4"/>
        <v>54</v>
      </c>
      <c r="F39" s="126">
        <f t="shared" si="4"/>
        <v>41</v>
      </c>
      <c r="G39" s="126">
        <f t="shared" si="4"/>
        <v>39</v>
      </c>
      <c r="H39" s="126">
        <f t="shared" si="4"/>
        <v>35</v>
      </c>
      <c r="I39" s="126">
        <f t="shared" si="4"/>
        <v>50</v>
      </c>
      <c r="J39" s="126">
        <f t="shared" si="4"/>
        <v>49</v>
      </c>
      <c r="K39" s="126">
        <f t="shared" si="4"/>
        <v>48</v>
      </c>
      <c r="L39" s="126">
        <f t="shared" si="4"/>
        <v>52</v>
      </c>
      <c r="M39" s="126">
        <f t="shared" si="4"/>
        <v>54</v>
      </c>
      <c r="N39" s="126">
        <f t="shared" si="4"/>
        <v>38</v>
      </c>
      <c r="O39" s="132">
        <f>SUM(C39:N39)</f>
        <v>542</v>
      </c>
    </row>
    <row r="40" spans="1:16" x14ac:dyDescent="0.25">
      <c r="A40" s="133"/>
      <c r="C40" s="133"/>
      <c r="D40" s="133"/>
      <c r="E40" s="133"/>
      <c r="F40" s="133"/>
      <c r="G40" s="133"/>
      <c r="H40" s="133"/>
      <c r="I40" s="133"/>
      <c r="J40" s="133"/>
      <c r="K40" s="133"/>
      <c r="L40" s="133"/>
      <c r="M40" s="133"/>
      <c r="N40" s="133"/>
    </row>
    <row r="41" spans="1:16" x14ac:dyDescent="0.25">
      <c r="A41" s="133"/>
      <c r="C41" s="254">
        <f>C39+D39+E39</f>
        <v>136</v>
      </c>
      <c r="D41" s="254"/>
      <c r="E41" s="254"/>
      <c r="F41" s="254">
        <f>F39+G39+H39</f>
        <v>115</v>
      </c>
      <c r="G41" s="254"/>
      <c r="H41" s="254"/>
      <c r="I41" s="254">
        <f>I39+J39+K39</f>
        <v>147</v>
      </c>
      <c r="J41" s="254"/>
      <c r="K41" s="254"/>
      <c r="L41" s="254">
        <f>L39+M39+N39</f>
        <v>144</v>
      </c>
      <c r="M41" s="254"/>
      <c r="N41" s="254"/>
      <c r="O41" s="134"/>
      <c r="P41" s="135"/>
    </row>
    <row r="42" spans="1:16" x14ac:dyDescent="0.25">
      <c r="A42" s="133"/>
    </row>
    <row r="43" spans="1:16" x14ac:dyDescent="0.25">
      <c r="A43" s="133"/>
    </row>
    <row r="44" spans="1:16" x14ac:dyDescent="0.25">
      <c r="A44" s="133"/>
      <c r="B44" s="175" t="s">
        <v>2956</v>
      </c>
      <c r="C44" s="133">
        <f t="shared" ref="C44:N44" si="5">SUM(C5:C18)</f>
        <v>38</v>
      </c>
      <c r="D44" s="133">
        <f t="shared" si="5"/>
        <v>30</v>
      </c>
      <c r="E44" s="133">
        <f t="shared" si="5"/>
        <v>47</v>
      </c>
      <c r="F44" s="133">
        <f t="shared" si="5"/>
        <v>35</v>
      </c>
      <c r="G44" s="133">
        <f t="shared" si="5"/>
        <v>35</v>
      </c>
      <c r="H44" s="133">
        <f t="shared" si="5"/>
        <v>26</v>
      </c>
      <c r="I44" s="133">
        <f t="shared" si="5"/>
        <v>42</v>
      </c>
      <c r="J44" s="133">
        <f t="shared" si="5"/>
        <v>35</v>
      </c>
      <c r="K44" s="133">
        <f t="shared" si="5"/>
        <v>35</v>
      </c>
      <c r="L44" s="133">
        <f t="shared" si="5"/>
        <v>36</v>
      </c>
      <c r="M44" s="133">
        <f t="shared" si="5"/>
        <v>40</v>
      </c>
      <c r="N44" s="133">
        <f t="shared" si="5"/>
        <v>27</v>
      </c>
      <c r="O44" s="181">
        <f>SUM(C44:N44)</f>
        <v>426</v>
      </c>
    </row>
    <row r="45" spans="1:16" x14ac:dyDescent="0.25">
      <c r="A45" s="133"/>
      <c r="B45" s="176" t="s">
        <v>2955</v>
      </c>
      <c r="C45" s="133">
        <f>SUM(C20:C36)</f>
        <v>5</v>
      </c>
      <c r="D45" s="133">
        <f t="shared" ref="D45:N45" si="6">SUM(D20:D36)</f>
        <v>6</v>
      </c>
      <c r="E45" s="133">
        <f t="shared" si="6"/>
        <v>5</v>
      </c>
      <c r="F45" s="133">
        <f t="shared" si="6"/>
        <v>6</v>
      </c>
      <c r="G45" s="133">
        <f t="shared" si="6"/>
        <v>4</v>
      </c>
      <c r="H45" s="133">
        <f t="shared" si="6"/>
        <v>8</v>
      </c>
      <c r="I45" s="133">
        <f t="shared" si="6"/>
        <v>8</v>
      </c>
      <c r="J45" s="133">
        <f t="shared" si="6"/>
        <v>14</v>
      </c>
      <c r="K45" s="133">
        <f t="shared" si="6"/>
        <v>12</v>
      </c>
      <c r="L45" s="133">
        <f t="shared" si="6"/>
        <v>12</v>
      </c>
      <c r="M45" s="133">
        <f t="shared" si="6"/>
        <v>14</v>
      </c>
      <c r="N45" s="133">
        <f t="shared" si="6"/>
        <v>11</v>
      </c>
      <c r="O45" s="182">
        <f t="shared" ref="O45:O46" si="7">SUM(C45:N45)</f>
        <v>105</v>
      </c>
    </row>
    <row r="46" spans="1:16" x14ac:dyDescent="0.25">
      <c r="A46" s="133"/>
      <c r="B46" s="177" t="s">
        <v>1939</v>
      </c>
      <c r="C46" s="162">
        <v>2</v>
      </c>
      <c r="D46" s="163">
        <v>1</v>
      </c>
      <c r="E46" s="163">
        <v>2</v>
      </c>
      <c r="F46" s="163" t="s">
        <v>2794</v>
      </c>
      <c r="G46" s="162" t="s">
        <v>2794</v>
      </c>
      <c r="H46" s="162" t="s">
        <v>2794</v>
      </c>
      <c r="I46" s="162" t="s">
        <v>2794</v>
      </c>
      <c r="J46" s="162" t="s">
        <v>2794</v>
      </c>
      <c r="K46" s="163">
        <v>1</v>
      </c>
      <c r="L46" s="163">
        <v>3</v>
      </c>
      <c r="M46" s="163" t="s">
        <v>2794</v>
      </c>
      <c r="N46" s="162" t="s">
        <v>2794</v>
      </c>
      <c r="O46" s="180">
        <f t="shared" si="7"/>
        <v>9</v>
      </c>
    </row>
    <row r="47" spans="1:16" x14ac:dyDescent="0.25">
      <c r="B47" s="161"/>
      <c r="C47" s="162"/>
      <c r="D47" s="163"/>
      <c r="E47" s="163"/>
      <c r="F47" s="163"/>
      <c r="G47" s="162"/>
      <c r="H47" s="162"/>
      <c r="I47" s="162"/>
      <c r="J47" s="162"/>
      <c r="K47" s="163"/>
      <c r="L47" s="163"/>
      <c r="M47" s="163"/>
      <c r="N47" s="162"/>
      <c r="O47" s="166"/>
    </row>
    <row r="48" spans="1:16" x14ac:dyDescent="0.25">
      <c r="B48" s="178" t="s">
        <v>2957</v>
      </c>
      <c r="C48" s="162"/>
      <c r="D48" s="163"/>
      <c r="E48" s="163"/>
      <c r="F48" s="163"/>
      <c r="G48" s="162"/>
      <c r="H48" s="162"/>
      <c r="I48" s="162"/>
      <c r="J48" s="162"/>
      <c r="K48" s="163"/>
      <c r="L48" s="163"/>
      <c r="M48" s="163"/>
      <c r="N48" s="162"/>
      <c r="O48" s="179">
        <f>SUM(O49:O50)</f>
        <v>2</v>
      </c>
    </row>
    <row r="49" spans="2:15" x14ac:dyDescent="0.25">
      <c r="B49" s="164" t="s">
        <v>2819</v>
      </c>
      <c r="C49" s="162" t="s">
        <v>2794</v>
      </c>
      <c r="D49" s="163" t="s">
        <v>2794</v>
      </c>
      <c r="E49" s="163" t="s">
        <v>2794</v>
      </c>
      <c r="F49" s="163" t="s">
        <v>2794</v>
      </c>
      <c r="G49" s="162" t="s">
        <v>2794</v>
      </c>
      <c r="H49" s="163" t="s">
        <v>2794</v>
      </c>
      <c r="I49" s="162" t="s">
        <v>2794</v>
      </c>
      <c r="J49" s="162" t="s">
        <v>2794</v>
      </c>
      <c r="K49" s="162" t="s">
        <v>2794</v>
      </c>
      <c r="L49" s="163">
        <v>1</v>
      </c>
      <c r="M49" s="163" t="s">
        <v>2794</v>
      </c>
      <c r="N49" s="163" t="s">
        <v>2794</v>
      </c>
      <c r="O49" s="165">
        <f t="shared" ref="O49:O50" si="8">SUM(C49:N49)</f>
        <v>1</v>
      </c>
    </row>
    <row r="50" spans="2:15" x14ac:dyDescent="0.25">
      <c r="B50" s="164" t="s">
        <v>2820</v>
      </c>
      <c r="C50" s="162" t="s">
        <v>2794</v>
      </c>
      <c r="D50" s="163" t="s">
        <v>2794</v>
      </c>
      <c r="E50" s="163" t="s">
        <v>2794</v>
      </c>
      <c r="F50" s="163" t="s">
        <v>2794</v>
      </c>
      <c r="G50" s="162" t="s">
        <v>2794</v>
      </c>
      <c r="H50" s="163">
        <v>1</v>
      </c>
      <c r="I50" s="162" t="s">
        <v>2794</v>
      </c>
      <c r="J50" s="162" t="s">
        <v>2794</v>
      </c>
      <c r="K50" s="162" t="s">
        <v>2794</v>
      </c>
      <c r="L50" s="163" t="s">
        <v>2794</v>
      </c>
      <c r="M50" s="163" t="s">
        <v>2794</v>
      </c>
      <c r="N50" s="163" t="s">
        <v>2794</v>
      </c>
      <c r="O50" s="165">
        <f t="shared" si="8"/>
        <v>1</v>
      </c>
    </row>
    <row r="51" spans="2:15" x14ac:dyDescent="0.25">
      <c r="O51" s="305">
        <f>O44+O45+O46+O48</f>
        <v>542</v>
      </c>
    </row>
  </sheetData>
  <mergeCells count="9">
    <mergeCell ref="C41:E41"/>
    <mergeCell ref="F41:H41"/>
    <mergeCell ref="I41:K41"/>
    <mergeCell ref="L41:N41"/>
    <mergeCell ref="A1:O1"/>
    <mergeCell ref="A3:A4"/>
    <mergeCell ref="B3:B4"/>
    <mergeCell ref="C3:N3"/>
    <mergeCell ref="O3:O4"/>
  </mergeCells>
  <pageMargins left="0.7" right="0.7" top="0.12" bottom="0.38" header="0.12" footer="0.3"/>
  <pageSetup paperSize="5" scale="85" orientation="landscape"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Z137"/>
  <sheetViews>
    <sheetView topLeftCell="A59" zoomScale="85" zoomScaleNormal="85" workbookViewId="0">
      <selection activeCell="I59" sqref="I59"/>
    </sheetView>
  </sheetViews>
  <sheetFormatPr defaultRowHeight="12.75" x14ac:dyDescent="0.2"/>
  <cols>
    <col min="1" max="1" width="6.83203125" customWidth="1"/>
    <col min="2" max="2" width="14.1640625" customWidth="1"/>
    <col min="3" max="3" width="11.1640625" customWidth="1"/>
    <col min="4" max="4" width="4.33203125" customWidth="1"/>
    <col min="5" max="5" width="4.83203125" style="61" customWidth="1"/>
    <col min="6" max="6" width="4.6640625" customWidth="1"/>
    <col min="7" max="7" width="4.33203125" customWidth="1"/>
    <col min="8" max="8" width="13.1640625" customWidth="1"/>
    <col min="9" max="9" width="24.5" customWidth="1"/>
    <col min="10" max="10" width="6.6640625" customWidth="1"/>
    <col min="11" max="11" width="6.5" customWidth="1"/>
    <col min="12" max="14" width="5.83203125" customWidth="1"/>
    <col min="15" max="15" width="6.6640625" customWidth="1"/>
    <col min="16" max="16" width="5.83203125" customWidth="1"/>
    <col min="17" max="17" width="6.1640625" customWidth="1"/>
    <col min="18" max="18" width="11.6640625" customWidth="1"/>
    <col min="19" max="19" width="5.5" customWidth="1"/>
    <col min="20" max="21" width="3.83203125" customWidth="1"/>
    <col min="22" max="22" width="12.1640625" customWidth="1"/>
  </cols>
  <sheetData>
    <row r="2" spans="1:25" ht="17.25" customHeight="1" x14ac:dyDescent="0.2">
      <c r="A2" s="5"/>
      <c r="B2" s="184" t="s">
        <v>3</v>
      </c>
      <c r="C2" s="184"/>
      <c r="D2" s="184"/>
      <c r="E2" s="184"/>
      <c r="F2" s="184"/>
      <c r="G2" s="184"/>
      <c r="H2" s="184"/>
      <c r="I2" s="184"/>
      <c r="J2" s="184"/>
      <c r="K2" s="184"/>
      <c r="L2" s="184"/>
      <c r="M2" s="184"/>
      <c r="N2" s="184"/>
      <c r="O2" s="184"/>
      <c r="P2" s="184"/>
      <c r="Q2" s="184"/>
      <c r="R2" s="184"/>
      <c r="S2" s="184"/>
      <c r="T2" s="184"/>
      <c r="U2" s="184"/>
      <c r="V2" s="184"/>
      <c r="W2" s="184"/>
      <c r="X2" s="184"/>
    </row>
    <row r="3" spans="1:25" ht="23.25" x14ac:dyDescent="0.2">
      <c r="A3" s="5"/>
      <c r="B3" s="185" t="s">
        <v>4</v>
      </c>
      <c r="C3" s="185"/>
      <c r="D3" s="185"/>
      <c r="E3" s="185"/>
      <c r="F3" s="185"/>
      <c r="G3" s="185"/>
      <c r="H3" s="185"/>
      <c r="I3" s="185"/>
      <c r="J3" s="185"/>
      <c r="K3" s="185"/>
      <c r="L3" s="185"/>
      <c r="M3" s="185"/>
      <c r="N3" s="185"/>
      <c r="O3" s="185"/>
      <c r="P3" s="185"/>
      <c r="Q3" s="185"/>
      <c r="R3" s="185"/>
      <c r="S3" s="185"/>
      <c r="T3" s="185"/>
      <c r="U3" s="185"/>
      <c r="V3" s="185"/>
      <c r="W3" s="185"/>
      <c r="X3" s="185"/>
    </row>
    <row r="4" spans="1:25" ht="14.25" x14ac:dyDescent="0.2">
      <c r="A4" s="5"/>
      <c r="B4" s="186" t="s">
        <v>6</v>
      </c>
      <c r="C4" s="186"/>
      <c r="D4" s="186"/>
      <c r="E4" s="186"/>
      <c r="F4" s="186"/>
      <c r="G4" s="186"/>
      <c r="H4" s="186"/>
      <c r="I4" s="186"/>
      <c r="J4" s="186"/>
      <c r="K4" s="186"/>
      <c r="L4" s="186"/>
      <c r="M4" s="186"/>
      <c r="N4" s="186"/>
      <c r="O4" s="186"/>
      <c r="P4" s="186"/>
      <c r="Q4" s="186"/>
      <c r="R4" s="186"/>
      <c r="S4" s="186"/>
      <c r="T4" s="186"/>
      <c r="U4" s="186"/>
      <c r="V4" s="186"/>
      <c r="W4" s="186"/>
      <c r="X4" s="186"/>
    </row>
    <row r="5" spans="1:25" ht="16.5" thickBot="1" x14ac:dyDescent="0.25">
      <c r="A5" s="4"/>
      <c r="B5" s="187" t="s">
        <v>5</v>
      </c>
      <c r="C5" s="187"/>
      <c r="D5" s="187"/>
      <c r="E5" s="187"/>
      <c r="F5" s="187"/>
      <c r="G5" s="187"/>
      <c r="H5" s="187"/>
      <c r="I5" s="187"/>
      <c r="J5" s="187"/>
      <c r="K5" s="187"/>
      <c r="L5" s="187"/>
      <c r="M5" s="187"/>
      <c r="N5" s="187"/>
      <c r="O5" s="187"/>
      <c r="P5" s="187"/>
      <c r="Q5" s="187"/>
      <c r="R5" s="187"/>
      <c r="S5" s="187"/>
      <c r="T5" s="187"/>
      <c r="U5" s="187"/>
      <c r="V5" s="187"/>
      <c r="W5" s="187"/>
      <c r="X5" s="187"/>
      <c r="Y5" s="87"/>
    </row>
    <row r="6" spans="1:25" ht="15.75" thickTop="1" x14ac:dyDescent="0.2">
      <c r="B6" s="1"/>
      <c r="C6" s="1"/>
      <c r="D6" s="1"/>
    </row>
    <row r="7" spans="1:25" ht="17.25" customHeight="1" x14ac:dyDescent="0.2">
      <c r="A7" s="188" t="s">
        <v>58</v>
      </c>
      <c r="B7" s="188"/>
      <c r="C7" s="188"/>
      <c r="D7" s="188"/>
      <c r="E7" s="188"/>
      <c r="F7" s="188"/>
      <c r="G7" s="188"/>
      <c r="H7" s="188"/>
      <c r="I7" s="188"/>
      <c r="J7" s="188"/>
      <c r="K7" s="188"/>
      <c r="L7" s="188"/>
      <c r="M7" s="188"/>
      <c r="N7" s="188"/>
      <c r="O7" s="188"/>
      <c r="P7" s="188"/>
      <c r="Q7" s="188"/>
      <c r="R7" s="188"/>
      <c r="S7" s="188"/>
      <c r="T7" s="188"/>
      <c r="U7" s="188"/>
      <c r="V7" s="188"/>
      <c r="W7" s="188"/>
      <c r="X7" s="188"/>
      <c r="Y7" s="188"/>
    </row>
    <row r="8" spans="1:25" ht="14.25" customHeight="1" x14ac:dyDescent="0.2">
      <c r="A8" s="188" t="s">
        <v>21</v>
      </c>
      <c r="B8" s="188"/>
      <c r="C8" s="188"/>
      <c r="D8" s="188"/>
      <c r="E8" s="188"/>
      <c r="F8" s="188"/>
      <c r="G8" s="188"/>
      <c r="H8" s="188"/>
      <c r="I8" s="188"/>
      <c r="J8" s="188"/>
      <c r="K8" s="188"/>
      <c r="L8" s="188"/>
      <c r="M8" s="188"/>
      <c r="N8" s="188"/>
      <c r="O8" s="188"/>
      <c r="P8" s="188"/>
      <c r="Q8" s="188"/>
      <c r="R8" s="188"/>
      <c r="S8" s="188"/>
      <c r="T8" s="188"/>
      <c r="U8" s="188"/>
      <c r="V8" s="188"/>
      <c r="W8" s="188"/>
      <c r="X8" s="188"/>
      <c r="Y8" s="188"/>
    </row>
    <row r="9" spans="1:25" ht="14.25" x14ac:dyDescent="0.2">
      <c r="A9" s="183" t="s">
        <v>556</v>
      </c>
      <c r="B9" s="183"/>
      <c r="C9" s="183"/>
      <c r="D9" s="183"/>
      <c r="E9" s="183"/>
      <c r="F9" s="183"/>
      <c r="G9" s="183"/>
      <c r="H9" s="183"/>
      <c r="I9" s="183"/>
      <c r="J9" s="183"/>
      <c r="K9" s="183"/>
      <c r="L9" s="183"/>
      <c r="M9" s="183"/>
      <c r="N9" s="183"/>
      <c r="O9" s="183"/>
      <c r="P9" s="183"/>
      <c r="Q9" s="183"/>
      <c r="R9" s="183"/>
      <c r="S9" s="183"/>
      <c r="T9" s="183"/>
      <c r="U9" s="183"/>
      <c r="V9" s="183"/>
      <c r="W9" s="183"/>
      <c r="X9" s="183"/>
      <c r="Y9" s="183"/>
    </row>
    <row r="10" spans="1:25" ht="14.25" x14ac:dyDescent="0.2">
      <c r="A10" s="14"/>
      <c r="B10" s="14"/>
      <c r="C10" s="14"/>
      <c r="D10" s="14"/>
      <c r="E10" s="88"/>
      <c r="F10" s="14"/>
      <c r="G10" s="14"/>
      <c r="H10" s="14"/>
      <c r="I10" s="14"/>
      <c r="J10" s="14"/>
      <c r="K10" s="14"/>
      <c r="L10" s="14"/>
      <c r="M10" s="14"/>
      <c r="N10" s="14"/>
      <c r="O10" s="14"/>
      <c r="P10" s="14"/>
      <c r="Q10" s="14"/>
    </row>
    <row r="11" spans="1:25" s="18" customFormat="1" ht="15" customHeight="1" x14ac:dyDescent="0.2">
      <c r="A11" s="14"/>
      <c r="B11" s="14"/>
      <c r="C11" s="14"/>
      <c r="D11" s="14"/>
      <c r="E11" s="88"/>
      <c r="F11" s="14"/>
      <c r="G11" s="14"/>
      <c r="H11" s="14"/>
      <c r="I11" s="14"/>
      <c r="J11" s="14"/>
      <c r="K11" s="14"/>
      <c r="L11" s="14"/>
      <c r="M11" s="14"/>
      <c r="N11" s="14"/>
      <c r="O11" s="14"/>
      <c r="P11" s="14"/>
      <c r="Q11" s="14"/>
    </row>
    <row r="12" spans="1:25" s="17" customFormat="1" ht="35.1" customHeight="1" x14ac:dyDescent="0.2">
      <c r="A12" s="275" t="s">
        <v>2</v>
      </c>
      <c r="B12" s="275" t="s">
        <v>31</v>
      </c>
      <c r="C12" s="62" t="s">
        <v>32</v>
      </c>
      <c r="D12" s="277" t="s">
        <v>32</v>
      </c>
      <c r="E12" s="278"/>
      <c r="F12" s="278"/>
      <c r="G12" s="279"/>
      <c r="H12" s="63" t="s">
        <v>33</v>
      </c>
      <c r="I12" s="275" t="s">
        <v>34</v>
      </c>
      <c r="J12" s="283" t="s">
        <v>59</v>
      </c>
      <c r="K12" s="284"/>
      <c r="L12" s="288" t="s">
        <v>35</v>
      </c>
      <c r="M12" s="288" t="s">
        <v>36</v>
      </c>
      <c r="N12" s="263" t="s">
        <v>37</v>
      </c>
      <c r="O12" s="264"/>
      <c r="P12" s="263" t="s">
        <v>20</v>
      </c>
      <c r="Q12" s="264"/>
      <c r="R12" s="265" t="s">
        <v>60</v>
      </c>
      <c r="S12" s="267" t="s">
        <v>38</v>
      </c>
      <c r="T12" s="268"/>
      <c r="U12" s="268"/>
      <c r="V12" s="269"/>
      <c r="W12" s="273" t="s">
        <v>61</v>
      </c>
      <c r="X12" s="64" t="s">
        <v>62</v>
      </c>
      <c r="Y12" s="265" t="s">
        <v>39</v>
      </c>
    </row>
    <row r="13" spans="1:25" ht="35.1" customHeight="1" x14ac:dyDescent="0.2">
      <c r="A13" s="276"/>
      <c r="B13" s="276"/>
      <c r="C13" s="65" t="s">
        <v>63</v>
      </c>
      <c r="D13" s="280"/>
      <c r="E13" s="281"/>
      <c r="F13" s="281"/>
      <c r="G13" s="282"/>
      <c r="H13" s="66" t="s">
        <v>40</v>
      </c>
      <c r="I13" s="276"/>
      <c r="J13" s="67" t="s">
        <v>64</v>
      </c>
      <c r="K13" s="68" t="s">
        <v>65</v>
      </c>
      <c r="L13" s="289"/>
      <c r="M13" s="289"/>
      <c r="N13" s="68" t="s">
        <v>41</v>
      </c>
      <c r="O13" s="69" t="s">
        <v>42</v>
      </c>
      <c r="P13" s="70" t="s">
        <v>43</v>
      </c>
      <c r="Q13" s="70" t="s">
        <v>44</v>
      </c>
      <c r="R13" s="266"/>
      <c r="S13" s="270"/>
      <c r="T13" s="271"/>
      <c r="U13" s="271"/>
      <c r="V13" s="272"/>
      <c r="W13" s="274"/>
      <c r="X13" s="71" t="s">
        <v>32</v>
      </c>
      <c r="Y13" s="266"/>
    </row>
    <row r="14" spans="1:25" ht="351" customHeight="1" x14ac:dyDescent="0.2">
      <c r="A14" s="72">
        <v>1</v>
      </c>
      <c r="B14" s="73" t="s">
        <v>557</v>
      </c>
      <c r="C14" s="81" t="s">
        <v>2907</v>
      </c>
      <c r="D14" s="257" t="s">
        <v>558</v>
      </c>
      <c r="E14" s="258"/>
      <c r="F14" s="258"/>
      <c r="G14" s="259"/>
      <c r="H14" s="74" t="s">
        <v>559</v>
      </c>
      <c r="I14" s="75" t="s">
        <v>2874</v>
      </c>
      <c r="J14" s="76">
        <v>0</v>
      </c>
      <c r="K14" s="76">
        <v>1</v>
      </c>
      <c r="L14" s="76">
        <v>0</v>
      </c>
      <c r="M14" s="76">
        <v>0</v>
      </c>
      <c r="N14" s="76">
        <v>0</v>
      </c>
      <c r="O14" s="76">
        <v>0</v>
      </c>
      <c r="P14" s="76">
        <v>1</v>
      </c>
      <c r="Q14" s="76">
        <v>1</v>
      </c>
      <c r="R14" s="77" t="s">
        <v>391</v>
      </c>
      <c r="S14" s="285" t="s">
        <v>760</v>
      </c>
      <c r="T14" s="286"/>
      <c r="U14" s="286"/>
      <c r="V14" s="287"/>
      <c r="W14" s="78">
        <v>18</v>
      </c>
      <c r="X14" s="78" t="s">
        <v>67</v>
      </c>
      <c r="Y14" s="79" t="s">
        <v>2875</v>
      </c>
    </row>
    <row r="15" spans="1:25" ht="354.75" customHeight="1" x14ac:dyDescent="0.2">
      <c r="A15" s="72">
        <v>2</v>
      </c>
      <c r="B15" s="75" t="s">
        <v>515</v>
      </c>
      <c r="C15" s="81" t="s">
        <v>2908</v>
      </c>
      <c r="D15" s="257" t="s">
        <v>560</v>
      </c>
      <c r="E15" s="258"/>
      <c r="F15" s="258"/>
      <c r="G15" s="259"/>
      <c r="H15" s="74" t="s">
        <v>369</v>
      </c>
      <c r="I15" s="75" t="s">
        <v>561</v>
      </c>
      <c r="J15" s="76">
        <v>0</v>
      </c>
      <c r="K15" s="76">
        <v>1</v>
      </c>
      <c r="L15" s="76">
        <v>0</v>
      </c>
      <c r="M15" s="76">
        <v>0</v>
      </c>
      <c r="N15" s="76">
        <v>0</v>
      </c>
      <c r="O15" s="76">
        <v>0</v>
      </c>
      <c r="P15" s="76">
        <v>1</v>
      </c>
      <c r="Q15" s="76">
        <v>1</v>
      </c>
      <c r="R15" s="77" t="s">
        <v>66</v>
      </c>
      <c r="S15" s="260" t="s">
        <v>761</v>
      </c>
      <c r="T15" s="261"/>
      <c r="U15" s="261"/>
      <c r="V15" s="262"/>
      <c r="W15" s="80">
        <v>18</v>
      </c>
      <c r="X15" s="80" t="s">
        <v>67</v>
      </c>
      <c r="Y15" s="79" t="s">
        <v>2639</v>
      </c>
    </row>
    <row r="16" spans="1:25" ht="324" customHeight="1" x14ac:dyDescent="0.2">
      <c r="A16" s="76">
        <v>3</v>
      </c>
      <c r="B16" s="75" t="s">
        <v>762</v>
      </c>
      <c r="C16" s="81" t="s">
        <v>2909</v>
      </c>
      <c r="D16" s="257" t="s">
        <v>763</v>
      </c>
      <c r="E16" s="258"/>
      <c r="F16" s="258"/>
      <c r="G16" s="259"/>
      <c r="H16" s="79" t="s">
        <v>765</v>
      </c>
      <c r="I16" s="75" t="s">
        <v>764</v>
      </c>
      <c r="J16" s="76">
        <v>0</v>
      </c>
      <c r="K16" s="76">
        <v>1</v>
      </c>
      <c r="L16" s="76">
        <v>0</v>
      </c>
      <c r="M16" s="76">
        <v>0</v>
      </c>
      <c r="N16" s="76">
        <v>0</v>
      </c>
      <c r="O16" s="76">
        <v>0</v>
      </c>
      <c r="P16" s="76">
        <v>1</v>
      </c>
      <c r="Q16" s="76">
        <v>5</v>
      </c>
      <c r="R16" s="77" t="s">
        <v>66</v>
      </c>
      <c r="S16" s="285" t="s">
        <v>766</v>
      </c>
      <c r="T16" s="286"/>
      <c r="U16" s="286"/>
      <c r="V16" s="287"/>
      <c r="W16" s="78">
        <v>17</v>
      </c>
      <c r="X16" s="78" t="s">
        <v>67</v>
      </c>
      <c r="Y16" s="79" t="s">
        <v>2876</v>
      </c>
    </row>
    <row r="17" spans="1:26" ht="297.75" customHeight="1" x14ac:dyDescent="0.2">
      <c r="A17" s="72">
        <v>4</v>
      </c>
      <c r="B17" s="75" t="s">
        <v>767</v>
      </c>
      <c r="C17" s="81" t="s">
        <v>2910</v>
      </c>
      <c r="D17" s="257" t="s">
        <v>768</v>
      </c>
      <c r="E17" s="258"/>
      <c r="F17" s="258"/>
      <c r="G17" s="259"/>
      <c r="H17" s="74" t="s">
        <v>769</v>
      </c>
      <c r="I17" s="75" t="s">
        <v>770</v>
      </c>
      <c r="J17" s="76">
        <v>0</v>
      </c>
      <c r="K17" s="76">
        <v>1</v>
      </c>
      <c r="L17" s="76">
        <v>0</v>
      </c>
      <c r="M17" s="76">
        <v>0</v>
      </c>
      <c r="N17" s="76">
        <v>0</v>
      </c>
      <c r="O17" s="76">
        <v>0</v>
      </c>
      <c r="P17" s="76">
        <v>1</v>
      </c>
      <c r="Q17" s="76">
        <v>4</v>
      </c>
      <c r="R17" s="77" t="s">
        <v>66</v>
      </c>
      <c r="S17" s="260" t="s">
        <v>771</v>
      </c>
      <c r="T17" s="261"/>
      <c r="U17" s="261"/>
      <c r="V17" s="262"/>
      <c r="W17" s="80">
        <v>15</v>
      </c>
      <c r="X17" s="80" t="s">
        <v>67</v>
      </c>
      <c r="Y17" s="79" t="s">
        <v>372</v>
      </c>
    </row>
    <row r="18" spans="1:26" ht="252" x14ac:dyDescent="0.2">
      <c r="A18" s="72">
        <v>5</v>
      </c>
      <c r="B18" s="73" t="s">
        <v>973</v>
      </c>
      <c r="C18" s="81" t="s">
        <v>2911</v>
      </c>
      <c r="D18" s="257" t="s">
        <v>990</v>
      </c>
      <c r="E18" s="258"/>
      <c r="F18" s="258"/>
      <c r="G18" s="259"/>
      <c r="H18" s="74" t="s">
        <v>992</v>
      </c>
      <c r="I18" s="75" t="s">
        <v>991</v>
      </c>
      <c r="J18" s="123">
        <v>0</v>
      </c>
      <c r="K18" s="139">
        <v>1</v>
      </c>
      <c r="L18" s="140">
        <v>0</v>
      </c>
      <c r="M18" s="140">
        <v>0</v>
      </c>
      <c r="N18" s="140">
        <v>0</v>
      </c>
      <c r="O18" s="139">
        <v>0</v>
      </c>
      <c r="P18" s="141">
        <v>0</v>
      </c>
      <c r="Q18" s="141">
        <v>0</v>
      </c>
      <c r="R18" s="142" t="s">
        <v>66</v>
      </c>
      <c r="S18" s="260" t="s">
        <v>993</v>
      </c>
      <c r="T18" s="261"/>
      <c r="U18" s="261"/>
      <c r="V18" s="262"/>
      <c r="W18" s="124">
        <v>15</v>
      </c>
      <c r="X18" s="124" t="s">
        <v>67</v>
      </c>
      <c r="Y18" s="79" t="s">
        <v>2877</v>
      </c>
    </row>
    <row r="19" spans="1:26" ht="216" x14ac:dyDescent="0.2">
      <c r="A19" s="72">
        <v>6</v>
      </c>
      <c r="B19" s="73" t="s">
        <v>994</v>
      </c>
      <c r="C19" s="81" t="s">
        <v>2912</v>
      </c>
      <c r="D19" s="257" t="s">
        <v>995</v>
      </c>
      <c r="E19" s="258"/>
      <c r="F19" s="258"/>
      <c r="G19" s="259"/>
      <c r="H19" s="74" t="s">
        <v>997</v>
      </c>
      <c r="I19" s="75" t="s">
        <v>996</v>
      </c>
      <c r="J19" s="76">
        <v>0</v>
      </c>
      <c r="K19" s="76">
        <v>1</v>
      </c>
      <c r="L19" s="76">
        <v>0</v>
      </c>
      <c r="M19" s="76">
        <v>0</v>
      </c>
      <c r="N19" s="76">
        <v>0</v>
      </c>
      <c r="O19" s="76">
        <v>0</v>
      </c>
      <c r="P19" s="76">
        <v>1</v>
      </c>
      <c r="Q19" s="76">
        <v>2</v>
      </c>
      <c r="R19" s="142" t="s">
        <v>2720</v>
      </c>
      <c r="S19" s="285" t="s">
        <v>998</v>
      </c>
      <c r="T19" s="286"/>
      <c r="U19" s="286"/>
      <c r="V19" s="287"/>
      <c r="W19" s="122">
        <v>15</v>
      </c>
      <c r="X19" s="122" t="s">
        <v>67</v>
      </c>
      <c r="Y19" s="79" t="s">
        <v>2639</v>
      </c>
    </row>
    <row r="20" spans="1:26" ht="192.75" customHeight="1" x14ac:dyDescent="0.2">
      <c r="A20" s="76">
        <v>7</v>
      </c>
      <c r="B20" s="73" t="s">
        <v>1025</v>
      </c>
      <c r="C20" s="81" t="s">
        <v>2913</v>
      </c>
      <c r="D20" s="257" t="s">
        <v>2626</v>
      </c>
      <c r="E20" s="258"/>
      <c r="F20" s="258"/>
      <c r="G20" s="259"/>
      <c r="H20" s="74" t="s">
        <v>68</v>
      </c>
      <c r="I20" s="75" t="s">
        <v>2627</v>
      </c>
      <c r="J20" s="76">
        <v>0</v>
      </c>
      <c r="K20" s="76">
        <v>1</v>
      </c>
      <c r="L20" s="76">
        <v>0</v>
      </c>
      <c r="M20" s="76">
        <v>0</v>
      </c>
      <c r="N20" s="76">
        <v>0</v>
      </c>
      <c r="O20" s="76">
        <v>0</v>
      </c>
      <c r="P20" s="76">
        <v>0</v>
      </c>
      <c r="Q20" s="76">
        <v>0</v>
      </c>
      <c r="R20" s="123" t="s">
        <v>1756</v>
      </c>
      <c r="S20" s="285" t="s">
        <v>2628</v>
      </c>
      <c r="T20" s="286"/>
      <c r="U20" s="286"/>
      <c r="V20" s="287"/>
      <c r="W20" s="122">
        <v>10</v>
      </c>
      <c r="X20" s="122" t="s">
        <v>67</v>
      </c>
      <c r="Y20" s="79" t="s">
        <v>2629</v>
      </c>
      <c r="Z20">
        <v>1</v>
      </c>
    </row>
    <row r="21" spans="1:26" ht="312.75" customHeight="1" x14ac:dyDescent="0.2">
      <c r="A21" s="72">
        <v>8</v>
      </c>
      <c r="B21" s="75" t="s">
        <v>2630</v>
      </c>
      <c r="C21" s="74" t="s">
        <v>2914</v>
      </c>
      <c r="D21" s="257" t="s">
        <v>2631</v>
      </c>
      <c r="E21" s="258"/>
      <c r="F21" s="258"/>
      <c r="G21" s="259"/>
      <c r="H21" s="74" t="s">
        <v>2633</v>
      </c>
      <c r="I21" s="75" t="s">
        <v>2632</v>
      </c>
      <c r="J21" s="76">
        <v>0</v>
      </c>
      <c r="K21" s="76">
        <v>1</v>
      </c>
      <c r="L21" s="76">
        <v>0</v>
      </c>
      <c r="M21" s="76">
        <v>0</v>
      </c>
      <c r="N21" s="76">
        <v>0</v>
      </c>
      <c r="O21" s="76">
        <v>0</v>
      </c>
      <c r="P21" s="76">
        <v>0</v>
      </c>
      <c r="Q21" s="76">
        <v>0</v>
      </c>
      <c r="R21" s="123" t="s">
        <v>66</v>
      </c>
      <c r="S21" s="260" t="s">
        <v>751</v>
      </c>
      <c r="T21" s="261"/>
      <c r="U21" s="261"/>
      <c r="V21" s="262"/>
      <c r="W21" s="124">
        <v>15</v>
      </c>
      <c r="X21" s="124" t="s">
        <v>67</v>
      </c>
      <c r="Y21" s="79" t="s">
        <v>2634</v>
      </c>
      <c r="Z21">
        <v>2</v>
      </c>
    </row>
    <row r="22" spans="1:26" ht="185.25" customHeight="1" x14ac:dyDescent="0.2">
      <c r="A22" s="72">
        <v>9</v>
      </c>
      <c r="B22" s="75" t="s">
        <v>1042</v>
      </c>
      <c r="C22" s="74" t="s">
        <v>2915</v>
      </c>
      <c r="D22" s="257" t="s">
        <v>2635</v>
      </c>
      <c r="E22" s="258"/>
      <c r="F22" s="258"/>
      <c r="G22" s="259"/>
      <c r="H22" s="74" t="s">
        <v>2637</v>
      </c>
      <c r="I22" s="75" t="s">
        <v>2636</v>
      </c>
      <c r="J22" s="76">
        <v>0</v>
      </c>
      <c r="K22" s="76">
        <v>1</v>
      </c>
      <c r="L22" s="76">
        <v>0</v>
      </c>
      <c r="M22" s="76">
        <v>0</v>
      </c>
      <c r="N22" s="76">
        <v>0</v>
      </c>
      <c r="O22" s="76">
        <v>0</v>
      </c>
      <c r="P22" s="76">
        <v>2</v>
      </c>
      <c r="Q22" s="76">
        <v>6</v>
      </c>
      <c r="R22" s="123" t="s">
        <v>66</v>
      </c>
      <c r="S22" s="260" t="s">
        <v>2638</v>
      </c>
      <c r="T22" s="261"/>
      <c r="U22" s="261"/>
      <c r="V22" s="262"/>
      <c r="W22" s="124">
        <v>18</v>
      </c>
      <c r="X22" s="124" t="s">
        <v>67</v>
      </c>
      <c r="Y22" s="79" t="s">
        <v>2639</v>
      </c>
      <c r="Z22">
        <v>3</v>
      </c>
    </row>
    <row r="23" spans="1:26" ht="208.5" customHeight="1" x14ac:dyDescent="0.2">
      <c r="A23" s="72">
        <v>10</v>
      </c>
      <c r="B23" s="75" t="s">
        <v>1055</v>
      </c>
      <c r="C23" s="74" t="s">
        <v>2916</v>
      </c>
      <c r="D23" s="257" t="s">
        <v>2640</v>
      </c>
      <c r="E23" s="258"/>
      <c r="F23" s="258"/>
      <c r="G23" s="259"/>
      <c r="H23" s="74" t="s">
        <v>2642</v>
      </c>
      <c r="I23" s="75" t="s">
        <v>2641</v>
      </c>
      <c r="J23" s="76">
        <v>0</v>
      </c>
      <c r="K23" s="76">
        <v>1</v>
      </c>
      <c r="L23" s="76">
        <v>0</v>
      </c>
      <c r="M23" s="76">
        <v>0</v>
      </c>
      <c r="N23" s="76">
        <v>0</v>
      </c>
      <c r="O23" s="76">
        <v>0</v>
      </c>
      <c r="P23" s="76">
        <v>0</v>
      </c>
      <c r="Q23" s="76">
        <v>0</v>
      </c>
      <c r="R23" s="123" t="s">
        <v>66</v>
      </c>
      <c r="S23" s="260" t="s">
        <v>733</v>
      </c>
      <c r="T23" s="261"/>
      <c r="U23" s="261"/>
      <c r="V23" s="262"/>
      <c r="W23" s="124">
        <v>15</v>
      </c>
      <c r="X23" s="124" t="s">
        <v>67</v>
      </c>
      <c r="Y23" s="79" t="s">
        <v>2639</v>
      </c>
      <c r="Z23">
        <v>4</v>
      </c>
    </row>
    <row r="24" spans="1:26" ht="275.25" customHeight="1" x14ac:dyDescent="0.2">
      <c r="A24" s="76">
        <v>11</v>
      </c>
      <c r="B24" s="73" t="s">
        <v>1083</v>
      </c>
      <c r="C24" s="74" t="s">
        <v>2917</v>
      </c>
      <c r="D24" s="257" t="s">
        <v>2643</v>
      </c>
      <c r="E24" s="258"/>
      <c r="F24" s="258"/>
      <c r="G24" s="259"/>
      <c r="H24" s="74" t="s">
        <v>2645</v>
      </c>
      <c r="I24" s="75" t="s">
        <v>2644</v>
      </c>
      <c r="J24" s="76">
        <v>0</v>
      </c>
      <c r="K24" s="76">
        <v>1</v>
      </c>
      <c r="L24" s="76">
        <v>0</v>
      </c>
      <c r="M24" s="76">
        <v>0</v>
      </c>
      <c r="N24" s="76">
        <v>0</v>
      </c>
      <c r="O24" s="76">
        <v>0</v>
      </c>
      <c r="P24" s="76">
        <v>1</v>
      </c>
      <c r="Q24" s="76">
        <v>5</v>
      </c>
      <c r="R24" s="123" t="s">
        <v>66</v>
      </c>
      <c r="S24" s="285" t="s">
        <v>2646</v>
      </c>
      <c r="T24" s="286"/>
      <c r="U24" s="286"/>
      <c r="V24" s="287"/>
      <c r="W24" s="122">
        <v>14</v>
      </c>
      <c r="X24" s="122" t="s">
        <v>67</v>
      </c>
      <c r="Y24" s="79" t="s">
        <v>2639</v>
      </c>
      <c r="Z24">
        <v>5</v>
      </c>
    </row>
    <row r="25" spans="1:26" ht="320.25" customHeight="1" x14ac:dyDescent="0.2">
      <c r="A25" s="72">
        <v>12</v>
      </c>
      <c r="B25" s="75" t="s">
        <v>2647</v>
      </c>
      <c r="C25" s="74" t="s">
        <v>2918</v>
      </c>
      <c r="D25" s="257" t="s">
        <v>2648</v>
      </c>
      <c r="E25" s="258"/>
      <c r="F25" s="258"/>
      <c r="G25" s="259"/>
      <c r="H25" s="82" t="s">
        <v>2650</v>
      </c>
      <c r="I25" s="75" t="s">
        <v>2649</v>
      </c>
      <c r="J25" s="76">
        <v>0</v>
      </c>
      <c r="K25" s="76">
        <v>1</v>
      </c>
      <c r="L25" s="76">
        <v>0</v>
      </c>
      <c r="M25" s="76">
        <v>0</v>
      </c>
      <c r="N25" s="76">
        <v>0</v>
      </c>
      <c r="O25" s="76">
        <v>0</v>
      </c>
      <c r="P25" s="76">
        <v>1</v>
      </c>
      <c r="Q25" s="76">
        <v>4</v>
      </c>
      <c r="R25" s="123" t="s">
        <v>66</v>
      </c>
      <c r="S25" s="260" t="s">
        <v>2651</v>
      </c>
      <c r="T25" s="261"/>
      <c r="U25" s="261"/>
      <c r="V25" s="262"/>
      <c r="W25" s="124">
        <v>16</v>
      </c>
      <c r="X25" s="124" t="s">
        <v>67</v>
      </c>
      <c r="Y25" s="79" t="s">
        <v>2639</v>
      </c>
      <c r="Z25">
        <v>6</v>
      </c>
    </row>
    <row r="26" spans="1:26" ht="336" x14ac:dyDescent="0.2">
      <c r="A26" s="72">
        <v>13</v>
      </c>
      <c r="B26" s="73" t="s">
        <v>2652</v>
      </c>
      <c r="C26" s="74" t="s">
        <v>2919</v>
      </c>
      <c r="D26" s="257" t="s">
        <v>2653</v>
      </c>
      <c r="E26" s="258"/>
      <c r="F26" s="258"/>
      <c r="G26" s="259"/>
      <c r="H26" s="74" t="s">
        <v>2655</v>
      </c>
      <c r="I26" s="75" t="s">
        <v>2654</v>
      </c>
      <c r="J26" s="76">
        <v>0</v>
      </c>
      <c r="K26" s="76">
        <v>1</v>
      </c>
      <c r="L26" s="76">
        <v>0</v>
      </c>
      <c r="M26" s="76">
        <v>0</v>
      </c>
      <c r="N26" s="76">
        <v>0</v>
      </c>
      <c r="O26" s="76">
        <v>0</v>
      </c>
      <c r="P26" s="76">
        <v>1</v>
      </c>
      <c r="Q26" s="76">
        <v>2</v>
      </c>
      <c r="R26" s="123" t="s">
        <v>66</v>
      </c>
      <c r="S26" s="285" t="s">
        <v>2656</v>
      </c>
      <c r="T26" s="286"/>
      <c r="U26" s="286"/>
      <c r="V26" s="287"/>
      <c r="W26" s="122">
        <v>10</v>
      </c>
      <c r="X26" s="122" t="s">
        <v>69</v>
      </c>
      <c r="Y26" s="79" t="s">
        <v>2639</v>
      </c>
      <c r="Z26">
        <v>7</v>
      </c>
    </row>
    <row r="27" spans="1:26" ht="201.75" customHeight="1" x14ac:dyDescent="0.2">
      <c r="A27" s="72">
        <v>14</v>
      </c>
      <c r="B27" s="143" t="s">
        <v>2652</v>
      </c>
      <c r="C27" s="74" t="s">
        <v>2920</v>
      </c>
      <c r="D27" s="257" t="s">
        <v>2657</v>
      </c>
      <c r="E27" s="258"/>
      <c r="F27" s="258"/>
      <c r="G27" s="259"/>
      <c r="H27" s="74" t="s">
        <v>373</v>
      </c>
      <c r="I27" s="75" t="s">
        <v>2658</v>
      </c>
      <c r="J27" s="76">
        <v>0</v>
      </c>
      <c r="K27" s="76">
        <v>1</v>
      </c>
      <c r="L27" s="76">
        <v>0</v>
      </c>
      <c r="M27" s="76">
        <v>0</v>
      </c>
      <c r="N27" s="76">
        <v>0</v>
      </c>
      <c r="O27" s="76">
        <v>0</v>
      </c>
      <c r="P27" s="76">
        <v>1</v>
      </c>
      <c r="Q27" s="76">
        <v>2</v>
      </c>
      <c r="R27" s="123" t="s">
        <v>66</v>
      </c>
      <c r="S27" s="260" t="s">
        <v>2659</v>
      </c>
      <c r="T27" s="261"/>
      <c r="U27" s="261"/>
      <c r="V27" s="262"/>
      <c r="W27" s="124">
        <v>13</v>
      </c>
      <c r="X27" s="124" t="s">
        <v>67</v>
      </c>
      <c r="Y27" s="79" t="s">
        <v>2639</v>
      </c>
      <c r="Z27">
        <v>8</v>
      </c>
    </row>
    <row r="28" spans="1:26" ht="240" customHeight="1" x14ac:dyDescent="0.2">
      <c r="A28" s="76">
        <v>15</v>
      </c>
      <c r="B28" s="143" t="s">
        <v>2660</v>
      </c>
      <c r="C28" s="74" t="s">
        <v>2921</v>
      </c>
      <c r="D28" s="257" t="s">
        <v>2661</v>
      </c>
      <c r="E28" s="258"/>
      <c r="F28" s="258"/>
      <c r="G28" s="259"/>
      <c r="H28" s="74" t="s">
        <v>371</v>
      </c>
      <c r="I28" s="75" t="s">
        <v>2662</v>
      </c>
      <c r="J28" s="76">
        <v>0</v>
      </c>
      <c r="K28" s="76">
        <v>1</v>
      </c>
      <c r="L28" s="76">
        <v>0</v>
      </c>
      <c r="M28" s="76">
        <v>0</v>
      </c>
      <c r="N28" s="76">
        <v>0</v>
      </c>
      <c r="O28" s="76">
        <v>0</v>
      </c>
      <c r="P28" s="76">
        <v>0</v>
      </c>
      <c r="Q28" s="76">
        <v>0</v>
      </c>
      <c r="R28" s="123" t="s">
        <v>66</v>
      </c>
      <c r="S28" s="260" t="s">
        <v>2663</v>
      </c>
      <c r="T28" s="261"/>
      <c r="U28" s="261"/>
      <c r="V28" s="262"/>
      <c r="W28" s="124">
        <v>13</v>
      </c>
      <c r="X28" s="124" t="s">
        <v>67</v>
      </c>
      <c r="Y28" s="79" t="s">
        <v>2639</v>
      </c>
      <c r="Z28">
        <v>1</v>
      </c>
    </row>
    <row r="29" spans="1:26" ht="276.75" customHeight="1" x14ac:dyDescent="0.2">
      <c r="A29" s="72">
        <v>16</v>
      </c>
      <c r="B29" s="75" t="s">
        <v>1175</v>
      </c>
      <c r="C29" s="74" t="s">
        <v>2922</v>
      </c>
      <c r="D29" s="257" t="s">
        <v>2664</v>
      </c>
      <c r="E29" s="258"/>
      <c r="F29" s="258"/>
      <c r="G29" s="259"/>
      <c r="H29" s="74" t="s">
        <v>2666</v>
      </c>
      <c r="I29" s="75" t="s">
        <v>2665</v>
      </c>
      <c r="J29" s="76">
        <v>0</v>
      </c>
      <c r="K29" s="76">
        <v>1</v>
      </c>
      <c r="L29" s="76">
        <v>0</v>
      </c>
      <c r="M29" s="76">
        <v>0</v>
      </c>
      <c r="N29" s="76">
        <v>0</v>
      </c>
      <c r="O29" s="76">
        <v>0</v>
      </c>
      <c r="P29" s="76">
        <v>1</v>
      </c>
      <c r="Q29" s="76">
        <v>2</v>
      </c>
      <c r="R29" s="123" t="s">
        <v>66</v>
      </c>
      <c r="S29" s="260" t="s">
        <v>2667</v>
      </c>
      <c r="T29" s="261"/>
      <c r="U29" s="261"/>
      <c r="V29" s="262"/>
      <c r="W29" s="124">
        <v>17</v>
      </c>
      <c r="X29" s="124" t="s">
        <v>67</v>
      </c>
      <c r="Y29" s="79" t="s">
        <v>2668</v>
      </c>
      <c r="Z29">
        <v>2</v>
      </c>
    </row>
    <row r="30" spans="1:26" ht="261.75" customHeight="1" x14ac:dyDescent="0.2">
      <c r="A30" s="72">
        <v>17</v>
      </c>
      <c r="B30" s="75" t="s">
        <v>2669</v>
      </c>
      <c r="C30" s="74" t="s">
        <v>2923</v>
      </c>
      <c r="D30" s="257" t="s">
        <v>2670</v>
      </c>
      <c r="E30" s="258"/>
      <c r="F30" s="258"/>
      <c r="G30" s="259"/>
      <c r="H30" s="74" t="s">
        <v>2672</v>
      </c>
      <c r="I30" s="75" t="s">
        <v>2671</v>
      </c>
      <c r="J30" s="76">
        <v>0</v>
      </c>
      <c r="K30" s="76">
        <v>1</v>
      </c>
      <c r="L30" s="76">
        <v>0</v>
      </c>
      <c r="M30" s="76">
        <v>0</v>
      </c>
      <c r="N30" s="76">
        <v>0</v>
      </c>
      <c r="O30" s="76">
        <v>0</v>
      </c>
      <c r="P30" s="76">
        <v>2</v>
      </c>
      <c r="Q30" s="76">
        <v>3</v>
      </c>
      <c r="R30" s="123" t="s">
        <v>66</v>
      </c>
      <c r="S30" s="285" t="s">
        <v>2673</v>
      </c>
      <c r="T30" s="286"/>
      <c r="U30" s="286"/>
      <c r="V30" s="287"/>
      <c r="W30" s="122">
        <v>17</v>
      </c>
      <c r="X30" s="122" t="s">
        <v>67</v>
      </c>
      <c r="Y30" s="79" t="s">
        <v>2639</v>
      </c>
      <c r="Z30">
        <v>3</v>
      </c>
    </row>
    <row r="31" spans="1:26" ht="192" x14ac:dyDescent="0.2">
      <c r="A31" s="72">
        <v>18</v>
      </c>
      <c r="B31" s="143" t="s">
        <v>1189</v>
      </c>
      <c r="C31" s="144" t="s">
        <v>2924</v>
      </c>
      <c r="D31" s="257" t="s">
        <v>2674</v>
      </c>
      <c r="E31" s="258"/>
      <c r="F31" s="258"/>
      <c r="G31" s="259"/>
      <c r="H31" s="74" t="s">
        <v>2676</v>
      </c>
      <c r="I31" s="75" t="s">
        <v>2675</v>
      </c>
      <c r="J31" s="76">
        <v>0</v>
      </c>
      <c r="K31" s="76">
        <v>1</v>
      </c>
      <c r="L31" s="76">
        <v>0</v>
      </c>
      <c r="M31" s="76">
        <v>0</v>
      </c>
      <c r="N31" s="76">
        <v>0</v>
      </c>
      <c r="O31" s="76">
        <v>0</v>
      </c>
      <c r="P31" s="76">
        <v>1</v>
      </c>
      <c r="Q31" s="76">
        <v>1</v>
      </c>
      <c r="R31" s="123" t="s">
        <v>66</v>
      </c>
      <c r="S31" s="260" t="s">
        <v>2677</v>
      </c>
      <c r="T31" s="261"/>
      <c r="U31" s="261"/>
      <c r="V31" s="262"/>
      <c r="W31" s="124">
        <v>15</v>
      </c>
      <c r="X31" s="124" t="s">
        <v>67</v>
      </c>
      <c r="Y31" s="79" t="s">
        <v>2639</v>
      </c>
      <c r="Z31">
        <v>4</v>
      </c>
    </row>
    <row r="32" spans="1:26" ht="247.5" customHeight="1" x14ac:dyDescent="0.2">
      <c r="A32" s="76">
        <v>19</v>
      </c>
      <c r="B32" s="143" t="s">
        <v>1194</v>
      </c>
      <c r="C32" s="144" t="s">
        <v>2925</v>
      </c>
      <c r="D32" s="257" t="s">
        <v>2678</v>
      </c>
      <c r="E32" s="258"/>
      <c r="F32" s="258"/>
      <c r="G32" s="259"/>
      <c r="H32" s="74" t="s">
        <v>2680</v>
      </c>
      <c r="I32" s="75" t="s">
        <v>2679</v>
      </c>
      <c r="J32" s="76">
        <v>0</v>
      </c>
      <c r="K32" s="76">
        <v>1</v>
      </c>
      <c r="L32" s="76">
        <v>0</v>
      </c>
      <c r="M32" s="76">
        <v>0</v>
      </c>
      <c r="N32" s="76">
        <v>0</v>
      </c>
      <c r="O32" s="76">
        <v>0</v>
      </c>
      <c r="P32" s="76">
        <v>0</v>
      </c>
      <c r="Q32" s="76">
        <v>0</v>
      </c>
      <c r="R32" s="123" t="s">
        <v>2681</v>
      </c>
      <c r="S32" s="260" t="s">
        <v>733</v>
      </c>
      <c r="T32" s="261"/>
      <c r="U32" s="261"/>
      <c r="V32" s="262"/>
      <c r="W32" s="124">
        <v>13</v>
      </c>
      <c r="X32" s="124" t="s">
        <v>67</v>
      </c>
      <c r="Y32" s="79" t="s">
        <v>2682</v>
      </c>
      <c r="Z32">
        <v>5</v>
      </c>
    </row>
    <row r="33" spans="1:26" ht="263.25" customHeight="1" x14ac:dyDescent="0.2">
      <c r="A33" s="72">
        <v>20</v>
      </c>
      <c r="B33" s="75" t="s">
        <v>1288</v>
      </c>
      <c r="C33" s="74" t="s">
        <v>2926</v>
      </c>
      <c r="D33" s="257" t="s">
        <v>2683</v>
      </c>
      <c r="E33" s="258"/>
      <c r="F33" s="258"/>
      <c r="G33" s="259"/>
      <c r="H33" s="74" t="s">
        <v>2685</v>
      </c>
      <c r="I33" s="75" t="s">
        <v>2684</v>
      </c>
      <c r="J33" s="123">
        <v>0</v>
      </c>
      <c r="K33" s="139">
        <v>1</v>
      </c>
      <c r="L33" s="76">
        <v>0</v>
      </c>
      <c r="M33" s="76">
        <v>0</v>
      </c>
      <c r="N33" s="76">
        <v>0</v>
      </c>
      <c r="O33" s="76">
        <v>0</v>
      </c>
      <c r="P33" s="76">
        <v>1</v>
      </c>
      <c r="Q33" s="76">
        <v>2</v>
      </c>
      <c r="R33" s="123" t="s">
        <v>66</v>
      </c>
      <c r="S33" s="285" t="s">
        <v>2686</v>
      </c>
      <c r="T33" s="286"/>
      <c r="U33" s="286"/>
      <c r="V33" s="287"/>
      <c r="W33" s="122">
        <v>13</v>
      </c>
      <c r="X33" s="122" t="s">
        <v>67</v>
      </c>
      <c r="Y33" s="79" t="s">
        <v>2639</v>
      </c>
      <c r="Z33">
        <v>6</v>
      </c>
    </row>
    <row r="34" spans="1:26" ht="276" customHeight="1" x14ac:dyDescent="0.2">
      <c r="A34" s="72">
        <v>21</v>
      </c>
      <c r="B34" s="75" t="s">
        <v>1288</v>
      </c>
      <c r="C34" s="74" t="s">
        <v>2927</v>
      </c>
      <c r="D34" s="257" t="s">
        <v>2687</v>
      </c>
      <c r="E34" s="258"/>
      <c r="F34" s="258"/>
      <c r="G34" s="259"/>
      <c r="H34" s="74" t="s">
        <v>2688</v>
      </c>
      <c r="I34" s="75" t="s">
        <v>2878</v>
      </c>
      <c r="J34" s="76">
        <v>0</v>
      </c>
      <c r="K34" s="76">
        <v>1</v>
      </c>
      <c r="L34" s="76">
        <v>0</v>
      </c>
      <c r="M34" s="76">
        <v>0</v>
      </c>
      <c r="N34" s="76">
        <v>0</v>
      </c>
      <c r="O34" s="76">
        <v>0</v>
      </c>
      <c r="P34" s="76">
        <v>0</v>
      </c>
      <c r="Q34" s="76">
        <v>0</v>
      </c>
      <c r="R34" s="123" t="s">
        <v>66</v>
      </c>
      <c r="S34" s="285" t="s">
        <v>733</v>
      </c>
      <c r="T34" s="286"/>
      <c r="U34" s="286"/>
      <c r="V34" s="287"/>
      <c r="W34" s="122">
        <v>12</v>
      </c>
      <c r="X34" s="122" t="s">
        <v>67</v>
      </c>
      <c r="Y34" s="79" t="s">
        <v>2689</v>
      </c>
      <c r="Z34">
        <v>7</v>
      </c>
    </row>
    <row r="35" spans="1:26" ht="275.25" customHeight="1" x14ac:dyDescent="0.2">
      <c r="A35" s="72">
        <v>22</v>
      </c>
      <c r="B35" s="75" t="s">
        <v>2690</v>
      </c>
      <c r="C35" s="74" t="s">
        <v>2928</v>
      </c>
      <c r="D35" s="257" t="s">
        <v>2691</v>
      </c>
      <c r="E35" s="258"/>
      <c r="F35" s="258"/>
      <c r="G35" s="259"/>
      <c r="H35" s="74" t="s">
        <v>2693</v>
      </c>
      <c r="I35" s="75" t="s">
        <v>2692</v>
      </c>
      <c r="J35" s="76">
        <v>0</v>
      </c>
      <c r="K35" s="76">
        <v>1</v>
      </c>
      <c r="L35" s="76">
        <v>0</v>
      </c>
      <c r="M35" s="76">
        <v>0</v>
      </c>
      <c r="N35" s="76">
        <v>0</v>
      </c>
      <c r="O35" s="76">
        <v>0</v>
      </c>
      <c r="P35" s="76">
        <v>1</v>
      </c>
      <c r="Q35" s="76">
        <v>2</v>
      </c>
      <c r="R35" s="123" t="s">
        <v>66</v>
      </c>
      <c r="S35" s="285" t="s">
        <v>1571</v>
      </c>
      <c r="T35" s="286"/>
      <c r="U35" s="286"/>
      <c r="V35" s="287"/>
      <c r="W35" s="122">
        <v>12</v>
      </c>
      <c r="X35" s="122" t="s">
        <v>67</v>
      </c>
      <c r="Y35" s="79" t="s">
        <v>2694</v>
      </c>
      <c r="Z35">
        <v>8</v>
      </c>
    </row>
    <row r="36" spans="1:26" ht="222.75" customHeight="1" x14ac:dyDescent="0.2">
      <c r="A36" s="76">
        <v>23</v>
      </c>
      <c r="B36" s="75" t="s">
        <v>2695</v>
      </c>
      <c r="C36" s="74" t="s">
        <v>2929</v>
      </c>
      <c r="D36" s="257" t="s">
        <v>2696</v>
      </c>
      <c r="E36" s="258"/>
      <c r="F36" s="258"/>
      <c r="G36" s="259"/>
      <c r="H36" s="74" t="s">
        <v>2698</v>
      </c>
      <c r="I36" s="75" t="s">
        <v>2697</v>
      </c>
      <c r="J36" s="76">
        <v>0</v>
      </c>
      <c r="K36" s="76">
        <v>1</v>
      </c>
      <c r="L36" s="76">
        <v>0</v>
      </c>
      <c r="M36" s="76">
        <v>0</v>
      </c>
      <c r="N36" s="76">
        <v>0</v>
      </c>
      <c r="O36" s="76">
        <v>0</v>
      </c>
      <c r="P36" s="76">
        <v>0</v>
      </c>
      <c r="Q36" s="76">
        <v>0</v>
      </c>
      <c r="R36" s="123" t="s">
        <v>66</v>
      </c>
      <c r="S36" s="260" t="s">
        <v>2700</v>
      </c>
      <c r="T36" s="261"/>
      <c r="U36" s="261"/>
      <c r="V36" s="262"/>
      <c r="W36" s="124">
        <v>13</v>
      </c>
      <c r="X36" s="124" t="s">
        <v>67</v>
      </c>
      <c r="Y36" s="79" t="s">
        <v>2699</v>
      </c>
      <c r="Z36">
        <v>9</v>
      </c>
    </row>
    <row r="37" spans="1:26" ht="288" x14ac:dyDescent="0.2">
      <c r="A37" s="72">
        <v>24</v>
      </c>
      <c r="B37" s="75" t="s">
        <v>2701</v>
      </c>
      <c r="C37" s="74" t="s">
        <v>2930</v>
      </c>
      <c r="D37" s="257" t="s">
        <v>2702</v>
      </c>
      <c r="E37" s="258"/>
      <c r="F37" s="258"/>
      <c r="G37" s="259"/>
      <c r="H37" s="74" t="s">
        <v>2706</v>
      </c>
      <c r="I37" s="75" t="s">
        <v>2703</v>
      </c>
      <c r="J37" s="76">
        <v>0</v>
      </c>
      <c r="K37" s="76">
        <v>1</v>
      </c>
      <c r="L37" s="76">
        <v>0</v>
      </c>
      <c r="M37" s="76">
        <v>0</v>
      </c>
      <c r="N37" s="76">
        <v>0</v>
      </c>
      <c r="O37" s="76">
        <v>0</v>
      </c>
      <c r="P37" s="76">
        <v>1</v>
      </c>
      <c r="Q37" s="76">
        <v>1</v>
      </c>
      <c r="R37" s="123" t="s">
        <v>66</v>
      </c>
      <c r="S37" s="285" t="s">
        <v>2705</v>
      </c>
      <c r="T37" s="286"/>
      <c r="U37" s="286"/>
      <c r="V37" s="287"/>
      <c r="W37" s="122">
        <v>15</v>
      </c>
      <c r="X37" s="122" t="s">
        <v>67</v>
      </c>
      <c r="Y37" s="79" t="s">
        <v>2639</v>
      </c>
      <c r="Z37">
        <v>1</v>
      </c>
    </row>
    <row r="38" spans="1:26" ht="324" x14ac:dyDescent="0.2">
      <c r="A38" s="72">
        <v>25</v>
      </c>
      <c r="B38" s="75" t="s">
        <v>2707</v>
      </c>
      <c r="C38" s="74" t="s">
        <v>2931</v>
      </c>
      <c r="D38" s="257" t="s">
        <v>2708</v>
      </c>
      <c r="E38" s="258"/>
      <c r="F38" s="258"/>
      <c r="G38" s="259"/>
      <c r="H38" s="74" t="s">
        <v>2710</v>
      </c>
      <c r="I38" s="75" t="s">
        <v>2709</v>
      </c>
      <c r="J38" s="76">
        <v>0</v>
      </c>
      <c r="K38" s="76">
        <v>1</v>
      </c>
      <c r="L38" s="76">
        <v>0</v>
      </c>
      <c r="M38" s="76">
        <v>0</v>
      </c>
      <c r="N38" s="76">
        <v>0</v>
      </c>
      <c r="O38" s="76">
        <v>0</v>
      </c>
      <c r="P38" s="76">
        <v>0</v>
      </c>
      <c r="Q38" s="76">
        <v>0</v>
      </c>
      <c r="R38" s="123" t="s">
        <v>2711</v>
      </c>
      <c r="S38" s="285" t="s">
        <v>2712</v>
      </c>
      <c r="T38" s="286"/>
      <c r="U38" s="286"/>
      <c r="V38" s="287"/>
      <c r="W38" s="122">
        <v>12</v>
      </c>
      <c r="X38" s="122" t="s">
        <v>67</v>
      </c>
      <c r="Y38" s="79" t="s">
        <v>2713</v>
      </c>
      <c r="Z38">
        <v>2</v>
      </c>
    </row>
    <row r="39" spans="1:26" ht="237.75" customHeight="1" x14ac:dyDescent="0.2">
      <c r="A39" s="72">
        <v>26</v>
      </c>
      <c r="B39" s="75" t="s">
        <v>1513</v>
      </c>
      <c r="C39" s="74" t="s">
        <v>2932</v>
      </c>
      <c r="D39" s="257" t="s">
        <v>2714</v>
      </c>
      <c r="E39" s="258"/>
      <c r="F39" s="258"/>
      <c r="G39" s="259"/>
      <c r="H39" s="82" t="s">
        <v>2716</v>
      </c>
      <c r="I39" s="75" t="s">
        <v>2715</v>
      </c>
      <c r="J39" s="76">
        <v>0</v>
      </c>
      <c r="K39" s="76">
        <v>1</v>
      </c>
      <c r="L39" s="76">
        <v>0</v>
      </c>
      <c r="M39" s="76">
        <v>0</v>
      </c>
      <c r="N39" s="76">
        <v>0</v>
      </c>
      <c r="O39" s="76">
        <v>0</v>
      </c>
      <c r="P39" s="76">
        <v>1</v>
      </c>
      <c r="Q39" s="76">
        <v>2</v>
      </c>
      <c r="R39" s="123" t="s">
        <v>66</v>
      </c>
      <c r="S39" s="260" t="s">
        <v>1872</v>
      </c>
      <c r="T39" s="261"/>
      <c r="U39" s="261"/>
      <c r="V39" s="262"/>
      <c r="W39" s="124">
        <v>14</v>
      </c>
      <c r="X39" s="124" t="s">
        <v>67</v>
      </c>
      <c r="Y39" s="79" t="s">
        <v>2639</v>
      </c>
      <c r="Z39">
        <v>1</v>
      </c>
    </row>
    <row r="40" spans="1:26" ht="240" x14ac:dyDescent="0.2">
      <c r="A40" s="76">
        <v>27</v>
      </c>
      <c r="B40" s="75" t="s">
        <v>1628</v>
      </c>
      <c r="C40" s="74" t="s">
        <v>2933</v>
      </c>
      <c r="D40" s="257" t="s">
        <v>2717</v>
      </c>
      <c r="E40" s="258"/>
      <c r="F40" s="258"/>
      <c r="G40" s="259"/>
      <c r="H40" s="74" t="s">
        <v>2719</v>
      </c>
      <c r="I40" s="75" t="s">
        <v>2718</v>
      </c>
      <c r="J40" s="76">
        <v>0</v>
      </c>
      <c r="K40" s="76">
        <v>1</v>
      </c>
      <c r="L40" s="76">
        <v>0</v>
      </c>
      <c r="M40" s="76">
        <v>0</v>
      </c>
      <c r="N40" s="76">
        <v>0</v>
      </c>
      <c r="O40" s="76">
        <v>0</v>
      </c>
      <c r="P40" s="76">
        <v>1</v>
      </c>
      <c r="Q40" s="76">
        <v>4</v>
      </c>
      <c r="R40" s="123" t="s">
        <v>2720</v>
      </c>
      <c r="S40" s="260" t="s">
        <v>2721</v>
      </c>
      <c r="T40" s="261"/>
      <c r="U40" s="261"/>
      <c r="V40" s="262"/>
      <c r="W40" s="124">
        <v>14</v>
      </c>
      <c r="X40" s="124" t="s">
        <v>67</v>
      </c>
      <c r="Y40" s="79" t="s">
        <v>2639</v>
      </c>
      <c r="Z40">
        <v>2</v>
      </c>
    </row>
    <row r="41" spans="1:26" ht="303" customHeight="1" x14ac:dyDescent="0.2">
      <c r="A41" s="72">
        <v>28</v>
      </c>
      <c r="B41" s="75" t="s">
        <v>1640</v>
      </c>
      <c r="C41" s="74" t="s">
        <v>2934</v>
      </c>
      <c r="D41" s="257" t="s">
        <v>2722</v>
      </c>
      <c r="E41" s="258"/>
      <c r="F41" s="258"/>
      <c r="G41" s="259"/>
      <c r="H41" s="74" t="s">
        <v>2724</v>
      </c>
      <c r="I41" s="75" t="s">
        <v>2723</v>
      </c>
      <c r="J41" s="76">
        <v>0</v>
      </c>
      <c r="K41" s="76">
        <v>1</v>
      </c>
      <c r="L41" s="76">
        <v>0</v>
      </c>
      <c r="M41" s="76">
        <v>0</v>
      </c>
      <c r="N41" s="76">
        <v>0</v>
      </c>
      <c r="O41" s="76">
        <v>0</v>
      </c>
      <c r="P41" s="76">
        <v>1</v>
      </c>
      <c r="Q41" s="76">
        <v>3</v>
      </c>
      <c r="R41" s="123" t="s">
        <v>66</v>
      </c>
      <c r="S41" s="285" t="s">
        <v>2725</v>
      </c>
      <c r="T41" s="286"/>
      <c r="U41" s="286"/>
      <c r="V41" s="287"/>
      <c r="W41" s="122">
        <v>11</v>
      </c>
      <c r="X41" s="122" t="s">
        <v>67</v>
      </c>
      <c r="Y41" s="79" t="s">
        <v>2639</v>
      </c>
      <c r="Z41">
        <v>3</v>
      </c>
    </row>
    <row r="42" spans="1:26" ht="216" x14ac:dyDescent="0.2">
      <c r="A42" s="72">
        <v>29</v>
      </c>
      <c r="B42" s="75" t="s">
        <v>1700</v>
      </c>
      <c r="C42" s="74" t="s">
        <v>2935</v>
      </c>
      <c r="D42" s="257" t="s">
        <v>2726</v>
      </c>
      <c r="E42" s="258"/>
      <c r="F42" s="258"/>
      <c r="G42" s="259"/>
      <c r="H42" s="74" t="s">
        <v>2728</v>
      </c>
      <c r="I42" s="75" t="s">
        <v>2727</v>
      </c>
      <c r="J42" s="76">
        <v>0</v>
      </c>
      <c r="K42" s="76">
        <v>1</v>
      </c>
      <c r="L42" s="76">
        <v>0</v>
      </c>
      <c r="M42" s="76">
        <v>0</v>
      </c>
      <c r="N42" s="76">
        <v>0</v>
      </c>
      <c r="O42" s="76">
        <v>0</v>
      </c>
      <c r="P42" s="76">
        <v>1</v>
      </c>
      <c r="Q42" s="76">
        <v>4</v>
      </c>
      <c r="R42" s="123" t="s">
        <v>66</v>
      </c>
      <c r="S42" s="260" t="s">
        <v>2729</v>
      </c>
      <c r="T42" s="261"/>
      <c r="U42" s="261"/>
      <c r="V42" s="262"/>
      <c r="W42" s="124">
        <v>15</v>
      </c>
      <c r="X42" s="124" t="s">
        <v>67</v>
      </c>
      <c r="Y42" s="79" t="s">
        <v>2639</v>
      </c>
      <c r="Z42">
        <v>1</v>
      </c>
    </row>
    <row r="43" spans="1:26" ht="236.25" customHeight="1" x14ac:dyDescent="0.2">
      <c r="A43" s="72">
        <v>30</v>
      </c>
      <c r="B43" s="75" t="s">
        <v>1704</v>
      </c>
      <c r="C43" s="74" t="s">
        <v>2936</v>
      </c>
      <c r="D43" s="257" t="s">
        <v>2730</v>
      </c>
      <c r="E43" s="258"/>
      <c r="F43" s="258"/>
      <c r="G43" s="259"/>
      <c r="H43" s="74" t="s">
        <v>2728</v>
      </c>
      <c r="I43" s="75" t="s">
        <v>2731</v>
      </c>
      <c r="J43" s="76">
        <v>0</v>
      </c>
      <c r="K43" s="76">
        <v>1</v>
      </c>
      <c r="L43" s="76">
        <v>0</v>
      </c>
      <c r="M43" s="76">
        <v>0</v>
      </c>
      <c r="N43" s="76">
        <v>0</v>
      </c>
      <c r="O43" s="76">
        <v>0</v>
      </c>
      <c r="P43" s="76">
        <v>0</v>
      </c>
      <c r="Q43" s="76">
        <v>0</v>
      </c>
      <c r="R43" s="123" t="s">
        <v>66</v>
      </c>
      <c r="S43" s="260" t="s">
        <v>2725</v>
      </c>
      <c r="T43" s="261"/>
      <c r="U43" s="261"/>
      <c r="V43" s="262"/>
      <c r="W43" s="124">
        <v>10</v>
      </c>
      <c r="X43" s="124" t="s">
        <v>67</v>
      </c>
      <c r="Y43" s="79" t="s">
        <v>2732</v>
      </c>
      <c r="Z43">
        <v>2</v>
      </c>
    </row>
    <row r="44" spans="1:26" ht="262.5" customHeight="1" x14ac:dyDescent="0.2">
      <c r="A44" s="76">
        <v>31</v>
      </c>
      <c r="B44" s="75" t="s">
        <v>2733</v>
      </c>
      <c r="C44" s="74" t="s">
        <v>2937</v>
      </c>
      <c r="D44" s="257" t="s">
        <v>2734</v>
      </c>
      <c r="E44" s="258"/>
      <c r="F44" s="258"/>
      <c r="G44" s="259"/>
      <c r="H44" s="74" t="s">
        <v>2676</v>
      </c>
      <c r="I44" s="75" t="s">
        <v>2735</v>
      </c>
      <c r="J44" s="76">
        <v>0</v>
      </c>
      <c r="K44" s="76">
        <v>1</v>
      </c>
      <c r="L44" s="76">
        <v>0</v>
      </c>
      <c r="M44" s="76">
        <v>0</v>
      </c>
      <c r="N44" s="76">
        <v>0</v>
      </c>
      <c r="O44" s="76">
        <v>0</v>
      </c>
      <c r="P44" s="76">
        <v>1</v>
      </c>
      <c r="Q44" s="76">
        <v>4</v>
      </c>
      <c r="R44" s="123" t="s">
        <v>66</v>
      </c>
      <c r="S44" s="260" t="s">
        <v>2736</v>
      </c>
      <c r="T44" s="261"/>
      <c r="U44" s="261"/>
      <c r="V44" s="262"/>
      <c r="W44" s="124">
        <v>15</v>
      </c>
      <c r="X44" s="124" t="s">
        <v>67</v>
      </c>
      <c r="Y44" s="79" t="s">
        <v>2639</v>
      </c>
      <c r="Z44">
        <v>3</v>
      </c>
    </row>
    <row r="45" spans="1:26" ht="273" customHeight="1" x14ac:dyDescent="0.2">
      <c r="A45" s="72">
        <v>32</v>
      </c>
      <c r="B45" s="75" t="s">
        <v>2737</v>
      </c>
      <c r="C45" s="74" t="s">
        <v>2938</v>
      </c>
      <c r="D45" s="257" t="s">
        <v>2738</v>
      </c>
      <c r="E45" s="258"/>
      <c r="F45" s="258"/>
      <c r="G45" s="259"/>
      <c r="H45" s="74" t="s">
        <v>2704</v>
      </c>
      <c r="I45" s="75" t="s">
        <v>2739</v>
      </c>
      <c r="J45" s="76">
        <v>0</v>
      </c>
      <c r="K45" s="76">
        <v>1</v>
      </c>
      <c r="L45" s="76">
        <v>0</v>
      </c>
      <c r="M45" s="76">
        <v>0</v>
      </c>
      <c r="N45" s="76">
        <v>0</v>
      </c>
      <c r="O45" s="76">
        <v>0</v>
      </c>
      <c r="P45" s="76">
        <v>1</v>
      </c>
      <c r="Q45" s="76">
        <v>3</v>
      </c>
      <c r="R45" s="123" t="s">
        <v>66</v>
      </c>
      <c r="S45" s="260" t="s">
        <v>2740</v>
      </c>
      <c r="T45" s="261"/>
      <c r="U45" s="261"/>
      <c r="V45" s="262"/>
      <c r="W45" s="124">
        <v>15</v>
      </c>
      <c r="X45" s="124" t="s">
        <v>67</v>
      </c>
      <c r="Y45" s="79" t="s">
        <v>2639</v>
      </c>
      <c r="Z45">
        <v>1</v>
      </c>
    </row>
    <row r="46" spans="1:26" ht="258" customHeight="1" x14ac:dyDescent="0.2">
      <c r="A46" s="72">
        <v>33</v>
      </c>
      <c r="B46" s="75" t="s">
        <v>1917</v>
      </c>
      <c r="C46" s="74" t="s">
        <v>2939</v>
      </c>
      <c r="D46" s="257" t="s">
        <v>2741</v>
      </c>
      <c r="E46" s="258"/>
      <c r="F46" s="258"/>
      <c r="G46" s="259"/>
      <c r="H46" s="74" t="s">
        <v>2743</v>
      </c>
      <c r="I46" s="75" t="s">
        <v>2742</v>
      </c>
      <c r="J46" s="76">
        <v>0</v>
      </c>
      <c r="K46" s="76">
        <v>1</v>
      </c>
      <c r="L46" s="76">
        <v>0</v>
      </c>
      <c r="M46" s="76">
        <v>0</v>
      </c>
      <c r="N46" s="76">
        <v>0</v>
      </c>
      <c r="O46" s="76">
        <v>0</v>
      </c>
      <c r="P46" s="76">
        <v>1</v>
      </c>
      <c r="Q46" s="76">
        <v>1</v>
      </c>
      <c r="R46" s="123" t="s">
        <v>66</v>
      </c>
      <c r="S46" s="260" t="s">
        <v>2686</v>
      </c>
      <c r="T46" s="261"/>
      <c r="U46" s="261"/>
      <c r="V46" s="262"/>
      <c r="W46" s="124">
        <v>13</v>
      </c>
      <c r="X46" s="124" t="s">
        <v>67</v>
      </c>
      <c r="Y46" s="79" t="s">
        <v>2639</v>
      </c>
      <c r="Z46">
        <v>2</v>
      </c>
    </row>
    <row r="47" spans="1:26" ht="261.75" customHeight="1" x14ac:dyDescent="0.2">
      <c r="A47" s="72">
        <v>34</v>
      </c>
      <c r="B47" s="75" t="s">
        <v>2744</v>
      </c>
      <c r="C47" s="74" t="s">
        <v>2940</v>
      </c>
      <c r="D47" s="257" t="s">
        <v>2745</v>
      </c>
      <c r="E47" s="258"/>
      <c r="F47" s="258"/>
      <c r="G47" s="259"/>
      <c r="H47" s="74" t="s">
        <v>2747</v>
      </c>
      <c r="I47" s="75" t="s">
        <v>2746</v>
      </c>
      <c r="J47" s="76">
        <v>0</v>
      </c>
      <c r="K47" s="76">
        <v>1</v>
      </c>
      <c r="L47" s="76">
        <v>0</v>
      </c>
      <c r="M47" s="76">
        <v>0</v>
      </c>
      <c r="N47" s="76">
        <v>0</v>
      </c>
      <c r="O47" s="76">
        <v>0</v>
      </c>
      <c r="P47" s="76">
        <v>1</v>
      </c>
      <c r="Q47" s="76">
        <v>1</v>
      </c>
      <c r="R47" s="123" t="s">
        <v>66</v>
      </c>
      <c r="S47" s="260" t="s">
        <v>2748</v>
      </c>
      <c r="T47" s="261"/>
      <c r="U47" s="261"/>
      <c r="V47" s="262"/>
      <c r="W47" s="124">
        <v>18</v>
      </c>
      <c r="X47" s="124" t="s">
        <v>67</v>
      </c>
      <c r="Y47" s="79" t="s">
        <v>2639</v>
      </c>
      <c r="Z47">
        <v>3</v>
      </c>
    </row>
    <row r="48" spans="1:26" ht="306" customHeight="1" x14ac:dyDescent="0.2">
      <c r="A48" s="76">
        <v>35</v>
      </c>
      <c r="B48" s="75" t="s">
        <v>1965</v>
      </c>
      <c r="C48" s="74" t="s">
        <v>2941</v>
      </c>
      <c r="D48" s="257" t="s">
        <v>2749</v>
      </c>
      <c r="E48" s="258"/>
      <c r="F48" s="258"/>
      <c r="G48" s="259"/>
      <c r="H48" s="74" t="s">
        <v>2751</v>
      </c>
      <c r="I48" s="75" t="s">
        <v>2750</v>
      </c>
      <c r="J48" s="76">
        <v>0</v>
      </c>
      <c r="K48" s="76">
        <v>1</v>
      </c>
      <c r="L48" s="76">
        <v>0</v>
      </c>
      <c r="M48" s="76">
        <v>0</v>
      </c>
      <c r="N48" s="76">
        <v>0</v>
      </c>
      <c r="O48" s="76">
        <v>0</v>
      </c>
      <c r="P48" s="76">
        <v>1</v>
      </c>
      <c r="Q48" s="76">
        <v>2</v>
      </c>
      <c r="R48" s="123" t="s">
        <v>2681</v>
      </c>
      <c r="S48" s="260" t="s">
        <v>632</v>
      </c>
      <c r="T48" s="261"/>
      <c r="U48" s="261"/>
      <c r="V48" s="262"/>
      <c r="W48" s="124">
        <v>13</v>
      </c>
      <c r="X48" s="124" t="s">
        <v>67</v>
      </c>
      <c r="Y48" s="79" t="s">
        <v>2639</v>
      </c>
      <c r="Z48">
        <v>4</v>
      </c>
    </row>
    <row r="49" spans="1:26" ht="288" x14ac:dyDescent="0.2">
      <c r="A49" s="72">
        <v>36</v>
      </c>
      <c r="B49" s="75" t="s">
        <v>2752</v>
      </c>
      <c r="C49" s="74" t="s">
        <v>2942</v>
      </c>
      <c r="D49" s="257" t="s">
        <v>2753</v>
      </c>
      <c r="E49" s="258"/>
      <c r="F49" s="258"/>
      <c r="G49" s="259"/>
      <c r="H49" s="74" t="s">
        <v>2755</v>
      </c>
      <c r="I49" s="75" t="s">
        <v>2754</v>
      </c>
      <c r="J49" s="76">
        <v>0</v>
      </c>
      <c r="K49" s="76">
        <v>1</v>
      </c>
      <c r="L49" s="76">
        <v>0</v>
      </c>
      <c r="M49" s="76">
        <v>0</v>
      </c>
      <c r="N49" s="76">
        <v>0</v>
      </c>
      <c r="O49" s="76">
        <v>0</v>
      </c>
      <c r="P49" s="76">
        <v>0</v>
      </c>
      <c r="Q49" s="76">
        <v>0</v>
      </c>
      <c r="R49" s="123" t="s">
        <v>66</v>
      </c>
      <c r="S49" s="260" t="s">
        <v>2756</v>
      </c>
      <c r="T49" s="261"/>
      <c r="U49" s="261"/>
      <c r="V49" s="262"/>
      <c r="W49" s="124">
        <v>18</v>
      </c>
      <c r="X49" s="124" t="s">
        <v>67</v>
      </c>
      <c r="Y49" s="79" t="s">
        <v>2757</v>
      </c>
      <c r="Z49">
        <v>5</v>
      </c>
    </row>
    <row r="50" spans="1:26" ht="252" x14ac:dyDescent="0.2">
      <c r="A50" s="72">
        <v>37</v>
      </c>
      <c r="B50" s="75" t="s">
        <v>2758</v>
      </c>
      <c r="C50" s="74" t="s">
        <v>2943</v>
      </c>
      <c r="D50" s="257" t="s">
        <v>2759</v>
      </c>
      <c r="E50" s="258"/>
      <c r="F50" s="258"/>
      <c r="G50" s="259"/>
      <c r="H50" s="74" t="s">
        <v>2761</v>
      </c>
      <c r="I50" s="75" t="s">
        <v>2760</v>
      </c>
      <c r="J50" s="76">
        <v>0</v>
      </c>
      <c r="K50" s="76">
        <v>1</v>
      </c>
      <c r="L50" s="76">
        <v>0</v>
      </c>
      <c r="M50" s="76">
        <v>0</v>
      </c>
      <c r="N50" s="76">
        <v>0</v>
      </c>
      <c r="O50" s="76">
        <v>0</v>
      </c>
      <c r="P50" s="76">
        <v>1</v>
      </c>
      <c r="Q50" s="76">
        <v>3</v>
      </c>
      <c r="R50" s="123" t="s">
        <v>2681</v>
      </c>
      <c r="S50" s="260" t="s">
        <v>2762</v>
      </c>
      <c r="T50" s="261"/>
      <c r="U50" s="261"/>
      <c r="V50" s="262"/>
      <c r="W50" s="124">
        <v>12</v>
      </c>
      <c r="X50" s="124" t="s">
        <v>67</v>
      </c>
      <c r="Y50" s="79" t="s">
        <v>2639</v>
      </c>
      <c r="Z50">
        <v>6</v>
      </c>
    </row>
    <row r="51" spans="1:26" ht="303" customHeight="1" x14ac:dyDescent="0.2">
      <c r="A51" s="72">
        <v>38</v>
      </c>
      <c r="B51" s="75" t="s">
        <v>2048</v>
      </c>
      <c r="C51" s="74" t="s">
        <v>2944</v>
      </c>
      <c r="D51" s="257" t="s">
        <v>2763</v>
      </c>
      <c r="E51" s="258"/>
      <c r="F51" s="258"/>
      <c r="G51" s="259"/>
      <c r="H51" s="74" t="s">
        <v>2765</v>
      </c>
      <c r="I51" s="75" t="s">
        <v>2764</v>
      </c>
      <c r="J51" s="76">
        <v>0</v>
      </c>
      <c r="K51" s="76">
        <v>1</v>
      </c>
      <c r="L51" s="76">
        <v>0</v>
      </c>
      <c r="M51" s="76">
        <v>0</v>
      </c>
      <c r="N51" s="76">
        <v>0</v>
      </c>
      <c r="O51" s="76">
        <v>0</v>
      </c>
      <c r="P51" s="76">
        <v>1</v>
      </c>
      <c r="Q51" s="76">
        <v>3</v>
      </c>
      <c r="R51" s="123" t="s">
        <v>66</v>
      </c>
      <c r="S51" s="260" t="s">
        <v>632</v>
      </c>
      <c r="T51" s="261"/>
      <c r="U51" s="261"/>
      <c r="V51" s="262"/>
      <c r="W51" s="124">
        <v>18</v>
      </c>
      <c r="X51" s="124" t="s">
        <v>67</v>
      </c>
      <c r="Y51" s="79" t="s">
        <v>2639</v>
      </c>
      <c r="Z51">
        <v>1</v>
      </c>
    </row>
    <row r="52" spans="1:26" ht="240" x14ac:dyDescent="0.2">
      <c r="A52" s="76">
        <v>39</v>
      </c>
      <c r="B52" s="75" t="s">
        <v>2081</v>
      </c>
      <c r="C52" s="74" t="s">
        <v>2945</v>
      </c>
      <c r="D52" s="257" t="s">
        <v>2766</v>
      </c>
      <c r="E52" s="258"/>
      <c r="F52" s="258"/>
      <c r="G52" s="259"/>
      <c r="H52" s="74" t="s">
        <v>2768</v>
      </c>
      <c r="I52" s="75" t="s">
        <v>2767</v>
      </c>
      <c r="J52" s="76">
        <v>0</v>
      </c>
      <c r="K52" s="76">
        <v>1</v>
      </c>
      <c r="L52" s="76">
        <v>0</v>
      </c>
      <c r="M52" s="76">
        <v>0</v>
      </c>
      <c r="N52" s="76">
        <v>0</v>
      </c>
      <c r="O52" s="76">
        <v>0</v>
      </c>
      <c r="P52" s="76">
        <v>1</v>
      </c>
      <c r="Q52" s="76">
        <v>4</v>
      </c>
      <c r="R52" s="123" t="s">
        <v>2681</v>
      </c>
      <c r="S52" s="260" t="s">
        <v>2700</v>
      </c>
      <c r="T52" s="261"/>
      <c r="U52" s="261"/>
      <c r="V52" s="262"/>
      <c r="W52" s="124">
        <v>17</v>
      </c>
      <c r="X52" s="124" t="s">
        <v>67</v>
      </c>
      <c r="Y52" s="79" t="s">
        <v>2639</v>
      </c>
      <c r="Z52">
        <v>2</v>
      </c>
    </row>
    <row r="53" spans="1:26" ht="228" customHeight="1" x14ac:dyDescent="0.2">
      <c r="A53" s="72">
        <v>40</v>
      </c>
      <c r="B53" s="75" t="s">
        <v>2092</v>
      </c>
      <c r="C53" s="74" t="s">
        <v>2946</v>
      </c>
      <c r="D53" s="257" t="s">
        <v>2769</v>
      </c>
      <c r="E53" s="258"/>
      <c r="F53" s="258"/>
      <c r="G53" s="259"/>
      <c r="H53" s="74" t="s">
        <v>2771</v>
      </c>
      <c r="I53" s="75" t="s">
        <v>2770</v>
      </c>
      <c r="J53" s="76">
        <v>0</v>
      </c>
      <c r="K53" s="76">
        <v>1</v>
      </c>
      <c r="L53" s="76">
        <v>0</v>
      </c>
      <c r="M53" s="76">
        <v>0</v>
      </c>
      <c r="N53" s="76">
        <v>0</v>
      </c>
      <c r="O53" s="76">
        <v>0</v>
      </c>
      <c r="P53" s="76">
        <v>1</v>
      </c>
      <c r="Q53" s="76">
        <v>1</v>
      </c>
      <c r="R53" s="123" t="s">
        <v>2772</v>
      </c>
      <c r="S53" s="260" t="s">
        <v>2773</v>
      </c>
      <c r="T53" s="261"/>
      <c r="U53" s="261"/>
      <c r="V53" s="262"/>
      <c r="W53" s="124">
        <v>13</v>
      </c>
      <c r="X53" s="124" t="s">
        <v>67</v>
      </c>
      <c r="Y53" s="79" t="s">
        <v>2639</v>
      </c>
      <c r="Z53">
        <v>3</v>
      </c>
    </row>
    <row r="54" spans="1:26" ht="264" x14ac:dyDescent="0.2">
      <c r="A54" s="72">
        <v>41</v>
      </c>
      <c r="B54" s="75" t="s">
        <v>2852</v>
      </c>
      <c r="C54" s="74" t="s">
        <v>2947</v>
      </c>
      <c r="D54" s="257" t="s">
        <v>2853</v>
      </c>
      <c r="E54" s="258"/>
      <c r="F54" s="258"/>
      <c r="G54" s="259"/>
      <c r="H54" s="74" t="s">
        <v>2747</v>
      </c>
      <c r="I54" s="75" t="s">
        <v>2854</v>
      </c>
      <c r="J54" s="76">
        <v>0</v>
      </c>
      <c r="K54" s="76">
        <v>1</v>
      </c>
      <c r="L54" s="76">
        <v>0</v>
      </c>
      <c r="M54" s="76">
        <v>0</v>
      </c>
      <c r="N54" s="76">
        <v>0</v>
      </c>
      <c r="O54" s="76">
        <v>0</v>
      </c>
      <c r="P54" s="76">
        <v>0</v>
      </c>
      <c r="Q54" s="76">
        <v>0</v>
      </c>
      <c r="R54" s="123" t="s">
        <v>2681</v>
      </c>
      <c r="S54" s="260" t="s">
        <v>2855</v>
      </c>
      <c r="T54" s="261"/>
      <c r="U54" s="261"/>
      <c r="V54" s="262"/>
      <c r="W54" s="124">
        <v>8</v>
      </c>
      <c r="X54" s="124" t="s">
        <v>67</v>
      </c>
      <c r="Y54" s="79" t="s">
        <v>2856</v>
      </c>
      <c r="Z54">
        <v>4</v>
      </c>
    </row>
    <row r="55" spans="1:26" ht="324" x14ac:dyDescent="0.2">
      <c r="A55" s="72">
        <v>42</v>
      </c>
      <c r="B55" s="75" t="s">
        <v>2292</v>
      </c>
      <c r="C55" s="74" t="s">
        <v>2948</v>
      </c>
      <c r="D55" s="257" t="s">
        <v>2857</v>
      </c>
      <c r="E55" s="258"/>
      <c r="F55" s="258"/>
      <c r="G55" s="259"/>
      <c r="H55" s="74" t="s">
        <v>2859</v>
      </c>
      <c r="I55" s="75" t="s">
        <v>2858</v>
      </c>
      <c r="J55" s="76">
        <v>0</v>
      </c>
      <c r="K55" s="76">
        <v>4</v>
      </c>
      <c r="L55" s="76">
        <v>0</v>
      </c>
      <c r="M55" s="76">
        <v>0</v>
      </c>
      <c r="N55" s="76">
        <v>0</v>
      </c>
      <c r="O55" s="76">
        <v>0</v>
      </c>
      <c r="P55" s="76">
        <v>4</v>
      </c>
      <c r="Q55" s="76">
        <v>4</v>
      </c>
      <c r="R55" s="123" t="s">
        <v>66</v>
      </c>
      <c r="S55" s="260" t="s">
        <v>2379</v>
      </c>
      <c r="T55" s="261"/>
      <c r="U55" s="261"/>
      <c r="V55" s="262"/>
      <c r="W55" s="124">
        <v>15</v>
      </c>
      <c r="X55" s="124" t="s">
        <v>67</v>
      </c>
      <c r="Y55" s="79" t="s">
        <v>2639</v>
      </c>
      <c r="Z55">
        <v>1</v>
      </c>
    </row>
    <row r="56" spans="1:26" ht="192" x14ac:dyDescent="0.2">
      <c r="A56" s="76">
        <v>43</v>
      </c>
      <c r="B56" s="75" t="s">
        <v>2339</v>
      </c>
      <c r="C56" s="74" t="s">
        <v>2949</v>
      </c>
      <c r="D56" s="257" t="s">
        <v>2860</v>
      </c>
      <c r="E56" s="258"/>
      <c r="F56" s="258"/>
      <c r="G56" s="259"/>
      <c r="H56" s="74" t="s">
        <v>2747</v>
      </c>
      <c r="I56" s="75" t="s">
        <v>2861</v>
      </c>
      <c r="J56" s="76">
        <v>0</v>
      </c>
      <c r="K56" s="76">
        <v>1</v>
      </c>
      <c r="L56" s="76">
        <v>0</v>
      </c>
      <c r="M56" s="76">
        <v>0</v>
      </c>
      <c r="N56" s="76">
        <v>0</v>
      </c>
      <c r="O56" s="76">
        <v>0</v>
      </c>
      <c r="P56" s="76">
        <v>1</v>
      </c>
      <c r="Q56" s="76">
        <v>1</v>
      </c>
      <c r="R56" s="123" t="s">
        <v>66</v>
      </c>
      <c r="S56" s="260" t="s">
        <v>2862</v>
      </c>
      <c r="T56" s="261"/>
      <c r="U56" s="261"/>
      <c r="V56" s="262"/>
      <c r="W56" s="124">
        <v>14</v>
      </c>
      <c r="X56" s="124" t="s">
        <v>67</v>
      </c>
      <c r="Y56" s="79" t="s">
        <v>2639</v>
      </c>
      <c r="Z56">
        <v>2</v>
      </c>
    </row>
    <row r="57" spans="1:26" ht="263.25" customHeight="1" x14ac:dyDescent="0.2">
      <c r="A57" s="72">
        <v>44</v>
      </c>
      <c r="B57" s="75" t="s">
        <v>2863</v>
      </c>
      <c r="C57" s="74" t="s">
        <v>2950</v>
      </c>
      <c r="D57" s="257" t="s">
        <v>2864</v>
      </c>
      <c r="E57" s="258"/>
      <c r="F57" s="258"/>
      <c r="G57" s="259"/>
      <c r="H57" s="74" t="s">
        <v>2768</v>
      </c>
      <c r="I57" s="75" t="s">
        <v>2865</v>
      </c>
      <c r="J57" s="76">
        <v>0</v>
      </c>
      <c r="K57" s="76">
        <v>1</v>
      </c>
      <c r="L57" s="76">
        <v>0</v>
      </c>
      <c r="M57" s="76">
        <v>0</v>
      </c>
      <c r="N57" s="76">
        <v>0</v>
      </c>
      <c r="O57" s="76">
        <v>0</v>
      </c>
      <c r="P57" s="76">
        <v>0</v>
      </c>
      <c r="Q57" s="76">
        <v>0</v>
      </c>
      <c r="R57" s="123" t="s">
        <v>2866</v>
      </c>
      <c r="S57" s="260" t="s">
        <v>2867</v>
      </c>
      <c r="T57" s="261"/>
      <c r="U57" s="261"/>
      <c r="V57" s="262"/>
      <c r="W57" s="124">
        <v>13</v>
      </c>
      <c r="X57" s="124" t="s">
        <v>67</v>
      </c>
      <c r="Y57" s="79" t="s">
        <v>2868</v>
      </c>
      <c r="Z57">
        <v>1</v>
      </c>
    </row>
    <row r="58" spans="1:26" ht="300" x14ac:dyDescent="0.2">
      <c r="A58" s="72">
        <v>45</v>
      </c>
      <c r="B58" s="75" t="s">
        <v>2534</v>
      </c>
      <c r="C58" s="74" t="s">
        <v>2951</v>
      </c>
      <c r="D58" s="257" t="s">
        <v>2538</v>
      </c>
      <c r="E58" s="258"/>
      <c r="F58" s="258"/>
      <c r="G58" s="259"/>
      <c r="H58" s="74" t="s">
        <v>2768</v>
      </c>
      <c r="I58" s="75" t="s">
        <v>2869</v>
      </c>
      <c r="J58" s="76">
        <v>0</v>
      </c>
      <c r="K58" s="76">
        <v>1</v>
      </c>
      <c r="L58" s="76">
        <v>0</v>
      </c>
      <c r="M58" s="76">
        <v>0</v>
      </c>
      <c r="N58" s="76">
        <v>0</v>
      </c>
      <c r="O58" s="76">
        <v>0</v>
      </c>
      <c r="P58" s="76">
        <v>1</v>
      </c>
      <c r="Q58" s="76">
        <v>3</v>
      </c>
      <c r="R58" s="123" t="s">
        <v>2870</v>
      </c>
      <c r="S58" s="260" t="s">
        <v>2867</v>
      </c>
      <c r="T58" s="261"/>
      <c r="U58" s="261"/>
      <c r="V58" s="262"/>
      <c r="W58" s="124">
        <v>15</v>
      </c>
      <c r="X58" s="124" t="s">
        <v>67</v>
      </c>
      <c r="Y58" s="79" t="s">
        <v>2639</v>
      </c>
      <c r="Z58">
        <v>2</v>
      </c>
    </row>
    <row r="59" spans="1:26" ht="221.25" customHeight="1" x14ac:dyDescent="0.2">
      <c r="A59" s="72">
        <v>46</v>
      </c>
      <c r="B59" s="75" t="s">
        <v>2593</v>
      </c>
      <c r="C59" s="74" t="s">
        <v>2943</v>
      </c>
      <c r="D59" s="257" t="s">
        <v>2871</v>
      </c>
      <c r="E59" s="258"/>
      <c r="F59" s="258"/>
      <c r="G59" s="259"/>
      <c r="H59" s="74" t="s">
        <v>2768</v>
      </c>
      <c r="I59" s="75" t="s">
        <v>2872</v>
      </c>
      <c r="J59" s="76">
        <v>0</v>
      </c>
      <c r="K59" s="76">
        <v>1</v>
      </c>
      <c r="L59" s="76">
        <v>0</v>
      </c>
      <c r="M59" s="76">
        <v>0</v>
      </c>
      <c r="N59" s="76">
        <v>0</v>
      </c>
      <c r="O59" s="76">
        <v>0</v>
      </c>
      <c r="P59" s="76">
        <v>0</v>
      </c>
      <c r="Q59" s="76">
        <v>0</v>
      </c>
      <c r="R59" s="123" t="s">
        <v>66</v>
      </c>
      <c r="S59" s="260" t="s">
        <v>2873</v>
      </c>
      <c r="T59" s="261"/>
      <c r="U59" s="261"/>
      <c r="V59" s="262"/>
      <c r="W59" s="124">
        <v>12</v>
      </c>
      <c r="X59" s="124" t="s">
        <v>67</v>
      </c>
      <c r="Y59" s="79" t="s">
        <v>372</v>
      </c>
      <c r="Z59">
        <v>3</v>
      </c>
    </row>
    <row r="60" spans="1:26" ht="14.25" x14ac:dyDescent="0.2">
      <c r="A60" s="84"/>
      <c r="B60" s="205" t="s">
        <v>20</v>
      </c>
      <c r="C60" s="205"/>
      <c r="D60" s="205"/>
      <c r="E60" s="205"/>
      <c r="F60" s="205"/>
      <c r="G60" s="205"/>
      <c r="H60" s="205"/>
      <c r="I60" s="205"/>
      <c r="J60" s="85">
        <f>SUM(J14:J59)</f>
        <v>0</v>
      </c>
      <c r="K60" s="85">
        <f>SUM(K14:K59)</f>
        <v>49</v>
      </c>
      <c r="L60" s="85">
        <f t="shared" ref="L60:Q60" si="0">SUM(L14:L59)</f>
        <v>0</v>
      </c>
      <c r="M60" s="85">
        <f t="shared" si="0"/>
        <v>0</v>
      </c>
      <c r="N60" s="85">
        <f t="shared" si="0"/>
        <v>0</v>
      </c>
      <c r="O60" s="85">
        <f t="shared" si="0"/>
        <v>0</v>
      </c>
      <c r="P60" s="85">
        <f t="shared" si="0"/>
        <v>37</v>
      </c>
      <c r="Q60" s="85">
        <f t="shared" si="0"/>
        <v>86</v>
      </c>
      <c r="R60" s="83"/>
      <c r="S60" s="83"/>
      <c r="T60" s="83"/>
      <c r="U60" s="83"/>
      <c r="V60" s="83"/>
      <c r="W60" s="85">
        <f>SUM(W14:W59)</f>
        <v>654</v>
      </c>
      <c r="X60" s="85" t="s">
        <v>70</v>
      </c>
      <c r="Y60" s="79"/>
    </row>
    <row r="61" spans="1:26" x14ac:dyDescent="0.2">
      <c r="U61" s="290" t="s">
        <v>2952</v>
      </c>
      <c r="V61" s="290"/>
      <c r="W61" s="101">
        <f>W60/A59</f>
        <v>14.217391304347826</v>
      </c>
    </row>
    <row r="66" spans="8:15" ht="15" x14ac:dyDescent="0.2">
      <c r="H66" s="16"/>
      <c r="I66" s="16"/>
      <c r="J66" s="190" t="s">
        <v>1232</v>
      </c>
      <c r="K66" s="190"/>
      <c r="L66" s="190"/>
      <c r="M66" s="190"/>
      <c r="N66" s="190"/>
      <c r="O66" s="190"/>
    </row>
    <row r="67" spans="8:15" ht="15" x14ac:dyDescent="0.2">
      <c r="H67" s="16"/>
      <c r="I67" s="16"/>
      <c r="J67" s="190" t="s">
        <v>29</v>
      </c>
      <c r="K67" s="190"/>
      <c r="L67" s="190"/>
      <c r="M67" s="190"/>
      <c r="N67" s="190"/>
      <c r="O67" s="190"/>
    </row>
    <row r="68" spans="8:15" ht="15" x14ac:dyDescent="0.2">
      <c r="I68" s="16"/>
      <c r="J68" s="16"/>
      <c r="K68" s="16"/>
      <c r="L68" s="16"/>
      <c r="M68" s="16"/>
      <c r="N68" s="16"/>
      <c r="O68" s="16"/>
    </row>
    <row r="69" spans="8:15" ht="15" x14ac:dyDescent="0.2">
      <c r="I69" s="16"/>
      <c r="J69" s="16"/>
      <c r="K69" s="16"/>
      <c r="L69" s="16"/>
      <c r="M69" s="16"/>
      <c r="N69" s="16"/>
      <c r="O69" s="16"/>
    </row>
    <row r="70" spans="8:15" ht="15" x14ac:dyDescent="0.2">
      <c r="I70" s="16"/>
      <c r="J70" s="16"/>
      <c r="K70" s="16"/>
      <c r="L70" s="16"/>
      <c r="M70" s="16"/>
      <c r="N70" s="16"/>
      <c r="O70" s="16"/>
    </row>
    <row r="71" spans="8:15" ht="15" x14ac:dyDescent="0.2">
      <c r="H71" s="19"/>
      <c r="I71" s="19"/>
      <c r="J71" s="197" t="s">
        <v>1233</v>
      </c>
      <c r="K71" s="197"/>
      <c r="L71" s="197"/>
      <c r="M71" s="197"/>
      <c r="N71" s="197"/>
      <c r="O71" s="197"/>
    </row>
    <row r="72" spans="8:15" ht="15" x14ac:dyDescent="0.2">
      <c r="H72" s="16"/>
      <c r="I72" s="16"/>
      <c r="J72" s="190" t="s">
        <v>30</v>
      </c>
      <c r="K72" s="190"/>
      <c r="L72" s="190"/>
      <c r="M72" s="190"/>
      <c r="N72" s="190"/>
      <c r="O72" s="190"/>
    </row>
    <row r="73" spans="8:15" ht="15" x14ac:dyDescent="0.2">
      <c r="H73" s="16"/>
      <c r="I73" s="16"/>
      <c r="J73" s="190" t="s">
        <v>1234</v>
      </c>
      <c r="K73" s="190"/>
      <c r="L73" s="190"/>
      <c r="M73" s="190"/>
      <c r="N73" s="190"/>
      <c r="O73" s="190"/>
    </row>
    <row r="133" ht="16.5" customHeight="1" x14ac:dyDescent="0.2"/>
    <row r="135" ht="20.25" customHeight="1" x14ac:dyDescent="0.2"/>
    <row r="136" ht="24.75" customHeight="1" x14ac:dyDescent="0.2"/>
    <row r="137" ht="22.5" customHeight="1" x14ac:dyDescent="0.2"/>
  </sheetData>
  <mergeCells count="119">
    <mergeCell ref="U61:V61"/>
    <mergeCell ref="D44:G44"/>
    <mergeCell ref="D30:G30"/>
    <mergeCell ref="D31:G31"/>
    <mergeCell ref="D32:G32"/>
    <mergeCell ref="D33:G33"/>
    <mergeCell ref="D34:G34"/>
    <mergeCell ref="D35:G35"/>
    <mergeCell ref="D36:G36"/>
    <mergeCell ref="D37:G37"/>
    <mergeCell ref="D38:G38"/>
    <mergeCell ref="D39:G39"/>
    <mergeCell ref="D40:G40"/>
    <mergeCell ref="B60:I60"/>
    <mergeCell ref="D41:G41"/>
    <mergeCell ref="D42:G42"/>
    <mergeCell ref="D43:G43"/>
    <mergeCell ref="D45:G45"/>
    <mergeCell ref="D46:G46"/>
    <mergeCell ref="D47:G47"/>
    <mergeCell ref="D48:G48"/>
    <mergeCell ref="D49:G49"/>
    <mergeCell ref="D53:G53"/>
    <mergeCell ref="D54:G54"/>
    <mergeCell ref="S23:V23"/>
    <mergeCell ref="J66:O66"/>
    <mergeCell ref="J67:O67"/>
    <mergeCell ref="J71:O71"/>
    <mergeCell ref="J72:O72"/>
    <mergeCell ref="J73:O73"/>
    <mergeCell ref="S33:V33"/>
    <mergeCell ref="S34:V34"/>
    <mergeCell ref="S35:V35"/>
    <mergeCell ref="S36:V36"/>
    <mergeCell ref="S37:V37"/>
    <mergeCell ref="S43:V43"/>
    <mergeCell ref="S44:V44"/>
    <mergeCell ref="S38:V38"/>
    <mergeCell ref="S39:V39"/>
    <mergeCell ref="S40:V40"/>
    <mergeCell ref="S41:V41"/>
    <mergeCell ref="S42:V42"/>
    <mergeCell ref="S45:V45"/>
    <mergeCell ref="S46:V46"/>
    <mergeCell ref="S47:V47"/>
    <mergeCell ref="S48:V48"/>
    <mergeCell ref="S49:V49"/>
    <mergeCell ref="S53:V53"/>
    <mergeCell ref="D20:G20"/>
    <mergeCell ref="D18:G18"/>
    <mergeCell ref="S18:V18"/>
    <mergeCell ref="S30:V30"/>
    <mergeCell ref="S31:V31"/>
    <mergeCell ref="S32:V32"/>
    <mergeCell ref="S29:V29"/>
    <mergeCell ref="S27:V27"/>
    <mergeCell ref="S28:V28"/>
    <mergeCell ref="D26:G26"/>
    <mergeCell ref="D21:G21"/>
    <mergeCell ref="D22:G22"/>
    <mergeCell ref="D23:G23"/>
    <mergeCell ref="D24:G24"/>
    <mergeCell ref="D25:G25"/>
    <mergeCell ref="D27:G27"/>
    <mergeCell ref="D28:G28"/>
    <mergeCell ref="D29:G29"/>
    <mergeCell ref="S20:V20"/>
    <mergeCell ref="S25:V25"/>
    <mergeCell ref="S26:V26"/>
    <mergeCell ref="S24:V24"/>
    <mergeCell ref="S21:V21"/>
    <mergeCell ref="S22:V22"/>
    <mergeCell ref="D15:G15"/>
    <mergeCell ref="D16:G16"/>
    <mergeCell ref="D17:G17"/>
    <mergeCell ref="S19:V19"/>
    <mergeCell ref="S17:V17"/>
    <mergeCell ref="S16:V16"/>
    <mergeCell ref="S14:V14"/>
    <mergeCell ref="S15:V15"/>
    <mergeCell ref="D19:G19"/>
    <mergeCell ref="D14:G14"/>
    <mergeCell ref="B4:X4"/>
    <mergeCell ref="B3:X3"/>
    <mergeCell ref="B2:X2"/>
    <mergeCell ref="P12:Q12"/>
    <mergeCell ref="R12:R13"/>
    <mergeCell ref="S12:V13"/>
    <mergeCell ref="W12:W13"/>
    <mergeCell ref="B5:X5"/>
    <mergeCell ref="A7:Y7"/>
    <mergeCell ref="A8:Y8"/>
    <mergeCell ref="A9:Y9"/>
    <mergeCell ref="A12:A13"/>
    <mergeCell ref="B12:B13"/>
    <mergeCell ref="D12:G13"/>
    <mergeCell ref="I12:I13"/>
    <mergeCell ref="J12:K12"/>
    <mergeCell ref="L12:L13"/>
    <mergeCell ref="M12:M13"/>
    <mergeCell ref="N12:O12"/>
    <mergeCell ref="Y12:Y13"/>
    <mergeCell ref="D55:G55"/>
    <mergeCell ref="S55:V55"/>
    <mergeCell ref="D50:G50"/>
    <mergeCell ref="S50:V50"/>
    <mergeCell ref="D51:G51"/>
    <mergeCell ref="S51:V51"/>
    <mergeCell ref="D52:G52"/>
    <mergeCell ref="S52:V52"/>
    <mergeCell ref="D59:G59"/>
    <mergeCell ref="S59:V59"/>
    <mergeCell ref="D56:G56"/>
    <mergeCell ref="S56:V56"/>
    <mergeCell ref="D57:G57"/>
    <mergeCell ref="S57:V57"/>
    <mergeCell ref="D58:G58"/>
    <mergeCell ref="S58:V58"/>
    <mergeCell ref="S54:V54"/>
  </mergeCells>
  <phoneticPr fontId="25" type="noConversion"/>
  <pageMargins left="0.92" right="0.3" top="0.23" bottom="0.28999999999999998" header="0.15" footer="0.17"/>
  <pageSetup paperSize="5" scale="80"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5"/>
  <sheetViews>
    <sheetView workbookViewId="0">
      <selection activeCell="O13" sqref="O13"/>
    </sheetView>
  </sheetViews>
  <sheetFormatPr defaultRowHeight="12.75" x14ac:dyDescent="0.2"/>
  <cols>
    <col min="2" max="2" width="15.1640625" customWidth="1"/>
    <col min="9" max="9" width="13" customWidth="1"/>
    <col min="10" max="10" width="10.83203125" customWidth="1"/>
    <col min="12" max="12" width="10.33203125" customWidth="1"/>
    <col min="13" max="13" width="11.83203125" customWidth="1"/>
    <col min="14" max="14" width="8.6640625" customWidth="1"/>
  </cols>
  <sheetData>
    <row r="1" spans="1:15" ht="15.75" x14ac:dyDescent="0.2">
      <c r="A1" s="109" t="s">
        <v>386</v>
      </c>
    </row>
    <row r="2" spans="1:15" ht="15.75" x14ac:dyDescent="0.2">
      <c r="A2" s="109"/>
    </row>
    <row r="3" spans="1:15" ht="17.25" customHeight="1" x14ac:dyDescent="0.2">
      <c r="A3" s="297" t="s">
        <v>59</v>
      </c>
      <c r="B3" s="298"/>
      <c r="C3" s="301" t="s">
        <v>35</v>
      </c>
      <c r="D3" s="301" t="s">
        <v>36</v>
      </c>
      <c r="E3" s="303" t="s">
        <v>37</v>
      </c>
      <c r="F3" s="304"/>
      <c r="G3" s="303" t="s">
        <v>20</v>
      </c>
      <c r="H3" s="304"/>
      <c r="I3" s="299" t="s">
        <v>61</v>
      </c>
      <c r="J3" s="105" t="s">
        <v>62</v>
      </c>
      <c r="K3" s="100"/>
      <c r="L3" s="291" t="s">
        <v>71</v>
      </c>
      <c r="M3" s="291" t="s">
        <v>72</v>
      </c>
      <c r="N3" s="295" t="s">
        <v>73</v>
      </c>
      <c r="O3" s="296"/>
    </row>
    <row r="4" spans="1:15" ht="22.5" customHeight="1" x14ac:dyDescent="0.2">
      <c r="A4" s="104" t="s">
        <v>64</v>
      </c>
      <c r="B4" s="105" t="s">
        <v>65</v>
      </c>
      <c r="C4" s="302"/>
      <c r="D4" s="302"/>
      <c r="E4" s="106" t="s">
        <v>41</v>
      </c>
      <c r="F4" s="107" t="s">
        <v>42</v>
      </c>
      <c r="G4" s="108" t="s">
        <v>43</v>
      </c>
      <c r="H4" s="108" t="s">
        <v>44</v>
      </c>
      <c r="I4" s="300"/>
      <c r="J4" s="105" t="s">
        <v>32</v>
      </c>
      <c r="K4" s="100"/>
      <c r="L4" s="292"/>
      <c r="M4" s="292"/>
      <c r="N4" s="293" t="s">
        <v>61</v>
      </c>
      <c r="O4" s="294"/>
    </row>
    <row r="5" spans="1:15" ht="15" x14ac:dyDescent="0.2">
      <c r="A5" s="86">
        <f>'RESPONSE TIME'!J60</f>
        <v>0</v>
      </c>
      <c r="B5" s="86">
        <f>'RESPONSE TIME'!K60</f>
        <v>49</v>
      </c>
      <c r="C5" s="86">
        <f>'RESPONSE TIME'!L60</f>
        <v>0</v>
      </c>
      <c r="D5" s="86">
        <f>'RESPONSE TIME'!M60</f>
        <v>0</v>
      </c>
      <c r="E5" s="86">
        <f>'RESPONSE TIME'!N60</f>
        <v>0</v>
      </c>
      <c r="F5" s="86">
        <f>'RESPONSE TIME'!O60</f>
        <v>0</v>
      </c>
      <c r="G5" s="86">
        <f>'RESPONSE TIME'!P60</f>
        <v>37</v>
      </c>
      <c r="H5" s="86">
        <f>'RESPONSE TIME'!Q60</f>
        <v>86</v>
      </c>
      <c r="I5" s="86">
        <f>'RESPONSE TIME'!W60</f>
        <v>654</v>
      </c>
      <c r="J5" s="86" t="str">
        <f>'RESPONSE TIME'!X60</f>
        <v>MENIT</v>
      </c>
      <c r="K5" s="100"/>
      <c r="L5" s="2">
        <f>I5</f>
        <v>654</v>
      </c>
      <c r="M5" s="92">
        <v>46</v>
      </c>
      <c r="N5" s="103">
        <f>L5/M5</f>
        <v>14.217391304347826</v>
      </c>
      <c r="O5" s="102" t="s">
        <v>70</v>
      </c>
    </row>
    <row r="15" spans="1:15" ht="15" customHeight="1" x14ac:dyDescent="0.2"/>
  </sheetData>
  <mergeCells count="10">
    <mergeCell ref="L3:L4"/>
    <mergeCell ref="M3:M4"/>
    <mergeCell ref="N4:O4"/>
    <mergeCell ref="N3:O3"/>
    <mergeCell ref="A3:B3"/>
    <mergeCell ref="I3:I4"/>
    <mergeCell ref="C3:C4"/>
    <mergeCell ref="D3:D4"/>
    <mergeCell ref="E3:F3"/>
    <mergeCell ref="G3:H3"/>
  </mergeCells>
  <pageMargins left="0.7" right="0.7" top="0.75" bottom="0.75" header="0.3" footer="0.3"/>
  <pageSetup paperSize="5" orientation="landscape"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328CF-A601-4C42-8539-E389E1ADBEA5}">
  <dimension ref="A1:P33"/>
  <sheetViews>
    <sheetView workbookViewId="0">
      <pane xSplit="2" ySplit="3" topLeftCell="C15" activePane="bottomRight" state="frozen"/>
      <selection pane="topRight" activeCell="C1" sqref="C1"/>
      <selection pane="bottomLeft" activeCell="A4" sqref="A4"/>
      <selection pane="bottomRight" activeCell="Q28" sqref="Q28"/>
    </sheetView>
  </sheetViews>
  <sheetFormatPr defaultRowHeight="15" x14ac:dyDescent="0.25"/>
  <cols>
    <col min="1" max="1" width="6.1640625" style="125" customWidth="1"/>
    <col min="2" max="2" width="34.5" style="125" customWidth="1"/>
    <col min="3" max="3" width="10.6640625" style="125" customWidth="1"/>
    <col min="4" max="4" width="11.1640625" style="125" customWidth="1"/>
    <col min="5" max="9" width="9.33203125" style="125"/>
    <col min="10" max="10" width="11.1640625" style="125" customWidth="1"/>
    <col min="11" max="11" width="12.83203125" style="125" customWidth="1"/>
    <col min="12" max="12" width="11.6640625" style="125" customWidth="1"/>
    <col min="13" max="14" width="12.83203125" style="125" customWidth="1"/>
    <col min="15" max="15" width="15.83203125" style="125" customWidth="1"/>
    <col min="16" max="16384" width="9.33203125" style="125"/>
  </cols>
  <sheetData>
    <row r="1" spans="1:15" ht="15" customHeight="1" x14ac:dyDescent="0.25">
      <c r="A1" s="256" t="s">
        <v>2775</v>
      </c>
      <c r="B1" s="256" t="s">
        <v>2879</v>
      </c>
      <c r="C1" s="256" t="s">
        <v>2880</v>
      </c>
      <c r="D1" s="256"/>
      <c r="E1" s="256"/>
      <c r="F1" s="256"/>
      <c r="G1" s="256"/>
      <c r="H1" s="256"/>
      <c r="I1" s="256"/>
      <c r="J1" s="256"/>
      <c r="K1" s="256"/>
      <c r="L1" s="256"/>
      <c r="M1" s="256"/>
      <c r="N1" s="256"/>
      <c r="O1" s="256" t="s">
        <v>2881</v>
      </c>
    </row>
    <row r="2" spans="1:15" x14ac:dyDescent="0.25">
      <c r="A2" s="256"/>
      <c r="B2" s="256"/>
      <c r="C2" s="256" t="s">
        <v>556</v>
      </c>
      <c r="D2" s="256"/>
      <c r="E2" s="256"/>
      <c r="F2" s="256"/>
      <c r="G2" s="256"/>
      <c r="H2" s="256"/>
      <c r="I2" s="256"/>
      <c r="J2" s="256"/>
      <c r="K2" s="256"/>
      <c r="L2" s="256"/>
      <c r="M2" s="256"/>
      <c r="N2" s="256"/>
      <c r="O2" s="256"/>
    </row>
    <row r="3" spans="1:15" x14ac:dyDescent="0.25">
      <c r="A3" s="256"/>
      <c r="B3" s="256"/>
      <c r="C3" s="126" t="s">
        <v>2779</v>
      </c>
      <c r="D3" s="126" t="s">
        <v>2780</v>
      </c>
      <c r="E3" s="126" t="s">
        <v>2781</v>
      </c>
      <c r="F3" s="126" t="s">
        <v>2782</v>
      </c>
      <c r="G3" s="126" t="s">
        <v>2783</v>
      </c>
      <c r="H3" s="126" t="s">
        <v>2784</v>
      </c>
      <c r="I3" s="126" t="s">
        <v>2785</v>
      </c>
      <c r="J3" s="126" t="s">
        <v>2786</v>
      </c>
      <c r="K3" s="126" t="s">
        <v>2787</v>
      </c>
      <c r="L3" s="126" t="s">
        <v>2788</v>
      </c>
      <c r="M3" s="126" t="s">
        <v>2789</v>
      </c>
      <c r="N3" s="126" t="s">
        <v>2790</v>
      </c>
      <c r="O3" s="256"/>
    </row>
    <row r="4" spans="1:15" ht="15.75" thickBot="1" x14ac:dyDescent="0.3">
      <c r="A4" s="127"/>
      <c r="B4" s="145" t="s">
        <v>2882</v>
      </c>
      <c r="C4" s="146"/>
      <c r="D4" s="146"/>
      <c r="E4" s="146"/>
      <c r="F4" s="146"/>
      <c r="G4" s="146"/>
      <c r="H4" s="146"/>
      <c r="I4" s="146"/>
      <c r="J4" s="146"/>
      <c r="K4" s="146"/>
      <c r="L4" s="146"/>
      <c r="M4" s="146"/>
      <c r="N4" s="146"/>
      <c r="O4" s="147">
        <f>SUM(O5:O8)</f>
        <v>10</v>
      </c>
    </row>
    <row r="5" spans="1:15" ht="15.75" thickTop="1" x14ac:dyDescent="0.25">
      <c r="A5" s="127">
        <v>1</v>
      </c>
      <c r="B5" s="148" t="s">
        <v>2883</v>
      </c>
      <c r="C5" s="149"/>
      <c r="D5" s="149"/>
      <c r="E5" s="149"/>
      <c r="F5" s="149"/>
      <c r="G5" s="149">
        <v>1</v>
      </c>
      <c r="H5" s="149"/>
      <c r="I5" s="149"/>
      <c r="J5" s="149"/>
      <c r="K5" s="149"/>
      <c r="L5" s="149">
        <v>1</v>
      </c>
      <c r="M5" s="149"/>
      <c r="N5" s="149"/>
      <c r="O5" s="149">
        <f>SUM(C5:N5)</f>
        <v>2</v>
      </c>
    </row>
    <row r="6" spans="1:15" x14ac:dyDescent="0.25">
      <c r="A6" s="127">
        <v>2</v>
      </c>
      <c r="B6" s="128" t="s">
        <v>2884</v>
      </c>
      <c r="C6" s="127"/>
      <c r="D6" s="127"/>
      <c r="E6" s="127"/>
      <c r="F6" s="127">
        <v>1</v>
      </c>
      <c r="G6" s="127">
        <v>1</v>
      </c>
      <c r="H6" s="127"/>
      <c r="I6" s="127"/>
      <c r="J6" s="127"/>
      <c r="K6" s="127"/>
      <c r="L6" s="127"/>
      <c r="M6" s="127"/>
      <c r="N6" s="127"/>
      <c r="O6" s="127">
        <f t="shared" ref="O6:O8" si="0">SUM(C6:N6)</f>
        <v>2</v>
      </c>
    </row>
    <row r="7" spans="1:15" x14ac:dyDescent="0.25">
      <c r="A7" s="127">
        <v>3</v>
      </c>
      <c r="B7" s="128" t="s">
        <v>2885</v>
      </c>
      <c r="C7" s="127"/>
      <c r="D7" s="127"/>
      <c r="E7" s="127"/>
      <c r="F7" s="127">
        <v>1</v>
      </c>
      <c r="G7" s="127"/>
      <c r="H7" s="127"/>
      <c r="I7" s="127"/>
      <c r="J7" s="127"/>
      <c r="K7" s="127"/>
      <c r="L7" s="127">
        <v>1</v>
      </c>
      <c r="M7" s="127"/>
      <c r="N7" s="127"/>
      <c r="O7" s="127">
        <f t="shared" si="0"/>
        <v>2</v>
      </c>
    </row>
    <row r="8" spans="1:15" x14ac:dyDescent="0.25">
      <c r="A8" s="127">
        <v>4</v>
      </c>
      <c r="B8" s="128" t="s">
        <v>2886</v>
      </c>
      <c r="C8" s="127"/>
      <c r="D8" s="127"/>
      <c r="E8" s="127"/>
      <c r="F8" s="127">
        <v>1</v>
      </c>
      <c r="G8" s="127">
        <v>1</v>
      </c>
      <c r="H8" s="127"/>
      <c r="I8" s="127">
        <v>1</v>
      </c>
      <c r="J8" s="127"/>
      <c r="K8" s="127"/>
      <c r="L8" s="127"/>
      <c r="M8" s="127"/>
      <c r="N8" s="127">
        <v>1</v>
      </c>
      <c r="O8" s="127">
        <f t="shared" si="0"/>
        <v>4</v>
      </c>
    </row>
    <row r="9" spans="1:15" x14ac:dyDescent="0.25">
      <c r="A9" s="150"/>
      <c r="B9" s="151"/>
      <c r="C9" s="133"/>
      <c r="D9" s="133"/>
      <c r="E9" s="133"/>
      <c r="F9" s="133"/>
      <c r="G9" s="133"/>
      <c r="H9" s="133"/>
      <c r="I9" s="133"/>
      <c r="J9" s="133"/>
      <c r="K9" s="133"/>
      <c r="L9" s="133"/>
      <c r="M9" s="133"/>
      <c r="N9" s="133"/>
      <c r="O9" s="150"/>
    </row>
    <row r="10" spans="1:15" ht="15.75" thickBot="1" x14ac:dyDescent="0.3">
      <c r="A10" s="127"/>
      <c r="B10" s="145" t="s">
        <v>2887</v>
      </c>
      <c r="C10" s="146"/>
      <c r="D10" s="146"/>
      <c r="E10" s="146"/>
      <c r="F10" s="146"/>
      <c r="G10" s="146"/>
      <c r="H10" s="146"/>
      <c r="I10" s="146"/>
      <c r="J10" s="146"/>
      <c r="K10" s="146"/>
      <c r="L10" s="146"/>
      <c r="M10" s="146"/>
      <c r="N10" s="146"/>
      <c r="O10" s="147">
        <f>SUM(O11:O14)</f>
        <v>8</v>
      </c>
    </row>
    <row r="11" spans="1:15" ht="15.75" thickTop="1" x14ac:dyDescent="0.25">
      <c r="A11" s="127">
        <v>1</v>
      </c>
      <c r="B11" s="148" t="s">
        <v>2888</v>
      </c>
      <c r="C11" s="152"/>
      <c r="D11" s="149"/>
      <c r="E11" s="149"/>
      <c r="F11" s="149"/>
      <c r="G11" s="149"/>
      <c r="H11" s="149"/>
      <c r="I11" s="149"/>
      <c r="J11" s="149">
        <v>1</v>
      </c>
      <c r="K11" s="149"/>
      <c r="L11" s="149"/>
      <c r="M11" s="149"/>
      <c r="N11" s="153"/>
      <c r="O11" s="149">
        <f t="shared" ref="O11:O14" si="1">SUM(C11:N11)</f>
        <v>1</v>
      </c>
    </row>
    <row r="12" spans="1:15" x14ac:dyDescent="0.25">
      <c r="A12" s="127">
        <v>2</v>
      </c>
      <c r="B12" s="128" t="s">
        <v>2889</v>
      </c>
      <c r="C12" s="154"/>
      <c r="D12" s="127"/>
      <c r="E12" s="127"/>
      <c r="F12" s="127"/>
      <c r="G12" s="127"/>
      <c r="H12" s="127"/>
      <c r="I12" s="127">
        <v>1</v>
      </c>
      <c r="J12" s="127"/>
      <c r="K12" s="127"/>
      <c r="L12" s="127">
        <v>1</v>
      </c>
      <c r="M12" s="127"/>
      <c r="N12" s="155"/>
      <c r="O12" s="127">
        <f t="shared" si="1"/>
        <v>2</v>
      </c>
    </row>
    <row r="13" spans="1:15" x14ac:dyDescent="0.25">
      <c r="A13" s="127">
        <v>3</v>
      </c>
      <c r="B13" s="128" t="s">
        <v>2890</v>
      </c>
      <c r="C13" s="154"/>
      <c r="D13" s="127"/>
      <c r="E13" s="127"/>
      <c r="F13" s="127">
        <v>1</v>
      </c>
      <c r="G13" s="127">
        <v>1</v>
      </c>
      <c r="H13" s="127">
        <v>1</v>
      </c>
      <c r="I13" s="127"/>
      <c r="J13" s="127"/>
      <c r="K13" s="127">
        <v>1</v>
      </c>
      <c r="L13" s="127"/>
      <c r="M13" s="127"/>
      <c r="N13" s="155"/>
      <c r="O13" s="127">
        <f t="shared" si="1"/>
        <v>4</v>
      </c>
    </row>
    <row r="14" spans="1:15" x14ac:dyDescent="0.25">
      <c r="A14" s="127">
        <v>4</v>
      </c>
      <c r="B14" s="128" t="s">
        <v>2891</v>
      </c>
      <c r="C14" s="154"/>
      <c r="D14" s="127"/>
      <c r="E14" s="127"/>
      <c r="F14" s="127"/>
      <c r="G14" s="127"/>
      <c r="H14" s="127"/>
      <c r="I14" s="127"/>
      <c r="J14" s="127"/>
      <c r="K14" s="127">
        <v>1</v>
      </c>
      <c r="L14" s="127"/>
      <c r="M14" s="127"/>
      <c r="N14" s="155"/>
      <c r="O14" s="127">
        <f t="shared" si="1"/>
        <v>1</v>
      </c>
    </row>
    <row r="15" spans="1:15" x14ac:dyDescent="0.25">
      <c r="A15" s="150"/>
      <c r="B15" s="156"/>
      <c r="C15" s="133"/>
      <c r="D15" s="133"/>
      <c r="E15" s="133"/>
      <c r="F15" s="133"/>
      <c r="G15" s="133"/>
      <c r="H15" s="133"/>
      <c r="I15" s="133"/>
      <c r="J15" s="133"/>
      <c r="K15" s="133"/>
      <c r="L15" s="133"/>
      <c r="M15" s="133"/>
      <c r="N15" s="133"/>
      <c r="O15" s="157"/>
    </row>
    <row r="16" spans="1:15" ht="15.75" thickBot="1" x14ac:dyDescent="0.3">
      <c r="A16" s="127"/>
      <c r="B16" s="145" t="s">
        <v>2892</v>
      </c>
      <c r="C16" s="146"/>
      <c r="D16" s="146"/>
      <c r="E16" s="146"/>
      <c r="F16" s="146"/>
      <c r="G16" s="146"/>
      <c r="H16" s="146"/>
      <c r="I16" s="146"/>
      <c r="J16" s="146"/>
      <c r="K16" s="146"/>
      <c r="L16" s="146"/>
      <c r="M16" s="146"/>
      <c r="N16" s="146"/>
      <c r="O16" s="147">
        <f>SUM(O17:O20)</f>
        <v>5</v>
      </c>
    </row>
    <row r="17" spans="1:15" ht="15.75" thickTop="1" x14ac:dyDescent="0.25">
      <c r="A17" s="127">
        <v>1</v>
      </c>
      <c r="B17" s="148" t="s">
        <v>2893</v>
      </c>
      <c r="C17" s="152"/>
      <c r="D17" s="149"/>
      <c r="E17" s="149">
        <v>1</v>
      </c>
      <c r="F17" s="149"/>
      <c r="G17" s="149"/>
      <c r="H17" s="149"/>
      <c r="I17" s="149"/>
      <c r="J17" s="149"/>
      <c r="K17" s="149"/>
      <c r="L17" s="149"/>
      <c r="M17" s="149"/>
      <c r="N17" s="153"/>
      <c r="O17" s="149">
        <f t="shared" ref="O17:O20" si="2">SUM(C17:N17)</f>
        <v>1</v>
      </c>
    </row>
    <row r="18" spans="1:15" x14ac:dyDescent="0.25">
      <c r="A18" s="127">
        <v>2</v>
      </c>
      <c r="B18" s="128" t="s">
        <v>2894</v>
      </c>
      <c r="C18" s="154"/>
      <c r="D18" s="127"/>
      <c r="E18" s="127"/>
      <c r="F18" s="127"/>
      <c r="G18" s="127"/>
      <c r="H18" s="127"/>
      <c r="I18" s="127"/>
      <c r="J18" s="127"/>
      <c r="K18" s="127"/>
      <c r="L18" s="127"/>
      <c r="M18" s="127"/>
      <c r="N18" s="155"/>
      <c r="O18" s="127">
        <f t="shared" si="2"/>
        <v>0</v>
      </c>
    </row>
    <row r="19" spans="1:15" x14ac:dyDescent="0.25">
      <c r="A19" s="127">
        <v>3</v>
      </c>
      <c r="B19" s="128" t="s">
        <v>2895</v>
      </c>
      <c r="C19" s="154"/>
      <c r="D19" s="127"/>
      <c r="E19" s="127">
        <v>1</v>
      </c>
      <c r="F19" s="127"/>
      <c r="G19" s="127">
        <v>1</v>
      </c>
      <c r="H19" s="127"/>
      <c r="I19" s="127"/>
      <c r="J19" s="127"/>
      <c r="K19" s="127"/>
      <c r="L19" s="127"/>
      <c r="M19" s="127">
        <v>1</v>
      </c>
      <c r="N19" s="155">
        <v>1</v>
      </c>
      <c r="O19" s="127">
        <f t="shared" si="2"/>
        <v>4</v>
      </c>
    </row>
    <row r="20" spans="1:15" x14ac:dyDescent="0.25">
      <c r="A20" s="127">
        <v>4</v>
      </c>
      <c r="B20" s="128" t="s">
        <v>2896</v>
      </c>
      <c r="C20" s="154"/>
      <c r="D20" s="127"/>
      <c r="E20" s="127"/>
      <c r="F20" s="127"/>
      <c r="G20" s="127"/>
      <c r="H20" s="127"/>
      <c r="I20" s="127"/>
      <c r="J20" s="127"/>
      <c r="K20" s="127"/>
      <c r="L20" s="127"/>
      <c r="M20" s="127"/>
      <c r="N20" s="155"/>
      <c r="O20" s="127">
        <f t="shared" si="2"/>
        <v>0</v>
      </c>
    </row>
    <row r="21" spans="1:15" x14ac:dyDescent="0.25">
      <c r="A21" s="157"/>
      <c r="B21" s="156"/>
      <c r="C21" s="133"/>
      <c r="D21" s="133"/>
      <c r="E21" s="133"/>
      <c r="F21" s="133"/>
      <c r="G21" s="133"/>
      <c r="H21" s="133"/>
      <c r="I21" s="133"/>
      <c r="J21" s="133"/>
      <c r="K21" s="133"/>
      <c r="L21" s="133"/>
      <c r="M21" s="133"/>
      <c r="N21" s="133"/>
      <c r="O21" s="157"/>
    </row>
    <row r="22" spans="1:15" ht="15.75" thickBot="1" x14ac:dyDescent="0.3">
      <c r="A22" s="127"/>
      <c r="B22" s="145" t="s">
        <v>2897</v>
      </c>
      <c r="C22" s="146"/>
      <c r="D22" s="146"/>
      <c r="E22" s="146"/>
      <c r="F22" s="146"/>
      <c r="G22" s="146"/>
      <c r="H22" s="146"/>
      <c r="I22" s="146"/>
      <c r="J22" s="146"/>
      <c r="K22" s="146"/>
      <c r="L22" s="146"/>
      <c r="M22" s="146"/>
      <c r="N22" s="146"/>
      <c r="O22" s="147">
        <f>SUM(O23:O26)</f>
        <v>11</v>
      </c>
    </row>
    <row r="23" spans="1:15" ht="15.75" thickTop="1" x14ac:dyDescent="0.25">
      <c r="A23" s="127">
        <v>1</v>
      </c>
      <c r="B23" s="148" t="s">
        <v>2898</v>
      </c>
      <c r="C23" s="152"/>
      <c r="D23" s="149"/>
      <c r="E23" s="149"/>
      <c r="F23" s="149"/>
      <c r="G23" s="149">
        <v>2</v>
      </c>
      <c r="H23" s="149"/>
      <c r="I23" s="149">
        <v>1</v>
      </c>
      <c r="J23" s="149">
        <v>1</v>
      </c>
      <c r="K23" s="149">
        <v>2</v>
      </c>
      <c r="L23" s="149"/>
      <c r="M23" s="149"/>
      <c r="N23" s="153"/>
      <c r="O23" s="149">
        <f t="shared" ref="O23:O26" si="3">SUM(C23:N23)</f>
        <v>6</v>
      </c>
    </row>
    <row r="24" spans="1:15" x14ac:dyDescent="0.25">
      <c r="A24" s="127">
        <v>2</v>
      </c>
      <c r="B24" s="128" t="s">
        <v>2899</v>
      </c>
      <c r="C24" s="154"/>
      <c r="D24" s="127"/>
      <c r="E24" s="127"/>
      <c r="F24" s="127"/>
      <c r="G24" s="127"/>
      <c r="H24" s="127"/>
      <c r="I24" s="127"/>
      <c r="J24" s="127"/>
      <c r="K24" s="127"/>
      <c r="L24" s="127"/>
      <c r="M24" s="127"/>
      <c r="N24" s="155"/>
      <c r="O24" s="127">
        <f t="shared" si="3"/>
        <v>0</v>
      </c>
    </row>
    <row r="25" spans="1:15" x14ac:dyDescent="0.25">
      <c r="A25" s="127">
        <v>3</v>
      </c>
      <c r="B25" s="128" t="s">
        <v>2900</v>
      </c>
      <c r="C25" s="154"/>
      <c r="D25" s="127"/>
      <c r="E25" s="127"/>
      <c r="F25" s="127">
        <v>1</v>
      </c>
      <c r="G25" s="127"/>
      <c r="H25" s="127"/>
      <c r="I25" s="127"/>
      <c r="J25" s="127"/>
      <c r="K25" s="127"/>
      <c r="L25" s="127"/>
      <c r="M25" s="127"/>
      <c r="N25" s="155">
        <v>1</v>
      </c>
      <c r="O25" s="127">
        <f t="shared" si="3"/>
        <v>2</v>
      </c>
    </row>
    <row r="26" spans="1:15" x14ac:dyDescent="0.25">
      <c r="A26" s="127">
        <v>4</v>
      </c>
      <c r="B26" s="128" t="s">
        <v>2901</v>
      </c>
      <c r="C26" s="154">
        <v>1</v>
      </c>
      <c r="D26" s="127"/>
      <c r="E26" s="127"/>
      <c r="F26" s="127">
        <v>1</v>
      </c>
      <c r="G26" s="127">
        <v>1</v>
      </c>
      <c r="H26" s="127"/>
      <c r="I26" s="127"/>
      <c r="J26" s="127"/>
      <c r="K26" s="127"/>
      <c r="L26" s="127"/>
      <c r="M26" s="127"/>
      <c r="N26" s="155"/>
      <c r="O26" s="127">
        <f t="shared" si="3"/>
        <v>3</v>
      </c>
    </row>
    <row r="27" spans="1:15" x14ac:dyDescent="0.25">
      <c r="A27" s="157"/>
      <c r="B27" s="156"/>
      <c r="C27" s="133"/>
      <c r="D27" s="133"/>
      <c r="E27" s="133"/>
      <c r="F27" s="133"/>
      <c r="G27" s="133"/>
      <c r="H27" s="133"/>
      <c r="I27" s="133"/>
      <c r="J27" s="133"/>
      <c r="K27" s="133"/>
      <c r="L27" s="133"/>
      <c r="M27" s="133"/>
      <c r="N27" s="133"/>
      <c r="O27" s="157"/>
    </row>
    <row r="28" spans="1:15" ht="15.75" thickBot="1" x14ac:dyDescent="0.3">
      <c r="A28" s="127"/>
      <c r="B28" s="145" t="s">
        <v>2902</v>
      </c>
      <c r="C28" s="146"/>
      <c r="D28" s="146"/>
      <c r="E28" s="146"/>
      <c r="F28" s="146"/>
      <c r="G28" s="146"/>
      <c r="H28" s="146"/>
      <c r="I28" s="146"/>
      <c r="J28" s="146"/>
      <c r="K28" s="146"/>
      <c r="L28" s="146"/>
      <c r="M28" s="146"/>
      <c r="N28" s="146"/>
      <c r="O28" s="147">
        <f>SUM(O29:O32)</f>
        <v>12</v>
      </c>
    </row>
    <row r="29" spans="1:15" ht="15.75" thickTop="1" x14ac:dyDescent="0.25">
      <c r="A29" s="127">
        <v>1</v>
      </c>
      <c r="B29" s="148" t="s">
        <v>2903</v>
      </c>
      <c r="C29" s="152"/>
      <c r="D29" s="149"/>
      <c r="E29" s="149"/>
      <c r="F29" s="149"/>
      <c r="G29" s="149">
        <v>1</v>
      </c>
      <c r="H29" s="149"/>
      <c r="I29" s="149"/>
      <c r="J29" s="149"/>
      <c r="K29" s="149">
        <v>1</v>
      </c>
      <c r="L29" s="149"/>
      <c r="M29" s="149"/>
      <c r="N29" s="153"/>
      <c r="O29" s="149">
        <f t="shared" ref="O29:O32" si="4">SUM(C29:N29)</f>
        <v>2</v>
      </c>
    </row>
    <row r="30" spans="1:15" x14ac:dyDescent="0.25">
      <c r="A30" s="127">
        <v>2</v>
      </c>
      <c r="B30" s="128" t="s">
        <v>2904</v>
      </c>
      <c r="C30" s="154"/>
      <c r="D30" s="127"/>
      <c r="E30" s="127"/>
      <c r="F30" s="127">
        <v>1</v>
      </c>
      <c r="G30" s="127"/>
      <c r="H30" s="127"/>
      <c r="I30" s="127"/>
      <c r="J30" s="127">
        <v>1</v>
      </c>
      <c r="K30" s="127"/>
      <c r="L30" s="127"/>
      <c r="M30" s="127"/>
      <c r="N30" s="155"/>
      <c r="O30" s="127">
        <f t="shared" si="4"/>
        <v>2</v>
      </c>
    </row>
    <row r="31" spans="1:15" x14ac:dyDescent="0.25">
      <c r="A31" s="127">
        <v>3</v>
      </c>
      <c r="B31" s="128" t="s">
        <v>2905</v>
      </c>
      <c r="C31" s="154">
        <v>1</v>
      </c>
      <c r="D31" s="127">
        <v>2</v>
      </c>
      <c r="E31" s="127"/>
      <c r="F31" s="127">
        <v>1</v>
      </c>
      <c r="G31" s="127"/>
      <c r="H31" s="127">
        <v>1</v>
      </c>
      <c r="I31" s="127"/>
      <c r="J31" s="127"/>
      <c r="K31" s="127">
        <v>1</v>
      </c>
      <c r="L31" s="127"/>
      <c r="M31" s="127">
        <v>1</v>
      </c>
      <c r="N31" s="155"/>
      <c r="O31" s="127">
        <f t="shared" si="4"/>
        <v>7</v>
      </c>
    </row>
    <row r="32" spans="1:15" x14ac:dyDescent="0.25">
      <c r="A32" s="127">
        <v>4</v>
      </c>
      <c r="B32" s="128" t="s">
        <v>2906</v>
      </c>
      <c r="C32" s="154"/>
      <c r="D32" s="127"/>
      <c r="E32" s="127"/>
      <c r="F32" s="127"/>
      <c r="G32" s="127"/>
      <c r="H32" s="127"/>
      <c r="I32" s="127"/>
      <c r="J32" s="127"/>
      <c r="K32" s="127"/>
      <c r="L32" s="127">
        <v>1</v>
      </c>
      <c r="M32" s="127"/>
      <c r="N32" s="155"/>
      <c r="O32" s="127">
        <f t="shared" si="4"/>
        <v>1</v>
      </c>
    </row>
    <row r="33" spans="1:16" x14ac:dyDescent="0.25">
      <c r="A33" s="127"/>
      <c r="B33" s="126" t="s">
        <v>20</v>
      </c>
      <c r="C33" s="126">
        <f>SUM(C4:C32)</f>
        <v>2</v>
      </c>
      <c r="D33" s="126">
        <f t="shared" ref="D33:N33" si="5">SUM(D4:D32)</f>
        <v>2</v>
      </c>
      <c r="E33" s="126">
        <f t="shared" si="5"/>
        <v>2</v>
      </c>
      <c r="F33" s="126">
        <f t="shared" si="5"/>
        <v>8</v>
      </c>
      <c r="G33" s="126">
        <f t="shared" si="5"/>
        <v>9</v>
      </c>
      <c r="H33" s="126">
        <f t="shared" si="5"/>
        <v>2</v>
      </c>
      <c r="I33" s="126">
        <f t="shared" si="5"/>
        <v>3</v>
      </c>
      <c r="J33" s="126">
        <f t="shared" si="5"/>
        <v>3</v>
      </c>
      <c r="K33" s="126">
        <f>SUM(K4:K32)</f>
        <v>6</v>
      </c>
      <c r="L33" s="126">
        <f t="shared" si="5"/>
        <v>4</v>
      </c>
      <c r="M33" s="126">
        <f t="shared" si="5"/>
        <v>2</v>
      </c>
      <c r="N33" s="158">
        <f t="shared" si="5"/>
        <v>3</v>
      </c>
      <c r="O33" s="160">
        <f>SUM(C33:N33)</f>
        <v>46</v>
      </c>
      <c r="P33" s="159"/>
    </row>
  </sheetData>
  <mergeCells count="5">
    <mergeCell ref="A1:A3"/>
    <mergeCell ref="B1:B3"/>
    <mergeCell ref="C1:N1"/>
    <mergeCell ref="O1:O3"/>
    <mergeCell ref="C2:N2"/>
  </mergeCells>
  <pageMargins left="0.70866141732283472" right="0.70866141732283472" top="0.74803149606299213" bottom="0.74803149606299213" header="0.31496062992125984" footer="0.31496062992125984"/>
  <pageSetup paperSize="5" scale="90" orientation="landscape"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RELAWAN</vt:lpstr>
      <vt:lpstr>APARATUR</vt:lpstr>
      <vt:lpstr>JUMLAH KAPASITAS</vt:lpstr>
      <vt:lpstr>SAPRAS</vt:lpstr>
      <vt:lpstr>DATA POS </vt:lpstr>
      <vt:lpstr>EVAKUASI</vt:lpstr>
      <vt:lpstr>Rekap Evakuasi</vt:lpstr>
      <vt:lpstr>RESPONSE TIME</vt:lpstr>
      <vt:lpstr>Sheet2</vt:lpstr>
      <vt:lpstr>Rekap Kebakaran 2025</vt:lpstr>
      <vt:lpstr>'Rekap Evakuasi'!Print_Area</vt:lpstr>
      <vt:lpstr>SAPRAS!Print_Area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Oracle Reports</dc:creator>
  <cp:lastModifiedBy>ACER</cp:lastModifiedBy>
  <cp:lastPrinted>2026-01-19T04:10:05Z</cp:lastPrinted>
  <dcterms:created xsi:type="dcterms:W3CDTF">2024-01-07T09:53:51Z</dcterms:created>
  <dcterms:modified xsi:type="dcterms:W3CDTF">2026-01-26T03:04:38Z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2023-11-06T00:00:00Z</vt:filetime>
  </property>
  <property fmtid="{D5CDD505-2E9C-101B-9397-08002B2CF9AE}" pid="3" name="Creator">
    <vt:lpwstr>Oracle11gR1 AS Reports Services</vt:lpwstr>
  </property>
  <property fmtid="{D5CDD505-2E9C-101B-9397-08002B2CF9AE}" pid="4" name="LastSaved">
    <vt:filetime>2024-01-07T00:00:00Z</vt:filetime>
  </property>
  <property fmtid="{D5CDD505-2E9C-101B-9397-08002B2CF9AE}" pid="5" name="Producer">
    <vt:lpwstr>Oracle PDF driver</vt:lpwstr>
  </property>
</Properties>
</file>